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Vq2LI5O3gfyeXlGCprREd2ai0CUH2kf4\Acko Health- Business\FY26\EB Health\Premium Files\202602\Working\"/>
    </mc:Choice>
  </mc:AlternateContent>
  <xr:revisionPtr revIDLastSave="0" documentId="13_ncr:1_{6AE0A34B-395B-477A-8039-D29C0B03F370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Performance" sheetId="5" state="hidden" r:id="rId1"/>
    <sheet name="SuM" sheetId="1" r:id="rId2"/>
    <sheet name="Details" sheetId="2" r:id="rId3"/>
    <sheet name="CD Statement" sheetId="9" r:id="rId4"/>
    <sheet name="SA" sheetId="4" r:id="rId5"/>
    <sheet name="Check" sheetId="8" r:id="rId6"/>
  </sheets>
  <definedNames>
    <definedName name="_xlnm._FilterDatabase" localSheetId="5" hidden="1">Check!$A$4:$K$729</definedName>
    <definedName name="_xlnm._FilterDatabase" localSheetId="2" hidden="1">Details!$A$2:$AP$718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9" l="1"/>
  <c r="G27" i="9"/>
  <c r="G28" i="9"/>
  <c r="G29" i="9"/>
  <c r="G30" i="9" s="1"/>
  <c r="G31" i="9" s="1"/>
  <c r="H31" i="9"/>
  <c r="K762" i="2"/>
  <c r="L762" i="2" s="1"/>
  <c r="K755" i="2"/>
  <c r="L755" i="2" s="1"/>
  <c r="K756" i="2"/>
  <c r="L756" i="2" s="1"/>
  <c r="Q756" i="2"/>
  <c r="Y756" i="2" s="1"/>
  <c r="S756" i="2"/>
  <c r="W756" i="2"/>
  <c r="X756" i="2"/>
  <c r="Z756" i="2"/>
  <c r="AF756" i="2"/>
  <c r="AG756" i="2"/>
  <c r="AN756" i="2"/>
  <c r="K757" i="2"/>
  <c r="L757" i="2" s="1"/>
  <c r="Q757" i="2"/>
  <c r="Y757" i="2" s="1"/>
  <c r="S757" i="2"/>
  <c r="W757" i="2"/>
  <c r="X757" i="2"/>
  <c r="Z757" i="2"/>
  <c r="AN757" i="2" s="1"/>
  <c r="AF757" i="2"/>
  <c r="AG757" i="2"/>
  <c r="K758" i="2"/>
  <c r="L758" i="2" s="1"/>
  <c r="Q758" i="2"/>
  <c r="Y758" i="2" s="1"/>
  <c r="S758" i="2"/>
  <c r="W758" i="2"/>
  <c r="X758" i="2"/>
  <c r="Z758" i="2"/>
  <c r="AF758" i="2"/>
  <c r="AG758" i="2"/>
  <c r="AN758" i="2"/>
  <c r="K759" i="2"/>
  <c r="L759" i="2" s="1"/>
  <c r="Q759" i="2"/>
  <c r="Y759" i="2" s="1"/>
  <c r="S759" i="2"/>
  <c r="W759" i="2"/>
  <c r="X759" i="2"/>
  <c r="Z759" i="2"/>
  <c r="AN759" i="2" s="1"/>
  <c r="AF759" i="2"/>
  <c r="AG759" i="2"/>
  <c r="K760" i="2"/>
  <c r="L760" i="2" s="1"/>
  <c r="Q760" i="2"/>
  <c r="S760" i="2"/>
  <c r="W760" i="2"/>
  <c r="X760" i="2"/>
  <c r="Y760" i="2"/>
  <c r="AE760" i="2" s="1"/>
  <c r="Z760" i="2"/>
  <c r="AF760" i="2"/>
  <c r="AG760" i="2"/>
  <c r="K761" i="2"/>
  <c r="L761" i="2" s="1"/>
  <c r="Q761" i="2"/>
  <c r="Y761" i="2" s="1"/>
  <c r="S761" i="2"/>
  <c r="W761" i="2"/>
  <c r="X761" i="2"/>
  <c r="Z761" i="2"/>
  <c r="AF761" i="2"/>
  <c r="AG761" i="2"/>
  <c r="AN761" i="2"/>
  <c r="Q762" i="2"/>
  <c r="Y762" i="2" s="1"/>
  <c r="S762" i="2"/>
  <c r="W762" i="2"/>
  <c r="X762" i="2"/>
  <c r="Z762" i="2"/>
  <c r="AN762" i="2" s="1"/>
  <c r="AF762" i="2"/>
  <c r="AG762" i="2"/>
  <c r="AG755" i="2"/>
  <c r="AF755" i="2"/>
  <c r="Z755" i="2"/>
  <c r="AN755" i="2" s="1"/>
  <c r="X755" i="2"/>
  <c r="W755" i="2"/>
  <c r="S755" i="2"/>
  <c r="Q755" i="2"/>
  <c r="Y755" i="2" s="1"/>
  <c r="K737" i="2"/>
  <c r="L737" i="2"/>
  <c r="S737" i="2"/>
  <c r="W737" i="2"/>
  <c r="X737" i="2"/>
  <c r="Y737" i="2"/>
  <c r="Z737" i="2"/>
  <c r="AN737" i="2" s="1"/>
  <c r="AF737" i="2"/>
  <c r="AG737" i="2"/>
  <c r="K738" i="2"/>
  <c r="L738" i="2" s="1"/>
  <c r="S738" i="2"/>
  <c r="W738" i="2"/>
  <c r="X738" i="2"/>
  <c r="Y738" i="2"/>
  <c r="Z738" i="2"/>
  <c r="AN738" i="2" s="1"/>
  <c r="AF738" i="2"/>
  <c r="AG738" i="2"/>
  <c r="K739" i="2"/>
  <c r="L739" i="2"/>
  <c r="S739" i="2"/>
  <c r="W739" i="2"/>
  <c r="X739" i="2"/>
  <c r="Y739" i="2"/>
  <c r="Z739" i="2"/>
  <c r="AF739" i="2"/>
  <c r="AG739" i="2"/>
  <c r="K740" i="2"/>
  <c r="L740" i="2" s="1"/>
  <c r="S740" i="2"/>
  <c r="W740" i="2"/>
  <c r="X740" i="2"/>
  <c r="Y740" i="2"/>
  <c r="Z740" i="2"/>
  <c r="AA740" i="2" s="1"/>
  <c r="AF740" i="2"/>
  <c r="AG740" i="2"/>
  <c r="K741" i="2"/>
  <c r="L741" i="2"/>
  <c r="S741" i="2"/>
  <c r="W741" i="2"/>
  <c r="X741" i="2"/>
  <c r="Y741" i="2"/>
  <c r="Z741" i="2"/>
  <c r="AN741" i="2" s="1"/>
  <c r="AA741" i="2"/>
  <c r="AF741" i="2"/>
  <c r="AG741" i="2"/>
  <c r="K742" i="2"/>
  <c r="L742" i="2" s="1"/>
  <c r="S742" i="2"/>
  <c r="W742" i="2"/>
  <c r="X742" i="2"/>
  <c r="Y742" i="2"/>
  <c r="Z742" i="2"/>
  <c r="AA742" i="2"/>
  <c r="AF742" i="2"/>
  <c r="AG742" i="2"/>
  <c r="K743" i="2"/>
  <c r="L743" i="2"/>
  <c r="S743" i="2"/>
  <c r="W743" i="2"/>
  <c r="X743" i="2"/>
  <c r="Y743" i="2"/>
  <c r="Z743" i="2"/>
  <c r="AN743" i="2" s="1"/>
  <c r="AF743" i="2"/>
  <c r="AG743" i="2"/>
  <c r="K744" i="2"/>
  <c r="L744" i="2"/>
  <c r="S744" i="2"/>
  <c r="W744" i="2"/>
  <c r="X744" i="2"/>
  <c r="Y744" i="2"/>
  <c r="Z744" i="2"/>
  <c r="AN744" i="2" s="1"/>
  <c r="AA744" i="2"/>
  <c r="AF744" i="2"/>
  <c r="AG744" i="2"/>
  <c r="K745" i="2"/>
  <c r="L745" i="2" s="1"/>
  <c r="S745" i="2"/>
  <c r="AE745" i="2" s="1"/>
  <c r="AJ745" i="2" s="1"/>
  <c r="W745" i="2"/>
  <c r="X745" i="2"/>
  <c r="Y745" i="2"/>
  <c r="Z745" i="2"/>
  <c r="AN745" i="2" s="1"/>
  <c r="AF745" i="2"/>
  <c r="AG745" i="2"/>
  <c r="K746" i="2"/>
  <c r="L746" i="2"/>
  <c r="S746" i="2"/>
  <c r="W746" i="2"/>
  <c r="X746" i="2"/>
  <c r="Y746" i="2"/>
  <c r="AE746" i="2" s="1"/>
  <c r="Z746" i="2"/>
  <c r="AN746" i="2" s="1"/>
  <c r="AF746" i="2"/>
  <c r="AG746" i="2"/>
  <c r="K747" i="2"/>
  <c r="L747" i="2" s="1"/>
  <c r="S747" i="2"/>
  <c r="W747" i="2"/>
  <c r="X747" i="2"/>
  <c r="Y747" i="2"/>
  <c r="Z747" i="2"/>
  <c r="AN747" i="2" s="1"/>
  <c r="AF747" i="2"/>
  <c r="AG747" i="2"/>
  <c r="K748" i="2"/>
  <c r="L748" i="2" s="1"/>
  <c r="S748" i="2"/>
  <c r="W748" i="2"/>
  <c r="X748" i="2"/>
  <c r="Y748" i="2"/>
  <c r="Z748" i="2"/>
  <c r="AN748" i="2" s="1"/>
  <c r="AF748" i="2"/>
  <c r="AG748" i="2"/>
  <c r="K749" i="2"/>
  <c r="L749" i="2" s="1"/>
  <c r="S749" i="2"/>
  <c r="W749" i="2"/>
  <c r="X749" i="2"/>
  <c r="Y749" i="2"/>
  <c r="Z749" i="2"/>
  <c r="AN749" i="2" s="1"/>
  <c r="AA749" i="2"/>
  <c r="AE749" i="2"/>
  <c r="AF749" i="2"/>
  <c r="AG749" i="2"/>
  <c r="K750" i="2"/>
  <c r="L750" i="2"/>
  <c r="S750" i="2"/>
  <c r="W750" i="2"/>
  <c r="X750" i="2"/>
  <c r="Y750" i="2"/>
  <c r="Z750" i="2"/>
  <c r="AN750" i="2" s="1"/>
  <c r="AF750" i="2"/>
  <c r="AG750" i="2"/>
  <c r="K751" i="2"/>
  <c r="L751" i="2"/>
  <c r="S751" i="2"/>
  <c r="W751" i="2"/>
  <c r="X751" i="2"/>
  <c r="Y751" i="2"/>
  <c r="Z751" i="2"/>
  <c r="AN751" i="2" s="1"/>
  <c r="AF751" i="2"/>
  <c r="AG751" i="2"/>
  <c r="K752" i="2"/>
  <c r="L752" i="2" s="1"/>
  <c r="S752" i="2"/>
  <c r="W752" i="2"/>
  <c r="X752" i="2"/>
  <c r="Y752" i="2"/>
  <c r="Z752" i="2"/>
  <c r="AF752" i="2"/>
  <c r="AG752" i="2"/>
  <c r="AN752" i="2"/>
  <c r="K753" i="2"/>
  <c r="L753" i="2" s="1"/>
  <c r="S753" i="2"/>
  <c r="W753" i="2"/>
  <c r="X753" i="2"/>
  <c r="Y753" i="2"/>
  <c r="Z753" i="2"/>
  <c r="AN753" i="2" s="1"/>
  <c r="AF753" i="2"/>
  <c r="AG753" i="2"/>
  <c r="K754" i="2"/>
  <c r="L754" i="2" s="1"/>
  <c r="S754" i="2"/>
  <c r="W754" i="2"/>
  <c r="X754" i="2"/>
  <c r="Y754" i="2"/>
  <c r="Z754" i="2"/>
  <c r="AN754" i="2" s="1"/>
  <c r="AF754" i="2"/>
  <c r="AG754" i="2"/>
  <c r="AG736" i="2"/>
  <c r="AF736" i="2"/>
  <c r="Z736" i="2"/>
  <c r="AN736" i="2" s="1"/>
  <c r="Y736" i="2"/>
  <c r="X736" i="2"/>
  <c r="W736" i="2"/>
  <c r="S736" i="2"/>
  <c r="K736" i="2"/>
  <c r="L736" i="2" s="1"/>
  <c r="AA745" i="2" l="1"/>
  <c r="AA738" i="2"/>
  <c r="AE754" i="2"/>
  <c r="AA752" i="2"/>
  <c r="AE737" i="2"/>
  <c r="AI737" i="2" s="1"/>
  <c r="AE742" i="2"/>
  <c r="AK742" i="2" s="1"/>
  <c r="AL742" i="2" s="1"/>
  <c r="AA761" i="2"/>
  <c r="AK761" i="2" s="1"/>
  <c r="AL761" i="2" s="1"/>
  <c r="AE756" i="2"/>
  <c r="AO756" i="2" s="1"/>
  <c r="AA753" i="2"/>
  <c r="AA748" i="2"/>
  <c r="AA736" i="2"/>
  <c r="AH737" i="2"/>
  <c r="AC737" i="2" s="1"/>
  <c r="AJ737" i="2"/>
  <c r="AE753" i="2"/>
  <c r="AO753" i="2" s="1"/>
  <c r="AE738" i="2"/>
  <c r="AK738" i="2" s="1"/>
  <c r="AL738" i="2" s="1"/>
  <c r="AE741" i="2"/>
  <c r="AI741" i="2" s="1"/>
  <c r="AA760" i="2"/>
  <c r="AA739" i="2"/>
  <c r="AA747" i="2"/>
  <c r="AN740" i="2"/>
  <c r="AA756" i="2"/>
  <c r="AE761" i="2"/>
  <c r="AJ761" i="2" s="1"/>
  <c r="AA750" i="2"/>
  <c r="AA737" i="2"/>
  <c r="AK737" i="2" s="1"/>
  <c r="AL737" i="2" s="1"/>
  <c r="AA743" i="2"/>
  <c r="AH749" i="2"/>
  <c r="AC749" i="2" s="1"/>
  <c r="AE757" i="2"/>
  <c r="AE762" i="2"/>
  <c r="AJ762" i="2" s="1"/>
  <c r="AA755" i="2"/>
  <c r="AH760" i="2"/>
  <c r="AC760" i="2" s="1"/>
  <c r="AA757" i="2"/>
  <c r="AE755" i="2"/>
  <c r="AJ755" i="2" s="1"/>
  <c r="AE759" i="2"/>
  <c r="AA759" i="2"/>
  <c r="AE758" i="2"/>
  <c r="AN760" i="2"/>
  <c r="AO760" i="2" s="1"/>
  <c r="AA762" i="2"/>
  <c r="AK760" i="2"/>
  <c r="AL760" i="2" s="1"/>
  <c r="AJ760" i="2"/>
  <c r="AI760" i="2"/>
  <c r="AM760" i="2" s="1"/>
  <c r="AA758" i="2"/>
  <c r="AH745" i="2"/>
  <c r="AC745" i="2" s="1"/>
  <c r="AK749" i="2"/>
  <c r="AI749" i="2"/>
  <c r="AJ749" i="2"/>
  <c r="AI745" i="2"/>
  <c r="AK745" i="2"/>
  <c r="AL745" i="2" s="1"/>
  <c r="AE750" i="2"/>
  <c r="AI750" i="2" s="1"/>
  <c r="AE740" i="2"/>
  <c r="AK740" i="2" s="1"/>
  <c r="AL740" i="2" s="1"/>
  <c r="AA754" i="2"/>
  <c r="AK754" i="2" s="1"/>
  <c r="AL754" i="2" s="1"/>
  <c r="AM754" i="2" s="1"/>
  <c r="AA746" i="2"/>
  <c r="AK746" i="2" s="1"/>
  <c r="AL746" i="2" s="1"/>
  <c r="AE739" i="2"/>
  <c r="AE744" i="2"/>
  <c r="AH744" i="2" s="1"/>
  <c r="AC744" i="2" s="1"/>
  <c r="AE752" i="2"/>
  <c r="AK752" i="2" s="1"/>
  <c r="AL752" i="2" s="1"/>
  <c r="AE748" i="2"/>
  <c r="AH748" i="2" s="1"/>
  <c r="AC748" i="2" s="1"/>
  <c r="AL749" i="2"/>
  <c r="AM749" i="2" s="1"/>
  <c r="AE736" i="2"/>
  <c r="AO736" i="2" s="1"/>
  <c r="AI742" i="2"/>
  <c r="AH742" i="2"/>
  <c r="AC742" i="2" s="1"/>
  <c r="AH754" i="2"/>
  <c r="AC754" i="2" s="1"/>
  <c r="AI754" i="2"/>
  <c r="AJ754" i="2"/>
  <c r="AE751" i="2"/>
  <c r="AO751" i="2" s="1"/>
  <c r="AH750" i="2"/>
  <c r="AC750" i="2" s="1"/>
  <c r="AE747" i="2"/>
  <c r="AH746" i="2"/>
  <c r="AC746" i="2" s="1"/>
  <c r="AJ746" i="2"/>
  <c r="AI746" i="2"/>
  <c r="AE743" i="2"/>
  <c r="AN739" i="2"/>
  <c r="AA751" i="2"/>
  <c r="AN742" i="2"/>
  <c r="AO742" i="2" s="1"/>
  <c r="AO749" i="2"/>
  <c r="AO737" i="2"/>
  <c r="AO754" i="2"/>
  <c r="AO746" i="2"/>
  <c r="AO745" i="2"/>
  <c r="AO744" i="2" l="1"/>
  <c r="AJ742" i="2"/>
  <c r="AK753" i="2"/>
  <c r="AL753" i="2" s="1"/>
  <c r="AI756" i="2"/>
  <c r="AK762" i="2"/>
  <c r="AL762" i="2" s="1"/>
  <c r="AJ756" i="2"/>
  <c r="AH756" i="2"/>
  <c r="AC756" i="2" s="1"/>
  <c r="AJ738" i="2"/>
  <c r="AJ753" i="2"/>
  <c r="AI753" i="2"/>
  <c r="AM753" i="2" s="1"/>
  <c r="AI738" i="2"/>
  <c r="AH753" i="2"/>
  <c r="AC753" i="2" s="1"/>
  <c r="AO738" i="2"/>
  <c r="AM738" i="2"/>
  <c r="AK741" i="2"/>
  <c r="AL741" i="2" s="1"/>
  <c r="AM741" i="2" s="1"/>
  <c r="AK739" i="2"/>
  <c r="AL739" i="2" s="1"/>
  <c r="AH741" i="2"/>
  <c r="AC741" i="2" s="1"/>
  <c r="AI762" i="2"/>
  <c r="AH762" i="2"/>
  <c r="AC762" i="2" s="1"/>
  <c r="AJ741" i="2"/>
  <c r="AM737" i="2"/>
  <c r="AK755" i="2"/>
  <c r="AL755" i="2" s="1"/>
  <c r="AO755" i="2"/>
  <c r="AO762" i="2"/>
  <c r="AH738" i="2"/>
  <c r="AC738" i="2" s="1"/>
  <c r="AK756" i="2"/>
  <c r="AL756" i="2" s="1"/>
  <c r="AM756" i="2" s="1"/>
  <c r="AH761" i="2"/>
  <c r="AC761" i="2" s="1"/>
  <c r="AM746" i="2"/>
  <c r="AH755" i="2"/>
  <c r="AC755" i="2" s="1"/>
  <c r="AO761" i="2"/>
  <c r="AO741" i="2"/>
  <c r="AI755" i="2"/>
  <c r="AI761" i="2"/>
  <c r="AM761" i="2" s="1"/>
  <c r="AM745" i="2"/>
  <c r="AO757" i="2"/>
  <c r="AI757" i="2"/>
  <c r="AH757" i="2"/>
  <c r="AC757" i="2" s="1"/>
  <c r="AJ757" i="2"/>
  <c r="AK757" i="2"/>
  <c r="AL757" i="2" s="1"/>
  <c r="AM757" i="2" s="1"/>
  <c r="AM762" i="2"/>
  <c r="AO758" i="2"/>
  <c r="AI758" i="2"/>
  <c r="AJ758" i="2"/>
  <c r="AK758" i="2"/>
  <c r="AL758" i="2" s="1"/>
  <c r="AH758" i="2"/>
  <c r="AC758" i="2" s="1"/>
  <c r="AO759" i="2"/>
  <c r="AK759" i="2"/>
  <c r="AL759" i="2" s="1"/>
  <c r="AH759" i="2"/>
  <c r="AC759" i="2" s="1"/>
  <c r="AI759" i="2"/>
  <c r="AJ759" i="2"/>
  <c r="AJ748" i="2"/>
  <c r="AH752" i="2"/>
  <c r="AC752" i="2" s="1"/>
  <c r="AJ752" i="2"/>
  <c r="AI752" i="2"/>
  <c r="AH740" i="2"/>
  <c r="AC740" i="2" s="1"/>
  <c r="AJ740" i="2"/>
  <c r="AJ739" i="2"/>
  <c r="AI739" i="2"/>
  <c r="AO750" i="2"/>
  <c r="AH739" i="2"/>
  <c r="AC739" i="2" s="1"/>
  <c r="AK750" i="2"/>
  <c r="AL750" i="2" s="1"/>
  <c r="AI740" i="2"/>
  <c r="AI736" i="2"/>
  <c r="AO740" i="2"/>
  <c r="AJ736" i="2"/>
  <c r="AI744" i="2"/>
  <c r="AK736" i="2"/>
  <c r="AL736" i="2" s="1"/>
  <c r="AK744" i="2"/>
  <c r="AL744" i="2" s="1"/>
  <c r="AJ744" i="2"/>
  <c r="AI748" i="2"/>
  <c r="AM742" i="2"/>
  <c r="AK748" i="2"/>
  <c r="AL748" i="2" s="1"/>
  <c r="AO748" i="2"/>
  <c r="AH736" i="2"/>
  <c r="AC736" i="2" s="1"/>
  <c r="AO739" i="2"/>
  <c r="AJ750" i="2"/>
  <c r="AO752" i="2"/>
  <c r="AI751" i="2"/>
  <c r="AJ751" i="2"/>
  <c r="AK751" i="2"/>
  <c r="AL751" i="2" s="1"/>
  <c r="AH751" i="2"/>
  <c r="AC751" i="2" s="1"/>
  <c r="AH747" i="2"/>
  <c r="AC747" i="2" s="1"/>
  <c r="AI747" i="2"/>
  <c r="AJ747" i="2"/>
  <c r="AK747" i="2"/>
  <c r="AL747" i="2" s="1"/>
  <c r="AO747" i="2"/>
  <c r="AI743" i="2"/>
  <c r="AJ743" i="2"/>
  <c r="AK743" i="2"/>
  <c r="AL743" i="2" s="1"/>
  <c r="AH743" i="2"/>
  <c r="AC743" i="2" s="1"/>
  <c r="AO743" i="2"/>
  <c r="AM758" i="2" l="1"/>
  <c r="AM739" i="2"/>
  <c r="AM740" i="2"/>
  <c r="AM755" i="2"/>
  <c r="AM751" i="2"/>
  <c r="AM747" i="2"/>
  <c r="AM759" i="2"/>
  <c r="AM752" i="2"/>
  <c r="AM748" i="2"/>
  <c r="AM750" i="2"/>
  <c r="AM743" i="2"/>
  <c r="AM736" i="2"/>
  <c r="AM744" i="2"/>
  <c r="O9" i="1" l="1"/>
  <c r="O10" i="1"/>
  <c r="O15" i="1"/>
  <c r="O16" i="1"/>
  <c r="O19" i="1"/>
  <c r="O20" i="1"/>
  <c r="O23" i="1"/>
  <c r="O25" i="1"/>
  <c r="O27" i="1"/>
  <c r="O29" i="1"/>
  <c r="O31" i="1"/>
  <c r="O33" i="1"/>
  <c r="O34" i="1"/>
  <c r="O36" i="1"/>
  <c r="O38" i="1"/>
  <c r="M32" i="1"/>
  <c r="M30" i="1"/>
  <c r="M23" i="1"/>
  <c r="M18" i="1"/>
  <c r="M22" i="1" s="1"/>
  <c r="M17" i="1"/>
  <c r="M21" i="1" s="1"/>
  <c r="M13" i="1"/>
  <c r="M12" i="1"/>
  <c r="M11" i="1"/>
  <c r="M8" i="1"/>
  <c r="M14" i="1" l="1"/>
  <c r="K729" i="2"/>
  <c r="L729" i="2" s="1"/>
  <c r="K730" i="2"/>
  <c r="L730" i="2" s="1"/>
  <c r="Q730" i="2"/>
  <c r="Y730" i="2" s="1"/>
  <c r="S730" i="2"/>
  <c r="W730" i="2"/>
  <c r="X730" i="2"/>
  <c r="Z730" i="2"/>
  <c r="AN730" i="2" s="1"/>
  <c r="AF730" i="2"/>
  <c r="AG730" i="2"/>
  <c r="K731" i="2"/>
  <c r="L731" i="2" s="1"/>
  <c r="Q731" i="2"/>
  <c r="Y731" i="2" s="1"/>
  <c r="S731" i="2"/>
  <c r="W731" i="2"/>
  <c r="X731" i="2"/>
  <c r="Z731" i="2"/>
  <c r="AN731" i="2" s="1"/>
  <c r="AF731" i="2"/>
  <c r="AG731" i="2"/>
  <c r="K732" i="2"/>
  <c r="L732" i="2" s="1"/>
  <c r="Q732" i="2"/>
  <c r="Y732" i="2" s="1"/>
  <c r="S732" i="2"/>
  <c r="AE732" i="2" s="1"/>
  <c r="W732" i="2"/>
  <c r="X732" i="2"/>
  <c r="Z732" i="2"/>
  <c r="AN732" i="2" s="1"/>
  <c r="AF732" i="2"/>
  <c r="AG732" i="2"/>
  <c r="K733" i="2"/>
  <c r="L733" i="2" s="1"/>
  <c r="Q733" i="2"/>
  <c r="Y733" i="2" s="1"/>
  <c r="S733" i="2"/>
  <c r="AE733" i="2" s="1"/>
  <c r="W733" i="2"/>
  <c r="X733" i="2"/>
  <c r="Z733" i="2"/>
  <c r="AN733" i="2" s="1"/>
  <c r="AF733" i="2"/>
  <c r="AG733" i="2"/>
  <c r="K734" i="2"/>
  <c r="L734" i="2"/>
  <c r="Q734" i="2"/>
  <c r="S734" i="2"/>
  <c r="W734" i="2"/>
  <c r="X734" i="2"/>
  <c r="Z734" i="2"/>
  <c r="AN734" i="2" s="1"/>
  <c r="AF734" i="2"/>
  <c r="AG734" i="2"/>
  <c r="K735" i="2"/>
  <c r="L735" i="2" s="1"/>
  <c r="Q735" i="2"/>
  <c r="Y735" i="2" s="1"/>
  <c r="S735" i="2"/>
  <c r="AE735" i="2" s="1"/>
  <c r="W735" i="2"/>
  <c r="X735" i="2"/>
  <c r="Z735" i="2"/>
  <c r="AN735" i="2" s="1"/>
  <c r="AF735" i="2"/>
  <c r="AG735" i="2"/>
  <c r="AG729" i="2"/>
  <c r="AF729" i="2"/>
  <c r="Z729" i="2"/>
  <c r="AN729" i="2" s="1"/>
  <c r="X729" i="2"/>
  <c r="W729" i="2"/>
  <c r="S729" i="2"/>
  <c r="Q729" i="2"/>
  <c r="Y729" i="2" s="1"/>
  <c r="K721" i="2"/>
  <c r="L721" i="2" s="1"/>
  <c r="S721" i="2"/>
  <c r="W721" i="2"/>
  <c r="X721" i="2"/>
  <c r="Y721" i="2"/>
  <c r="Z721" i="2"/>
  <c r="AN721" i="2" s="1"/>
  <c r="AF721" i="2"/>
  <c r="AG721" i="2"/>
  <c r="K722" i="2"/>
  <c r="L722" i="2" s="1"/>
  <c r="S722" i="2"/>
  <c r="W722" i="2"/>
  <c r="X722" i="2"/>
  <c r="Y722" i="2"/>
  <c r="Z722" i="2"/>
  <c r="AF722" i="2"/>
  <c r="AG722" i="2"/>
  <c r="AN722" i="2"/>
  <c r="K723" i="2"/>
  <c r="L723" i="2"/>
  <c r="S723" i="2"/>
  <c r="W723" i="2"/>
  <c r="X723" i="2"/>
  <c r="Y723" i="2"/>
  <c r="Z723" i="2"/>
  <c r="AN723" i="2" s="1"/>
  <c r="AF723" i="2"/>
  <c r="AG723" i="2"/>
  <c r="K724" i="2"/>
  <c r="L724" i="2" s="1"/>
  <c r="S724" i="2"/>
  <c r="W724" i="2"/>
  <c r="X724" i="2"/>
  <c r="Y724" i="2"/>
  <c r="Z724" i="2"/>
  <c r="AA724" i="2" s="1"/>
  <c r="AF724" i="2"/>
  <c r="AG724" i="2"/>
  <c r="K725" i="2"/>
  <c r="L725" i="2"/>
  <c r="S725" i="2"/>
  <c r="W725" i="2"/>
  <c r="X725" i="2"/>
  <c r="Y725" i="2"/>
  <c r="Z725" i="2"/>
  <c r="AN725" i="2" s="1"/>
  <c r="AF725" i="2"/>
  <c r="AG725" i="2"/>
  <c r="K726" i="2"/>
  <c r="L726" i="2"/>
  <c r="S726" i="2"/>
  <c r="W726" i="2"/>
  <c r="X726" i="2"/>
  <c r="Y726" i="2"/>
  <c r="Z726" i="2"/>
  <c r="AF726" i="2"/>
  <c r="AG726" i="2"/>
  <c r="K727" i="2"/>
  <c r="L727" i="2" s="1"/>
  <c r="S727" i="2"/>
  <c r="AE727" i="2" s="1"/>
  <c r="AJ727" i="2" s="1"/>
  <c r="W727" i="2"/>
  <c r="X727" i="2"/>
  <c r="Y727" i="2"/>
  <c r="Z727" i="2"/>
  <c r="AF727" i="2"/>
  <c r="AG727" i="2"/>
  <c r="K728" i="2"/>
  <c r="L728" i="2" s="1"/>
  <c r="S728" i="2"/>
  <c r="W728" i="2"/>
  <c r="X728" i="2"/>
  <c r="Y728" i="2"/>
  <c r="Z728" i="2"/>
  <c r="AN728" i="2" s="1"/>
  <c r="AF728" i="2"/>
  <c r="AG728" i="2"/>
  <c r="AG720" i="2"/>
  <c r="AF720" i="2"/>
  <c r="Z720" i="2"/>
  <c r="Y720" i="2"/>
  <c r="X720" i="2"/>
  <c r="W720" i="2"/>
  <c r="S720" i="2"/>
  <c r="K720" i="2"/>
  <c r="L720" i="2" s="1"/>
  <c r="AA725" i="2" l="1"/>
  <c r="AE726" i="2"/>
  <c r="AJ726" i="2" s="1"/>
  <c r="AA726" i="2"/>
  <c r="AK726" i="2" s="1"/>
  <c r="AL726" i="2" s="1"/>
  <c r="AA732" i="2"/>
  <c r="AK732" i="2" s="1"/>
  <c r="AL732" i="2" s="1"/>
  <c r="AA728" i="2"/>
  <c r="AE728" i="2"/>
  <c r="AJ728" i="2" s="1"/>
  <c r="AA727" i="2"/>
  <c r="AA721" i="2"/>
  <c r="AE730" i="2"/>
  <c r="AO730" i="2" s="1"/>
  <c r="AA730" i="2"/>
  <c r="AE731" i="2"/>
  <c r="AH731" i="2" s="1"/>
  <c r="AC731" i="2" s="1"/>
  <c r="AA731" i="2"/>
  <c r="AA735" i="2"/>
  <c r="AK735" i="2" s="1"/>
  <c r="AL735" i="2" s="1"/>
  <c r="AA723" i="2"/>
  <c r="AE721" i="2"/>
  <c r="AI721" i="2" s="1"/>
  <c r="AE720" i="2"/>
  <c r="AN724" i="2"/>
  <c r="AH733" i="2"/>
  <c r="AH735" i="2"/>
  <c r="AC735" i="2" s="1"/>
  <c r="AI735" i="2"/>
  <c r="AJ735" i="2"/>
  <c r="AO735" i="2"/>
  <c r="AO732" i="2"/>
  <c r="AJ732" i="2"/>
  <c r="AI732" i="2"/>
  <c r="AH732" i="2"/>
  <c r="AC732" i="2" s="1"/>
  <c r="AA733" i="2"/>
  <c r="Y734" i="2"/>
  <c r="AE734" i="2" s="1"/>
  <c r="AE729" i="2"/>
  <c r="AH729" i="2" s="1"/>
  <c r="AA729" i="2"/>
  <c r="AA722" i="2"/>
  <c r="AE723" i="2"/>
  <c r="AI723" i="2" s="1"/>
  <c r="AE725" i="2"/>
  <c r="AI725" i="2" s="1"/>
  <c r="AH727" i="2"/>
  <c r="AC727" i="2" s="1"/>
  <c r="AE722" i="2"/>
  <c r="AE724" i="2"/>
  <c r="AK724" i="2" s="1"/>
  <c r="AL724" i="2" s="1"/>
  <c r="AN726" i="2"/>
  <c r="AO726" i="2" s="1"/>
  <c r="AI726" i="2"/>
  <c r="AN727" i="2"/>
  <c r="AO727" i="2" s="1"/>
  <c r="AH726" i="2"/>
  <c r="AC726" i="2" s="1"/>
  <c r="AI727" i="2"/>
  <c r="AO728" i="2"/>
  <c r="AK727" i="2"/>
  <c r="AL727" i="2" s="1"/>
  <c r="AA720" i="2"/>
  <c r="AN720" i="2"/>
  <c r="AJ731" i="2" l="1"/>
  <c r="AA734" i="2"/>
  <c r="AK734" i="2" s="1"/>
  <c r="AL734" i="2" s="1"/>
  <c r="AI724" i="2"/>
  <c r="AI728" i="2"/>
  <c r="AH728" i="2"/>
  <c r="AC728" i="2" s="1"/>
  <c r="AO724" i="2"/>
  <c r="AH724" i="2"/>
  <c r="AC724" i="2" s="1"/>
  <c r="AK721" i="2"/>
  <c r="AL721" i="2" s="1"/>
  <c r="AJ721" i="2"/>
  <c r="AH721" i="2"/>
  <c r="AC721" i="2" s="1"/>
  <c r="AO721" i="2"/>
  <c r="AI731" i="2"/>
  <c r="AH725" i="2"/>
  <c r="AC725" i="2" s="1"/>
  <c r="AK730" i="2"/>
  <c r="AL730" i="2" s="1"/>
  <c r="AJ725" i="2"/>
  <c r="AJ730" i="2"/>
  <c r="AI730" i="2"/>
  <c r="AM730" i="2" s="1"/>
  <c r="AK728" i="2"/>
  <c r="AL728" i="2" s="1"/>
  <c r="AM728" i="2" s="1"/>
  <c r="AH730" i="2"/>
  <c r="AC730" i="2" s="1"/>
  <c r="AM726" i="2"/>
  <c r="AK731" i="2"/>
  <c r="AL731" i="2" s="1"/>
  <c r="AJ724" i="2"/>
  <c r="AM724" i="2" s="1"/>
  <c r="AM735" i="2"/>
  <c r="AO731" i="2"/>
  <c r="AO729" i="2"/>
  <c r="AH720" i="2"/>
  <c r="AO720" i="2"/>
  <c r="AK720" i="2"/>
  <c r="AL720" i="2" s="1"/>
  <c r="AJ720" i="2"/>
  <c r="AI720" i="2"/>
  <c r="AO733" i="2"/>
  <c r="AJ733" i="2"/>
  <c r="AI733" i="2"/>
  <c r="AC733" i="2"/>
  <c r="AK733" i="2"/>
  <c r="AL733" i="2" s="1"/>
  <c r="AM732" i="2"/>
  <c r="AI734" i="2"/>
  <c r="AJ734" i="2"/>
  <c r="AO734" i="2"/>
  <c r="AH734" i="2"/>
  <c r="AC734" i="2" s="1"/>
  <c r="AK729" i="2"/>
  <c r="AL729" i="2" s="1"/>
  <c r="AJ729" i="2"/>
  <c r="AI729" i="2"/>
  <c r="AC729" i="2"/>
  <c r="AK725" i="2"/>
  <c r="AL725" i="2" s="1"/>
  <c r="AM725" i="2" s="1"/>
  <c r="AM727" i="2"/>
  <c r="AO725" i="2"/>
  <c r="AH722" i="2"/>
  <c r="AC722" i="2" s="1"/>
  <c r="AJ722" i="2"/>
  <c r="AK722" i="2"/>
  <c r="AL722" i="2" s="1"/>
  <c r="AO722" i="2"/>
  <c r="AI722" i="2"/>
  <c r="AK723" i="2"/>
  <c r="AL723" i="2" s="1"/>
  <c r="AH723" i="2"/>
  <c r="AC723" i="2" s="1"/>
  <c r="AO723" i="2"/>
  <c r="AJ723" i="2"/>
  <c r="AM721" i="2"/>
  <c r="AM731" i="2" l="1"/>
  <c r="AM734" i="2"/>
  <c r="AM729" i="2"/>
  <c r="AM733" i="2"/>
  <c r="AM720" i="2"/>
  <c r="AC720" i="2"/>
  <c r="AM723" i="2"/>
  <c r="AM722" i="2"/>
  <c r="AG719" i="2" l="1"/>
  <c r="AF719" i="2"/>
  <c r="Z719" i="2"/>
  <c r="AN719" i="2" s="1"/>
  <c r="Y719" i="2"/>
  <c r="X719" i="2"/>
  <c r="W719" i="2"/>
  <c r="S719" i="2"/>
  <c r="K719" i="2"/>
  <c r="L719" i="2" s="1"/>
  <c r="K718" i="2"/>
  <c r="L718" i="2" s="1"/>
  <c r="K717" i="2"/>
  <c r="L717" i="2" s="1"/>
  <c r="Q718" i="2"/>
  <c r="Y718" i="2" s="1"/>
  <c r="S718" i="2"/>
  <c r="W718" i="2"/>
  <c r="X718" i="2"/>
  <c r="Z718" i="2"/>
  <c r="AF718" i="2"/>
  <c r="AG718" i="2"/>
  <c r="AG717" i="2"/>
  <c r="AF717" i="2"/>
  <c r="Z717" i="2"/>
  <c r="AN717" i="2" s="1"/>
  <c r="X717" i="2"/>
  <c r="W717" i="2"/>
  <c r="S717" i="2"/>
  <c r="Q717" i="2"/>
  <c r="Y717" i="2" s="1"/>
  <c r="K710" i="2"/>
  <c r="L710" i="2" s="1"/>
  <c r="S710" i="2"/>
  <c r="W710" i="2"/>
  <c r="X710" i="2"/>
  <c r="Y710" i="2"/>
  <c r="Z710" i="2"/>
  <c r="AF710" i="2"/>
  <c r="AG710" i="2"/>
  <c r="K711" i="2"/>
  <c r="L711" i="2" s="1"/>
  <c r="S711" i="2"/>
  <c r="W711" i="2"/>
  <c r="X711" i="2"/>
  <c r="Y711" i="2"/>
  <c r="Z711" i="2"/>
  <c r="AF711" i="2"/>
  <c r="AG711" i="2"/>
  <c r="K712" i="2"/>
  <c r="L712" i="2" s="1"/>
  <c r="S712" i="2"/>
  <c r="W712" i="2"/>
  <c r="X712" i="2"/>
  <c r="Y712" i="2"/>
  <c r="Z712" i="2"/>
  <c r="AN712" i="2" s="1"/>
  <c r="AF712" i="2"/>
  <c r="AG712" i="2"/>
  <c r="K713" i="2"/>
  <c r="L713" i="2" s="1"/>
  <c r="S713" i="2"/>
  <c r="W713" i="2"/>
  <c r="X713" i="2"/>
  <c r="Y713" i="2"/>
  <c r="Z713" i="2"/>
  <c r="AN713" i="2" s="1"/>
  <c r="AF713" i="2"/>
  <c r="AG713" i="2"/>
  <c r="K714" i="2"/>
  <c r="L714" i="2" s="1"/>
  <c r="S714" i="2"/>
  <c r="W714" i="2"/>
  <c r="X714" i="2"/>
  <c r="Y714" i="2"/>
  <c r="Z714" i="2"/>
  <c r="AN714" i="2" s="1"/>
  <c r="AF714" i="2"/>
  <c r="AG714" i="2"/>
  <c r="K715" i="2"/>
  <c r="L715" i="2" s="1"/>
  <c r="S715" i="2"/>
  <c r="W715" i="2"/>
  <c r="X715" i="2"/>
  <c r="Y715" i="2"/>
  <c r="Z715" i="2"/>
  <c r="AN715" i="2" s="1"/>
  <c r="AF715" i="2"/>
  <c r="AG715" i="2"/>
  <c r="K716" i="2"/>
  <c r="L716" i="2" s="1"/>
  <c r="S716" i="2"/>
  <c r="W716" i="2"/>
  <c r="X716" i="2"/>
  <c r="Y716" i="2"/>
  <c r="Z716" i="2"/>
  <c r="AN716" i="2" s="1"/>
  <c r="AF716" i="2"/>
  <c r="AG716" i="2"/>
  <c r="AG709" i="2"/>
  <c r="AF709" i="2"/>
  <c r="Z709" i="2"/>
  <c r="Y709" i="2"/>
  <c r="X709" i="2"/>
  <c r="W709" i="2"/>
  <c r="S709" i="2"/>
  <c r="K709" i="2"/>
  <c r="L709" i="2" s="1"/>
  <c r="AG708" i="2"/>
  <c r="AF708" i="2"/>
  <c r="Z708" i="2"/>
  <c r="Y708" i="2"/>
  <c r="X708" i="2"/>
  <c r="W708" i="2"/>
  <c r="S708" i="2"/>
  <c r="K708" i="2"/>
  <c r="L708" i="2" s="1"/>
  <c r="AG707" i="2"/>
  <c r="AF707" i="2"/>
  <c r="Z707" i="2"/>
  <c r="Y707" i="2"/>
  <c r="X707" i="2"/>
  <c r="W707" i="2"/>
  <c r="S707" i="2"/>
  <c r="K707" i="2"/>
  <c r="L707" i="2" s="1"/>
  <c r="K697" i="2"/>
  <c r="L697" i="2" s="1"/>
  <c r="K703" i="2"/>
  <c r="L703" i="2" s="1"/>
  <c r="K705" i="2"/>
  <c r="L705" i="2" s="1"/>
  <c r="K706" i="2"/>
  <c r="L706" i="2" s="1"/>
  <c r="K695" i="2"/>
  <c r="L695" i="2" s="1"/>
  <c r="K696" i="2"/>
  <c r="L696" i="2" s="1"/>
  <c r="Q696" i="2"/>
  <c r="Y696" i="2" s="1"/>
  <c r="S696" i="2"/>
  <c r="W696" i="2"/>
  <c r="X696" i="2"/>
  <c r="Z696" i="2"/>
  <c r="AN696" i="2" s="1"/>
  <c r="AF696" i="2"/>
  <c r="AG696" i="2"/>
  <c r="Q697" i="2"/>
  <c r="Y697" i="2" s="1"/>
  <c r="S697" i="2"/>
  <c r="W697" i="2"/>
  <c r="X697" i="2"/>
  <c r="Z697" i="2"/>
  <c r="AN697" i="2" s="1"/>
  <c r="AF697" i="2"/>
  <c r="AG697" i="2"/>
  <c r="K698" i="2"/>
  <c r="L698" i="2" s="1"/>
  <c r="Q698" i="2"/>
  <c r="Y698" i="2" s="1"/>
  <c r="S698" i="2"/>
  <c r="W698" i="2"/>
  <c r="X698" i="2"/>
  <c r="Z698" i="2"/>
  <c r="AN698" i="2" s="1"/>
  <c r="AF698" i="2"/>
  <c r="AG698" i="2"/>
  <c r="K699" i="2"/>
  <c r="L699" i="2" s="1"/>
  <c r="Q699" i="2"/>
  <c r="Y699" i="2" s="1"/>
  <c r="S699" i="2"/>
  <c r="W699" i="2"/>
  <c r="X699" i="2"/>
  <c r="Z699" i="2"/>
  <c r="AN699" i="2" s="1"/>
  <c r="AF699" i="2"/>
  <c r="AG699" i="2"/>
  <c r="K700" i="2"/>
  <c r="L700" i="2" s="1"/>
  <c r="Q700" i="2"/>
  <c r="Y700" i="2" s="1"/>
  <c r="S700" i="2"/>
  <c r="W700" i="2"/>
  <c r="X700" i="2"/>
  <c r="Z700" i="2"/>
  <c r="AN700" i="2" s="1"/>
  <c r="AF700" i="2"/>
  <c r="AG700" i="2"/>
  <c r="K701" i="2"/>
  <c r="L701" i="2" s="1"/>
  <c r="Q701" i="2"/>
  <c r="S701" i="2"/>
  <c r="W701" i="2"/>
  <c r="X701" i="2"/>
  <c r="Z701" i="2"/>
  <c r="AN701" i="2" s="1"/>
  <c r="AF701" i="2"/>
  <c r="AG701" i="2"/>
  <c r="K702" i="2"/>
  <c r="L702" i="2" s="1"/>
  <c r="Q702" i="2"/>
  <c r="Y702" i="2" s="1"/>
  <c r="S702" i="2"/>
  <c r="W702" i="2"/>
  <c r="X702" i="2"/>
  <c r="Z702" i="2"/>
  <c r="AN702" i="2" s="1"/>
  <c r="AF702" i="2"/>
  <c r="AG702" i="2"/>
  <c r="Q703" i="2"/>
  <c r="Y703" i="2" s="1"/>
  <c r="S703" i="2"/>
  <c r="W703" i="2"/>
  <c r="X703" i="2"/>
  <c r="Z703" i="2"/>
  <c r="AN703" i="2" s="1"/>
  <c r="AF703" i="2"/>
  <c r="AG703" i="2"/>
  <c r="K704" i="2"/>
  <c r="L704" i="2" s="1"/>
  <c r="Q704" i="2"/>
  <c r="Y704" i="2" s="1"/>
  <c r="S704" i="2"/>
  <c r="W704" i="2"/>
  <c r="X704" i="2"/>
  <c r="Z704" i="2"/>
  <c r="AN704" i="2" s="1"/>
  <c r="AF704" i="2"/>
  <c r="AG704" i="2"/>
  <c r="Q705" i="2"/>
  <c r="Y705" i="2" s="1"/>
  <c r="S705" i="2"/>
  <c r="W705" i="2"/>
  <c r="X705" i="2"/>
  <c r="Z705" i="2"/>
  <c r="AN705" i="2" s="1"/>
  <c r="AF705" i="2"/>
  <c r="AG705" i="2"/>
  <c r="Q706" i="2"/>
  <c r="Y706" i="2" s="1"/>
  <c r="S706" i="2"/>
  <c r="W706" i="2"/>
  <c r="X706" i="2"/>
  <c r="Z706" i="2"/>
  <c r="AF706" i="2"/>
  <c r="AG706" i="2"/>
  <c r="AG695" i="2"/>
  <c r="AF695" i="2"/>
  <c r="Z695" i="2"/>
  <c r="X695" i="2"/>
  <c r="W695" i="2"/>
  <c r="S695" i="2"/>
  <c r="Q695" i="2"/>
  <c r="Y695" i="2" s="1"/>
  <c r="K683" i="2"/>
  <c r="L683" i="2" s="1"/>
  <c r="S683" i="2"/>
  <c r="W683" i="2"/>
  <c r="X683" i="2"/>
  <c r="Y683" i="2"/>
  <c r="Z683" i="2"/>
  <c r="AN683" i="2" s="1"/>
  <c r="AF683" i="2"/>
  <c r="AG683" i="2"/>
  <c r="K684" i="2"/>
  <c r="L684" i="2" s="1"/>
  <c r="S684" i="2"/>
  <c r="W684" i="2"/>
  <c r="X684" i="2"/>
  <c r="Y684" i="2"/>
  <c r="Z684" i="2"/>
  <c r="AF684" i="2"/>
  <c r="AG684" i="2"/>
  <c r="K685" i="2"/>
  <c r="L685" i="2" s="1"/>
  <c r="S685" i="2"/>
  <c r="W685" i="2"/>
  <c r="X685" i="2"/>
  <c r="Y685" i="2"/>
  <c r="Z685" i="2"/>
  <c r="AN685" i="2" s="1"/>
  <c r="AF685" i="2"/>
  <c r="AG685" i="2"/>
  <c r="K686" i="2"/>
  <c r="L686" i="2" s="1"/>
  <c r="S686" i="2"/>
  <c r="W686" i="2"/>
  <c r="X686" i="2"/>
  <c r="Y686" i="2"/>
  <c r="Z686" i="2"/>
  <c r="AN686" i="2" s="1"/>
  <c r="AF686" i="2"/>
  <c r="AG686" i="2"/>
  <c r="K687" i="2"/>
  <c r="L687" i="2" s="1"/>
  <c r="S687" i="2"/>
  <c r="W687" i="2"/>
  <c r="X687" i="2"/>
  <c r="Y687" i="2"/>
  <c r="Z687" i="2"/>
  <c r="AN687" i="2" s="1"/>
  <c r="AF687" i="2"/>
  <c r="AG687" i="2"/>
  <c r="K688" i="2"/>
  <c r="L688" i="2" s="1"/>
  <c r="S688" i="2"/>
  <c r="W688" i="2"/>
  <c r="X688" i="2"/>
  <c r="Y688" i="2"/>
  <c r="Z688" i="2"/>
  <c r="AN688" i="2" s="1"/>
  <c r="AF688" i="2"/>
  <c r="AG688" i="2"/>
  <c r="K689" i="2"/>
  <c r="L689" i="2" s="1"/>
  <c r="S689" i="2"/>
  <c r="W689" i="2"/>
  <c r="X689" i="2"/>
  <c r="Y689" i="2"/>
  <c r="Z689" i="2"/>
  <c r="AF689" i="2"/>
  <c r="AG689" i="2"/>
  <c r="K690" i="2"/>
  <c r="L690" i="2" s="1"/>
  <c r="S690" i="2"/>
  <c r="W690" i="2"/>
  <c r="X690" i="2"/>
  <c r="Y690" i="2"/>
  <c r="Z690" i="2"/>
  <c r="AN690" i="2" s="1"/>
  <c r="AF690" i="2"/>
  <c r="AG690" i="2"/>
  <c r="K691" i="2"/>
  <c r="L691" i="2" s="1"/>
  <c r="S691" i="2"/>
  <c r="W691" i="2"/>
  <c r="X691" i="2"/>
  <c r="Y691" i="2"/>
  <c r="Z691" i="2"/>
  <c r="AN691" i="2" s="1"/>
  <c r="AF691" i="2"/>
  <c r="AG691" i="2"/>
  <c r="K692" i="2"/>
  <c r="L692" i="2" s="1"/>
  <c r="S692" i="2"/>
  <c r="W692" i="2"/>
  <c r="X692" i="2"/>
  <c r="Y692" i="2"/>
  <c r="Z692" i="2"/>
  <c r="AN692" i="2" s="1"/>
  <c r="AF692" i="2"/>
  <c r="AG692" i="2"/>
  <c r="K693" i="2"/>
  <c r="L693" i="2" s="1"/>
  <c r="S693" i="2"/>
  <c r="W693" i="2"/>
  <c r="X693" i="2"/>
  <c r="Y693" i="2"/>
  <c r="Z693" i="2"/>
  <c r="AN693" i="2" s="1"/>
  <c r="AF693" i="2"/>
  <c r="AG693" i="2"/>
  <c r="K694" i="2"/>
  <c r="L694" i="2" s="1"/>
  <c r="S694" i="2"/>
  <c r="W694" i="2"/>
  <c r="X694" i="2"/>
  <c r="Y694" i="2"/>
  <c r="Z694" i="2"/>
  <c r="AF694" i="2"/>
  <c r="AG694" i="2"/>
  <c r="AG682" i="2"/>
  <c r="AF682" i="2"/>
  <c r="Z682" i="2"/>
  <c r="AN682" i="2" s="1"/>
  <c r="Y682" i="2"/>
  <c r="X682" i="2"/>
  <c r="W682" i="2"/>
  <c r="S682" i="2"/>
  <c r="K682" i="2"/>
  <c r="L682" i="2" s="1"/>
  <c r="AE707" i="2" l="1"/>
  <c r="AH707" i="2" s="1"/>
  <c r="AC707" i="2" s="1"/>
  <c r="AA711" i="2"/>
  <c r="AE697" i="2"/>
  <c r="AH697" i="2" s="1"/>
  <c r="AC697" i="2" s="1"/>
  <c r="AE710" i="2"/>
  <c r="AH710" i="2" s="1"/>
  <c r="AC710" i="2" s="1"/>
  <c r="AE708" i="2"/>
  <c r="AH708" i="2" s="1"/>
  <c r="AC708" i="2" s="1"/>
  <c r="AE719" i="2"/>
  <c r="AJ719" i="2" s="1"/>
  <c r="AH719" i="2"/>
  <c r="AO719" i="2"/>
  <c r="AA719" i="2"/>
  <c r="AK719" i="2" s="1"/>
  <c r="AL719" i="2" s="1"/>
  <c r="AE716" i="2"/>
  <c r="AO716" i="2" s="1"/>
  <c r="AA718" i="2"/>
  <c r="AA683" i="2"/>
  <c r="AA710" i="2"/>
  <c r="AK710" i="2" s="1"/>
  <c r="AL710" i="2" s="1"/>
  <c r="AE713" i="2"/>
  <c r="AI713" i="2" s="1"/>
  <c r="AN711" i="2"/>
  <c r="AE682" i="2"/>
  <c r="AJ682" i="2" s="1"/>
  <c r="AA694" i="2"/>
  <c r="AA689" i="2"/>
  <c r="AA685" i="2"/>
  <c r="AA714" i="2"/>
  <c r="AA699" i="2"/>
  <c r="AA707" i="2"/>
  <c r="AN710" i="2"/>
  <c r="AE683" i="2"/>
  <c r="AA712" i="2"/>
  <c r="AE711" i="2"/>
  <c r="AI711" i="2" s="1"/>
  <c r="AA717" i="2"/>
  <c r="AA709" i="2"/>
  <c r="AA716" i="2"/>
  <c r="AE718" i="2"/>
  <c r="AH718" i="2" s="1"/>
  <c r="AN718" i="2"/>
  <c r="AE717" i="2"/>
  <c r="AE715" i="2"/>
  <c r="AI715" i="2" s="1"/>
  <c r="AE709" i="2"/>
  <c r="AI709" i="2" s="1"/>
  <c r="AE712" i="2"/>
  <c r="AA713" i="2"/>
  <c r="AE714" i="2"/>
  <c r="AI714" i="2" s="1"/>
  <c r="AA715" i="2"/>
  <c r="AN709" i="2"/>
  <c r="AA690" i="2"/>
  <c r="AA693" i="2"/>
  <c r="AA708" i="2"/>
  <c r="AN708" i="2"/>
  <c r="AE692" i="2"/>
  <c r="AI692" i="2" s="1"/>
  <c r="AI708" i="2"/>
  <c r="AJ708" i="2"/>
  <c r="AA687" i="2"/>
  <c r="AE702" i="2"/>
  <c r="AJ702" i="2" s="1"/>
  <c r="AE700" i="2"/>
  <c r="AJ700" i="2" s="1"/>
  <c r="AN707" i="2"/>
  <c r="AE684" i="2"/>
  <c r="AI684" i="2" s="1"/>
  <c r="AA692" i="2"/>
  <c r="AA704" i="2"/>
  <c r="AE694" i="2"/>
  <c r="AA688" i="2"/>
  <c r="AE689" i="2"/>
  <c r="AH689" i="2" s="1"/>
  <c r="AC689" i="2" s="1"/>
  <c r="AA691" i="2"/>
  <c r="AA686" i="2"/>
  <c r="AE699" i="2"/>
  <c r="AJ699" i="2" s="1"/>
  <c r="AE687" i="2"/>
  <c r="AJ687" i="2" s="1"/>
  <c r="AN694" i="2"/>
  <c r="AE706" i="2"/>
  <c r="AI706" i="2" s="1"/>
  <c r="AE693" i="2"/>
  <c r="AI693" i="2" s="1"/>
  <c r="AE690" i="2"/>
  <c r="AO690" i="2" s="1"/>
  <c r="AE704" i="2"/>
  <c r="AJ704" i="2" s="1"/>
  <c r="AE698" i="2"/>
  <c r="AJ698" i="2" s="1"/>
  <c r="AE703" i="2"/>
  <c r="AH703" i="2" s="1"/>
  <c r="AC703" i="2" s="1"/>
  <c r="AE696" i="2"/>
  <c r="AI696" i="2" s="1"/>
  <c r="AA703" i="2"/>
  <c r="AA697" i="2"/>
  <c r="AK697" i="2" s="1"/>
  <c r="AL697" i="2" s="1"/>
  <c r="AA700" i="2"/>
  <c r="AJ697" i="2"/>
  <c r="AE705" i="2"/>
  <c r="AH705" i="2" s="1"/>
  <c r="AA705" i="2"/>
  <c r="Y701" i="2"/>
  <c r="AE701" i="2" s="1"/>
  <c r="AO701" i="2" s="1"/>
  <c r="AA706" i="2"/>
  <c r="AA696" i="2"/>
  <c r="AA702" i="2"/>
  <c r="AN706" i="2"/>
  <c r="AA698" i="2"/>
  <c r="AE695" i="2"/>
  <c r="AA695" i="2"/>
  <c r="AN695" i="2"/>
  <c r="AE685" i="2"/>
  <c r="AE686" i="2"/>
  <c r="AI686" i="2" s="1"/>
  <c r="AE691" i="2"/>
  <c r="AI691" i="2" s="1"/>
  <c r="AE688" i="2"/>
  <c r="AO688" i="2" s="1"/>
  <c r="AA684" i="2"/>
  <c r="AN689" i="2"/>
  <c r="AN684" i="2"/>
  <c r="AA682" i="2"/>
  <c r="AI682" i="2" l="1"/>
  <c r="AJ710" i="2"/>
  <c r="AI719" i="2"/>
  <c r="AM719" i="2" s="1"/>
  <c r="AI710" i="2"/>
  <c r="AH711" i="2"/>
  <c r="AC711" i="2" s="1"/>
  <c r="AI700" i="2"/>
  <c r="AI697" i="2"/>
  <c r="AM697" i="2" s="1"/>
  <c r="AO697" i="2"/>
  <c r="AO708" i="2"/>
  <c r="AO707" i="2"/>
  <c r="AJ707" i="2"/>
  <c r="AI707" i="2"/>
  <c r="AK708" i="2"/>
  <c r="AL708" i="2" s="1"/>
  <c r="AM708" i="2" s="1"/>
  <c r="AO710" i="2"/>
  <c r="AK707" i="2"/>
  <c r="AL707" i="2" s="1"/>
  <c r="AM707" i="2" s="1"/>
  <c r="AK694" i="2"/>
  <c r="AL694" i="2" s="1"/>
  <c r="AH716" i="2"/>
  <c r="AC716" i="2" s="1"/>
  <c r="AO706" i="2"/>
  <c r="AK685" i="2"/>
  <c r="AL685" i="2" s="1"/>
  <c r="AK683" i="2"/>
  <c r="AL683" i="2" s="1"/>
  <c r="AC719" i="2"/>
  <c r="AO683" i="2"/>
  <c r="AH683" i="2"/>
  <c r="AC683" i="2" s="1"/>
  <c r="AO691" i="2"/>
  <c r="AJ683" i="2"/>
  <c r="AJ711" i="2"/>
  <c r="AK716" i="2"/>
  <c r="AL716" i="2" s="1"/>
  <c r="AI683" i="2"/>
  <c r="AK711" i="2"/>
  <c r="AL711" i="2" s="1"/>
  <c r="AM711" i="2" s="1"/>
  <c r="AH682" i="2"/>
  <c r="AC682" i="2" s="1"/>
  <c r="AH688" i="2"/>
  <c r="AC688" i="2" s="1"/>
  <c r="AO694" i="2"/>
  <c r="AH713" i="2"/>
  <c r="AC713" i="2" s="1"/>
  <c r="AO713" i="2"/>
  <c r="AK699" i="2"/>
  <c r="AL699" i="2" s="1"/>
  <c r="AJ716" i="2"/>
  <c r="AK713" i="2"/>
  <c r="AL713" i="2" s="1"/>
  <c r="AK700" i="2"/>
  <c r="AL700" i="2" s="1"/>
  <c r="AM700" i="2" s="1"/>
  <c r="AI716" i="2"/>
  <c r="AH700" i="2"/>
  <c r="AC700" i="2" s="1"/>
  <c r="AO709" i="2"/>
  <c r="AO682" i="2"/>
  <c r="AJ713" i="2"/>
  <c r="AH699" i="2"/>
  <c r="AC699" i="2" s="1"/>
  <c r="AO684" i="2"/>
  <c r="AJ709" i="2"/>
  <c r="AK712" i="2"/>
  <c r="AL712" i="2" s="1"/>
  <c r="AO692" i="2"/>
  <c r="AH702" i="2"/>
  <c r="AC702" i="2" s="1"/>
  <c r="AO704" i="2"/>
  <c r="AJ692" i="2"/>
  <c r="AO696" i="2"/>
  <c r="AO700" i="2"/>
  <c r="AK692" i="2"/>
  <c r="AL692" i="2" s="1"/>
  <c r="AK682" i="2"/>
  <c r="AL682" i="2" s="1"/>
  <c r="AM682" i="2" s="1"/>
  <c r="AO685" i="2"/>
  <c r="AK709" i="2"/>
  <c r="AL709" i="2" s="1"/>
  <c r="AO689" i="2"/>
  <c r="AO693" i="2"/>
  <c r="AO695" i="2"/>
  <c r="AK702" i="2"/>
  <c r="AL702" i="2" s="1"/>
  <c r="AK690" i="2"/>
  <c r="AL690" i="2" s="1"/>
  <c r="AO698" i="2"/>
  <c r="AO703" i="2"/>
  <c r="AO687" i="2"/>
  <c r="AK688" i="2"/>
  <c r="AL688" i="2" s="1"/>
  <c r="AO686" i="2"/>
  <c r="AO705" i="2"/>
  <c r="AI702" i="2"/>
  <c r="AO702" i="2"/>
  <c r="AO699" i="2"/>
  <c r="AH709" i="2"/>
  <c r="AC709" i="2" s="1"/>
  <c r="AO711" i="2"/>
  <c r="AO718" i="2"/>
  <c r="AI718" i="2"/>
  <c r="AC718" i="2"/>
  <c r="AJ718" i="2"/>
  <c r="AK718" i="2"/>
  <c r="AL718" i="2" s="1"/>
  <c r="AK717" i="2"/>
  <c r="AL717" i="2" s="1"/>
  <c r="AJ717" i="2"/>
  <c r="AI717" i="2"/>
  <c r="AO717" i="2"/>
  <c r="AH717" i="2"/>
  <c r="AC717" i="2" s="1"/>
  <c r="AI712" i="2"/>
  <c r="AJ715" i="2"/>
  <c r="AO714" i="2"/>
  <c r="AO712" i="2"/>
  <c r="AH715" i="2"/>
  <c r="AC715" i="2" s="1"/>
  <c r="AK715" i="2"/>
  <c r="AL715" i="2" s="1"/>
  <c r="AH712" i="2"/>
  <c r="AC712" i="2" s="1"/>
  <c r="AO715" i="2"/>
  <c r="AJ712" i="2"/>
  <c r="AK714" i="2"/>
  <c r="AL714" i="2" s="1"/>
  <c r="AH714" i="2"/>
  <c r="AJ714" i="2"/>
  <c r="AM710" i="2"/>
  <c r="AK684" i="2"/>
  <c r="AL684" i="2" s="1"/>
  <c r="AH692" i="2"/>
  <c r="AC692" i="2" s="1"/>
  <c r="AH684" i="2"/>
  <c r="AC684" i="2" s="1"/>
  <c r="AJ684" i="2"/>
  <c r="AH694" i="2"/>
  <c r="AC694" i="2" s="1"/>
  <c r="AJ694" i="2"/>
  <c r="AI694" i="2"/>
  <c r="AK693" i="2"/>
  <c r="AL693" i="2" s="1"/>
  <c r="AJ693" i="2"/>
  <c r="AH685" i="2"/>
  <c r="AC685" i="2" s="1"/>
  <c r="AJ685" i="2"/>
  <c r="AI685" i="2"/>
  <c r="AK689" i="2"/>
  <c r="AL689" i="2" s="1"/>
  <c r="AJ689" i="2"/>
  <c r="AI689" i="2"/>
  <c r="AH693" i="2"/>
  <c r="AC693" i="2" s="1"/>
  <c r="AK706" i="2"/>
  <c r="AL706" i="2" s="1"/>
  <c r="AH690" i="2"/>
  <c r="AC690" i="2" s="1"/>
  <c r="AA701" i="2"/>
  <c r="AK701" i="2" s="1"/>
  <c r="AL701" i="2" s="1"/>
  <c r="AK698" i="2"/>
  <c r="AL698" i="2" s="1"/>
  <c r="AJ706" i="2"/>
  <c r="AK704" i="2"/>
  <c r="AL704" i="2" s="1"/>
  <c r="AI704" i="2"/>
  <c r="AI687" i="2"/>
  <c r="AI699" i="2"/>
  <c r="AH704" i="2"/>
  <c r="AC704" i="2" s="1"/>
  <c r="AH706" i="2"/>
  <c r="AC706" i="2" s="1"/>
  <c r="AI690" i="2"/>
  <c r="AK687" i="2"/>
  <c r="AL687" i="2" s="1"/>
  <c r="AJ690" i="2"/>
  <c r="AH687" i="2"/>
  <c r="AC687" i="2" s="1"/>
  <c r="AI698" i="2"/>
  <c r="AH698" i="2"/>
  <c r="AC698" i="2" s="1"/>
  <c r="AH696" i="2"/>
  <c r="AC696" i="2" s="1"/>
  <c r="AK696" i="2"/>
  <c r="AL696" i="2" s="1"/>
  <c r="AK703" i="2"/>
  <c r="AL703" i="2" s="1"/>
  <c r="AJ703" i="2"/>
  <c r="AI703" i="2"/>
  <c r="AJ696" i="2"/>
  <c r="AI701" i="2"/>
  <c r="AJ701" i="2"/>
  <c r="AH701" i="2"/>
  <c r="AC701" i="2" s="1"/>
  <c r="AI705" i="2"/>
  <c r="AJ705" i="2"/>
  <c r="AK705" i="2"/>
  <c r="AL705" i="2" s="1"/>
  <c r="AC705" i="2"/>
  <c r="AK695" i="2"/>
  <c r="AL695" i="2" s="1"/>
  <c r="AJ695" i="2"/>
  <c r="AI695" i="2"/>
  <c r="AH695" i="2"/>
  <c r="AC695" i="2" s="1"/>
  <c r="AI688" i="2"/>
  <c r="AJ688" i="2"/>
  <c r="AK686" i="2"/>
  <c r="AL686" i="2" s="1"/>
  <c r="AJ686" i="2"/>
  <c r="AH686" i="2"/>
  <c r="AC686" i="2" s="1"/>
  <c r="AH691" i="2"/>
  <c r="AC691" i="2" s="1"/>
  <c r="AK691" i="2"/>
  <c r="AL691" i="2" s="1"/>
  <c r="AJ691" i="2"/>
  <c r="AM699" i="2" l="1"/>
  <c r="AM692" i="2"/>
  <c r="AM693" i="2"/>
  <c r="AM683" i="2"/>
  <c r="AM713" i="2"/>
  <c r="AM694" i="2"/>
  <c r="AM716" i="2"/>
  <c r="AM712" i="2"/>
  <c r="AM684" i="2"/>
  <c r="AM709" i="2"/>
  <c r="AM702" i="2"/>
  <c r="AM685" i="2"/>
  <c r="AM715" i="2"/>
  <c r="AM718" i="2"/>
  <c r="AM717" i="2"/>
  <c r="AM714" i="2"/>
  <c r="AC714" i="2"/>
  <c r="AM698" i="2"/>
  <c r="AM689" i="2"/>
  <c r="AM687" i="2"/>
  <c r="AM704" i="2"/>
  <c r="AM706" i="2"/>
  <c r="AM705" i="2"/>
  <c r="AM690" i="2"/>
  <c r="AM696" i="2"/>
  <c r="AM703" i="2"/>
  <c r="AM701" i="2"/>
  <c r="AM695" i="2"/>
  <c r="AM686" i="2"/>
  <c r="AM688" i="2"/>
  <c r="AM691" i="2"/>
  <c r="K680" i="2" l="1"/>
  <c r="L680" i="2" s="1"/>
  <c r="K681" i="2"/>
  <c r="L681" i="2" s="1"/>
  <c r="K678" i="2"/>
  <c r="L678" i="2" s="1"/>
  <c r="K679" i="2"/>
  <c r="L679" i="2" s="1"/>
  <c r="Q679" i="2"/>
  <c r="Y679" i="2" s="1"/>
  <c r="S679" i="2"/>
  <c r="W679" i="2"/>
  <c r="X679" i="2"/>
  <c r="Z679" i="2"/>
  <c r="AF679" i="2"/>
  <c r="AG679" i="2"/>
  <c r="Q680" i="2"/>
  <c r="Y680" i="2" s="1"/>
  <c r="S680" i="2"/>
  <c r="W680" i="2"/>
  <c r="X680" i="2"/>
  <c r="Z680" i="2"/>
  <c r="AN680" i="2" s="1"/>
  <c r="AF680" i="2"/>
  <c r="AG680" i="2"/>
  <c r="Q681" i="2"/>
  <c r="Y681" i="2" s="1"/>
  <c r="S681" i="2"/>
  <c r="W681" i="2"/>
  <c r="X681" i="2"/>
  <c r="Z681" i="2"/>
  <c r="AN681" i="2" s="1"/>
  <c r="AF681" i="2"/>
  <c r="AG681" i="2"/>
  <c r="AG678" i="2"/>
  <c r="AF678" i="2"/>
  <c r="Z678" i="2"/>
  <c r="AN678" i="2" s="1"/>
  <c r="X678" i="2"/>
  <c r="W678" i="2"/>
  <c r="S678" i="2"/>
  <c r="Q678" i="2"/>
  <c r="Y678" i="2" s="1"/>
  <c r="K675" i="2"/>
  <c r="L675" i="2"/>
  <c r="S675" i="2"/>
  <c r="W675" i="2"/>
  <c r="X675" i="2"/>
  <c r="Y675" i="2"/>
  <c r="Z675" i="2"/>
  <c r="AN675" i="2" s="1"/>
  <c r="AF675" i="2"/>
  <c r="AG675" i="2"/>
  <c r="K676" i="2"/>
  <c r="L676" i="2" s="1"/>
  <c r="S676" i="2"/>
  <c r="W676" i="2"/>
  <c r="X676" i="2"/>
  <c r="Y676" i="2"/>
  <c r="Z676" i="2"/>
  <c r="AN676" i="2" s="1"/>
  <c r="AF676" i="2"/>
  <c r="AG676" i="2"/>
  <c r="K677" i="2"/>
  <c r="L677" i="2"/>
  <c r="S677" i="2"/>
  <c r="W677" i="2"/>
  <c r="X677" i="2"/>
  <c r="Y677" i="2"/>
  <c r="Z677" i="2"/>
  <c r="AN677" i="2" s="1"/>
  <c r="AF677" i="2"/>
  <c r="AG677" i="2"/>
  <c r="AG674" i="2"/>
  <c r="AF674" i="2"/>
  <c r="Z674" i="2"/>
  <c r="Y674" i="2"/>
  <c r="X674" i="2"/>
  <c r="W674" i="2"/>
  <c r="S674" i="2"/>
  <c r="K674" i="2"/>
  <c r="L674" i="2" s="1"/>
  <c r="X673" i="2"/>
  <c r="X672" i="2"/>
  <c r="X671" i="2"/>
  <c r="Q672" i="2"/>
  <c r="Q673" i="2"/>
  <c r="Q671" i="2"/>
  <c r="K672" i="2"/>
  <c r="L672" i="2" s="1"/>
  <c r="S672" i="2"/>
  <c r="W672" i="2"/>
  <c r="Z672" i="2"/>
  <c r="AN672" i="2" s="1"/>
  <c r="AF672" i="2"/>
  <c r="AG672" i="2"/>
  <c r="K673" i="2"/>
  <c r="L673" i="2" s="1"/>
  <c r="S673" i="2"/>
  <c r="W673" i="2"/>
  <c r="Z673" i="2"/>
  <c r="AF673" i="2"/>
  <c r="AG673" i="2"/>
  <c r="AG671" i="2"/>
  <c r="AF671" i="2"/>
  <c r="Z671" i="2"/>
  <c r="W671" i="2"/>
  <c r="S671" i="2"/>
  <c r="K636" i="2"/>
  <c r="K664" i="2"/>
  <c r="L664" i="2" s="1"/>
  <c r="S664" i="2"/>
  <c r="W664" i="2"/>
  <c r="X664" i="2"/>
  <c r="Y664" i="2"/>
  <c r="Z664" i="2"/>
  <c r="AN664" i="2" s="1"/>
  <c r="AF664" i="2"/>
  <c r="AG664" i="2"/>
  <c r="K665" i="2"/>
  <c r="L665" i="2" s="1"/>
  <c r="S665" i="2"/>
  <c r="W665" i="2"/>
  <c r="X665" i="2"/>
  <c r="Y665" i="2"/>
  <c r="Z665" i="2"/>
  <c r="AN665" i="2" s="1"/>
  <c r="AF665" i="2"/>
  <c r="AG665" i="2"/>
  <c r="K666" i="2"/>
  <c r="L666" i="2" s="1"/>
  <c r="S666" i="2"/>
  <c r="W666" i="2"/>
  <c r="X666" i="2"/>
  <c r="Y666" i="2"/>
  <c r="Z666" i="2"/>
  <c r="AN666" i="2" s="1"/>
  <c r="AF666" i="2"/>
  <c r="AG666" i="2"/>
  <c r="K667" i="2"/>
  <c r="L667" i="2" s="1"/>
  <c r="S667" i="2"/>
  <c r="W667" i="2"/>
  <c r="X667" i="2"/>
  <c r="Y667" i="2"/>
  <c r="Z667" i="2"/>
  <c r="AN667" i="2" s="1"/>
  <c r="AF667" i="2"/>
  <c r="AG667" i="2"/>
  <c r="K668" i="2"/>
  <c r="L668" i="2" s="1"/>
  <c r="S668" i="2"/>
  <c r="W668" i="2"/>
  <c r="X668" i="2"/>
  <c r="Y668" i="2"/>
  <c r="Z668" i="2"/>
  <c r="AN668" i="2" s="1"/>
  <c r="AF668" i="2"/>
  <c r="AG668" i="2"/>
  <c r="K669" i="2"/>
  <c r="L669" i="2" s="1"/>
  <c r="S669" i="2"/>
  <c r="W669" i="2"/>
  <c r="X669" i="2"/>
  <c r="Y669" i="2"/>
  <c r="Z669" i="2"/>
  <c r="AN669" i="2" s="1"/>
  <c r="AF669" i="2"/>
  <c r="AG669" i="2"/>
  <c r="K670" i="2"/>
  <c r="L670" i="2" s="1"/>
  <c r="S670" i="2"/>
  <c r="W670" i="2"/>
  <c r="X670" i="2"/>
  <c r="Y670" i="2"/>
  <c r="Z670" i="2"/>
  <c r="AF670" i="2"/>
  <c r="AG670" i="2"/>
  <c r="AG663" i="2"/>
  <c r="AF663" i="2"/>
  <c r="Z663" i="2"/>
  <c r="Y663" i="2"/>
  <c r="X663" i="2"/>
  <c r="W663" i="2"/>
  <c r="S663" i="2"/>
  <c r="K663" i="2"/>
  <c r="L663" i="2" s="1"/>
  <c r="AE679" i="2" l="1"/>
  <c r="AE680" i="2"/>
  <c r="AA664" i="2"/>
  <c r="AA675" i="2"/>
  <c r="AA676" i="2"/>
  <c r="AE681" i="2"/>
  <c r="AI681" i="2" s="1"/>
  <c r="AE678" i="2"/>
  <c r="AO678" i="2" s="1"/>
  <c r="AE674" i="2"/>
  <c r="AH674" i="2" s="1"/>
  <c r="AC674" i="2" s="1"/>
  <c r="AE675" i="2"/>
  <c r="AH675" i="2" s="1"/>
  <c r="AC675" i="2" s="1"/>
  <c r="AE676" i="2"/>
  <c r="AI676" i="2" s="1"/>
  <c r="AA681" i="2"/>
  <c r="AA677" i="2"/>
  <c r="AA678" i="2"/>
  <c r="AE677" i="2"/>
  <c r="AI677" i="2" s="1"/>
  <c r="AJ680" i="2"/>
  <c r="AN679" i="2"/>
  <c r="AA680" i="2"/>
  <c r="AO680" i="2"/>
  <c r="AA679" i="2"/>
  <c r="AA674" i="2"/>
  <c r="AN674" i="2"/>
  <c r="Y671" i="2"/>
  <c r="AA671" i="2" s="1"/>
  <c r="Y672" i="2"/>
  <c r="AA672" i="2" s="1"/>
  <c r="Y673" i="2"/>
  <c r="AA673" i="2" s="1"/>
  <c r="AE664" i="2"/>
  <c r="AJ664" i="2" s="1"/>
  <c r="AE670" i="2"/>
  <c r="AI670" i="2" s="1"/>
  <c r="AA670" i="2"/>
  <c r="AA666" i="2"/>
  <c r="K671" i="2"/>
  <c r="L671" i="2" s="1"/>
  <c r="AN673" i="2"/>
  <c r="AN671" i="2"/>
  <c r="AE669" i="2"/>
  <c r="AI669" i="2" s="1"/>
  <c r="AE663" i="2"/>
  <c r="AH663" i="2" s="1"/>
  <c r="AC663" i="2" s="1"/>
  <c r="AA667" i="2"/>
  <c r="AA665" i="2"/>
  <c r="AE668" i="2"/>
  <c r="AI668" i="2" s="1"/>
  <c r="AE666" i="2"/>
  <c r="AJ666" i="2" s="1"/>
  <c r="AA669" i="2"/>
  <c r="AA668" i="2"/>
  <c r="AE667" i="2"/>
  <c r="AO667" i="2" s="1"/>
  <c r="AE665" i="2"/>
  <c r="AI665" i="2" s="1"/>
  <c r="AN670" i="2"/>
  <c r="AN663" i="2"/>
  <c r="AA663" i="2"/>
  <c r="AG662" i="2"/>
  <c r="AF662" i="2"/>
  <c r="Z662" i="2"/>
  <c r="Y662" i="2"/>
  <c r="X662" i="2"/>
  <c r="W662" i="2"/>
  <c r="S662" i="2"/>
  <c r="K662" i="2"/>
  <c r="L662" i="2" s="1"/>
  <c r="K649" i="2"/>
  <c r="L649" i="2" s="1"/>
  <c r="S649" i="2"/>
  <c r="W649" i="2"/>
  <c r="X649" i="2"/>
  <c r="Y649" i="2"/>
  <c r="Z649" i="2"/>
  <c r="AN649" i="2" s="1"/>
  <c r="AF649" i="2"/>
  <c r="AG649" i="2"/>
  <c r="K650" i="2"/>
  <c r="L650" i="2" s="1"/>
  <c r="S650" i="2"/>
  <c r="W650" i="2"/>
  <c r="X650" i="2"/>
  <c r="Y650" i="2"/>
  <c r="Z650" i="2"/>
  <c r="AN650" i="2" s="1"/>
  <c r="AF650" i="2"/>
  <c r="AG650" i="2"/>
  <c r="K651" i="2"/>
  <c r="L651" i="2" s="1"/>
  <c r="S651" i="2"/>
  <c r="W651" i="2"/>
  <c r="X651" i="2"/>
  <c r="Y651" i="2"/>
  <c r="Z651" i="2"/>
  <c r="AN651" i="2" s="1"/>
  <c r="AF651" i="2"/>
  <c r="AG651" i="2"/>
  <c r="K652" i="2"/>
  <c r="L652" i="2" s="1"/>
  <c r="S652" i="2"/>
  <c r="W652" i="2"/>
  <c r="X652" i="2"/>
  <c r="Y652" i="2"/>
  <c r="Z652" i="2"/>
  <c r="AN652" i="2" s="1"/>
  <c r="AF652" i="2"/>
  <c r="AG652" i="2"/>
  <c r="K653" i="2"/>
  <c r="L653" i="2" s="1"/>
  <c r="S653" i="2"/>
  <c r="W653" i="2"/>
  <c r="X653" i="2"/>
  <c r="Y653" i="2"/>
  <c r="Z653" i="2"/>
  <c r="AN653" i="2" s="1"/>
  <c r="AF653" i="2"/>
  <c r="AG653" i="2"/>
  <c r="K654" i="2"/>
  <c r="L654" i="2" s="1"/>
  <c r="S654" i="2"/>
  <c r="W654" i="2"/>
  <c r="X654" i="2"/>
  <c r="Y654" i="2"/>
  <c r="Z654" i="2"/>
  <c r="AN654" i="2" s="1"/>
  <c r="AF654" i="2"/>
  <c r="AG654" i="2"/>
  <c r="K655" i="2"/>
  <c r="L655" i="2" s="1"/>
  <c r="S655" i="2"/>
  <c r="W655" i="2"/>
  <c r="X655" i="2"/>
  <c r="Y655" i="2"/>
  <c r="Z655" i="2"/>
  <c r="AN655" i="2" s="1"/>
  <c r="AF655" i="2"/>
  <c r="AG655" i="2"/>
  <c r="K656" i="2"/>
  <c r="L656" i="2" s="1"/>
  <c r="S656" i="2"/>
  <c r="W656" i="2"/>
  <c r="X656" i="2"/>
  <c r="Y656" i="2"/>
  <c r="Z656" i="2"/>
  <c r="AF656" i="2"/>
  <c r="AG656" i="2"/>
  <c r="K657" i="2"/>
  <c r="L657" i="2" s="1"/>
  <c r="S657" i="2"/>
  <c r="W657" i="2"/>
  <c r="X657" i="2"/>
  <c r="Y657" i="2"/>
  <c r="Z657" i="2"/>
  <c r="AN657" i="2" s="1"/>
  <c r="AF657" i="2"/>
  <c r="AG657" i="2"/>
  <c r="K658" i="2"/>
  <c r="L658" i="2" s="1"/>
  <c r="S658" i="2"/>
  <c r="W658" i="2"/>
  <c r="X658" i="2"/>
  <c r="Y658" i="2"/>
  <c r="Z658" i="2"/>
  <c r="AN658" i="2" s="1"/>
  <c r="AF658" i="2"/>
  <c r="AG658" i="2"/>
  <c r="K659" i="2"/>
  <c r="L659" i="2" s="1"/>
  <c r="S659" i="2"/>
  <c r="W659" i="2"/>
  <c r="X659" i="2"/>
  <c r="Y659" i="2"/>
  <c r="Z659" i="2"/>
  <c r="AN659" i="2" s="1"/>
  <c r="AF659" i="2"/>
  <c r="AG659" i="2"/>
  <c r="K660" i="2"/>
  <c r="L660" i="2" s="1"/>
  <c r="S660" i="2"/>
  <c r="W660" i="2"/>
  <c r="X660" i="2"/>
  <c r="Y660" i="2"/>
  <c r="Z660" i="2"/>
  <c r="AN660" i="2" s="1"/>
  <c r="AF660" i="2"/>
  <c r="AG660" i="2"/>
  <c r="K661" i="2"/>
  <c r="L661" i="2" s="1"/>
  <c r="S661" i="2"/>
  <c r="W661" i="2"/>
  <c r="X661" i="2"/>
  <c r="Y661" i="2"/>
  <c r="Z661" i="2"/>
  <c r="AN661" i="2" s="1"/>
  <c r="AF661" i="2"/>
  <c r="AG661" i="2"/>
  <c r="AG648" i="2"/>
  <c r="AF648" i="2"/>
  <c r="Z648" i="2"/>
  <c r="AN648" i="2" s="1"/>
  <c r="Y648" i="2"/>
  <c r="X648" i="2"/>
  <c r="W648" i="2"/>
  <c r="S648" i="2"/>
  <c r="K648" i="2"/>
  <c r="L648" i="2" s="1"/>
  <c r="AO679" i="2" l="1"/>
  <c r="AO665" i="2"/>
  <c r="AO674" i="2"/>
  <c r="AO664" i="2"/>
  <c r="AO668" i="2"/>
  <c r="AO676" i="2"/>
  <c r="AO675" i="2"/>
  <c r="AO663" i="2"/>
  <c r="AO670" i="2"/>
  <c r="AO666" i="2"/>
  <c r="AO681" i="2"/>
  <c r="AO677" i="2"/>
  <c r="AO669" i="2"/>
  <c r="AH681" i="2"/>
  <c r="AC681" i="2" s="1"/>
  <c r="AJ681" i="2"/>
  <c r="AI675" i="2"/>
  <c r="AK677" i="2"/>
  <c r="AL677" i="2" s="1"/>
  <c r="AK681" i="2"/>
  <c r="AL681" i="2" s="1"/>
  <c r="AE672" i="2"/>
  <c r="AH672" i="2" s="1"/>
  <c r="AC672" i="2" s="1"/>
  <c r="AH676" i="2"/>
  <c r="AC676" i="2" s="1"/>
  <c r="AI674" i="2"/>
  <c r="AJ677" i="2"/>
  <c r="AJ674" i="2"/>
  <c r="AK675" i="2"/>
  <c r="AL675" i="2" s="1"/>
  <c r="AJ675" i="2"/>
  <c r="AE671" i="2"/>
  <c r="AJ671" i="2" s="1"/>
  <c r="AJ676" i="2"/>
  <c r="AK676" i="2"/>
  <c r="AL676" i="2" s="1"/>
  <c r="AH677" i="2"/>
  <c r="AC677" i="2" s="1"/>
  <c r="AK674" i="2"/>
  <c r="AL674" i="2" s="1"/>
  <c r="AK680" i="2"/>
  <c r="AL680" i="2" s="1"/>
  <c r="AH680" i="2"/>
  <c r="AC680" i="2" s="1"/>
  <c r="AI680" i="2"/>
  <c r="AH679" i="2"/>
  <c r="AC679" i="2" s="1"/>
  <c r="AI679" i="2"/>
  <c r="AJ679" i="2"/>
  <c r="AK679" i="2"/>
  <c r="AL679" i="2" s="1"/>
  <c r="AI678" i="2"/>
  <c r="AK678" i="2"/>
  <c r="AL678" i="2" s="1"/>
  <c r="AJ678" i="2"/>
  <c r="AH678" i="2"/>
  <c r="AC678" i="2" s="1"/>
  <c r="AE673" i="2"/>
  <c r="AJ673" i="2" s="1"/>
  <c r="AK664" i="2"/>
  <c r="AL664" i="2" s="1"/>
  <c r="AH664" i="2"/>
  <c r="AC664" i="2" s="1"/>
  <c r="AK669" i="2"/>
  <c r="AL669" i="2" s="1"/>
  <c r="AK663" i="2"/>
  <c r="AL663" i="2" s="1"/>
  <c r="AI664" i="2"/>
  <c r="AI663" i="2"/>
  <c r="AJ670" i="2"/>
  <c r="AK670" i="2"/>
  <c r="AL670" i="2" s="1"/>
  <c r="AH670" i="2"/>
  <c r="AC670" i="2" s="1"/>
  <c r="AJ663" i="2"/>
  <c r="AH668" i="2"/>
  <c r="AC668" i="2" s="1"/>
  <c r="AK666" i="2"/>
  <c r="AL666" i="2" s="1"/>
  <c r="AK668" i="2"/>
  <c r="AL668" i="2" s="1"/>
  <c r="AA650" i="2"/>
  <c r="AJ669" i="2"/>
  <c r="AK667" i="2"/>
  <c r="AL667" i="2" s="1"/>
  <c r="AH669" i="2"/>
  <c r="AC669" i="2" s="1"/>
  <c r="AI666" i="2"/>
  <c r="AJ668" i="2"/>
  <c r="AH666" i="2"/>
  <c r="AC666" i="2" s="1"/>
  <c r="AE657" i="2"/>
  <c r="AJ657" i="2" s="1"/>
  <c r="AA657" i="2"/>
  <c r="AA649" i="2"/>
  <c r="AJ667" i="2"/>
  <c r="AI667" i="2"/>
  <c r="AH667" i="2"/>
  <c r="AC667" i="2" s="1"/>
  <c r="AJ665" i="2"/>
  <c r="AK665" i="2"/>
  <c r="AL665" i="2" s="1"/>
  <c r="AH665" i="2"/>
  <c r="AC665" i="2" s="1"/>
  <c r="AA652" i="2"/>
  <c r="AA661" i="2"/>
  <c r="AA656" i="2"/>
  <c r="AA655" i="2"/>
  <c r="AA660" i="2"/>
  <c r="AA658" i="2"/>
  <c r="AE658" i="2"/>
  <c r="AI658" i="2" s="1"/>
  <c r="AE662" i="2"/>
  <c r="AI662" i="2" s="1"/>
  <c r="AE661" i="2"/>
  <c r="AJ661" i="2" s="1"/>
  <c r="AA662" i="2"/>
  <c r="AN656" i="2"/>
  <c r="AA653" i="2"/>
  <c r="AE648" i="2"/>
  <c r="AJ648" i="2" s="1"/>
  <c r="AA654" i="2"/>
  <c r="AE649" i="2"/>
  <c r="AO649" i="2" s="1"/>
  <c r="AE650" i="2"/>
  <c r="AH650" i="2" s="1"/>
  <c r="AC650" i="2" s="1"/>
  <c r="AA659" i="2"/>
  <c r="AE653" i="2"/>
  <c r="AO653" i="2" s="1"/>
  <c r="AN662" i="2"/>
  <c r="AE651" i="2"/>
  <c r="AI651" i="2" s="1"/>
  <c r="AE660" i="2"/>
  <c r="AH660" i="2" s="1"/>
  <c r="AC660" i="2" s="1"/>
  <c r="AE652" i="2"/>
  <c r="AO652" i="2" s="1"/>
  <c r="AE656" i="2"/>
  <c r="AJ656" i="2" s="1"/>
  <c r="AE654" i="2"/>
  <c r="AI654" i="2" s="1"/>
  <c r="AE659" i="2"/>
  <c r="AO659" i="2" s="1"/>
  <c r="AE655" i="2"/>
  <c r="AO655" i="2" s="1"/>
  <c r="AA651" i="2"/>
  <c r="AA648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3" i="2"/>
  <c r="K4" i="2"/>
  <c r="L4" i="2" s="1"/>
  <c r="W4" i="2"/>
  <c r="X4" i="2"/>
  <c r="Y4" i="2"/>
  <c r="Z4" i="2"/>
  <c r="AF4" i="2"/>
  <c r="AG4" i="2"/>
  <c r="K5" i="2"/>
  <c r="L5" i="2" s="1"/>
  <c r="W5" i="2"/>
  <c r="X5" i="2"/>
  <c r="Y5" i="2"/>
  <c r="Z5" i="2"/>
  <c r="AF5" i="2"/>
  <c r="AG5" i="2"/>
  <c r="K6" i="2"/>
  <c r="L6" i="2" s="1"/>
  <c r="W6" i="2"/>
  <c r="X6" i="2"/>
  <c r="Y6" i="2"/>
  <c r="Z6" i="2"/>
  <c r="AF6" i="2"/>
  <c r="AG6" i="2"/>
  <c r="K7" i="2"/>
  <c r="L7" i="2" s="1"/>
  <c r="W7" i="2"/>
  <c r="X7" i="2"/>
  <c r="Y7" i="2"/>
  <c r="Z7" i="2"/>
  <c r="AF7" i="2"/>
  <c r="AG7" i="2"/>
  <c r="K8" i="2"/>
  <c r="L8" i="2" s="1"/>
  <c r="W8" i="2"/>
  <c r="X8" i="2"/>
  <c r="Y8" i="2"/>
  <c r="Z8" i="2"/>
  <c r="AF8" i="2"/>
  <c r="AG8" i="2"/>
  <c r="K9" i="2"/>
  <c r="L9" i="2" s="1"/>
  <c r="W9" i="2"/>
  <c r="X9" i="2"/>
  <c r="Y9" i="2"/>
  <c r="Z9" i="2"/>
  <c r="AF9" i="2"/>
  <c r="AG9" i="2"/>
  <c r="K10" i="2"/>
  <c r="L10" i="2" s="1"/>
  <c r="W10" i="2"/>
  <c r="X10" i="2"/>
  <c r="Y10" i="2"/>
  <c r="Z10" i="2"/>
  <c r="AN10" i="2" s="1"/>
  <c r="AF10" i="2"/>
  <c r="AG10" i="2"/>
  <c r="K11" i="2"/>
  <c r="L11" i="2" s="1"/>
  <c r="W11" i="2"/>
  <c r="X11" i="2"/>
  <c r="Y11" i="2"/>
  <c r="Z11" i="2"/>
  <c r="AF11" i="2"/>
  <c r="AG11" i="2"/>
  <c r="K12" i="2"/>
  <c r="L12" i="2" s="1"/>
  <c r="W12" i="2"/>
  <c r="X12" i="2"/>
  <c r="Y12" i="2"/>
  <c r="Z12" i="2"/>
  <c r="AN12" i="2" s="1"/>
  <c r="AF12" i="2"/>
  <c r="AG12" i="2"/>
  <c r="K13" i="2"/>
  <c r="L13" i="2" s="1"/>
  <c r="W13" i="2"/>
  <c r="X13" i="2"/>
  <c r="Y13" i="2"/>
  <c r="Z13" i="2"/>
  <c r="AF13" i="2"/>
  <c r="AG13" i="2"/>
  <c r="K14" i="2"/>
  <c r="L14" i="2" s="1"/>
  <c r="W14" i="2"/>
  <c r="X14" i="2"/>
  <c r="Y14" i="2"/>
  <c r="Z14" i="2"/>
  <c r="AN14" i="2" s="1"/>
  <c r="AF14" i="2"/>
  <c r="AG14" i="2"/>
  <c r="K15" i="2"/>
  <c r="L15" i="2" s="1"/>
  <c r="W15" i="2"/>
  <c r="X15" i="2"/>
  <c r="Y15" i="2"/>
  <c r="Z15" i="2"/>
  <c r="AF15" i="2"/>
  <c r="AG15" i="2"/>
  <c r="K16" i="2"/>
  <c r="L16" i="2" s="1"/>
  <c r="W16" i="2"/>
  <c r="X16" i="2"/>
  <c r="Y16" i="2"/>
  <c r="Z16" i="2"/>
  <c r="AN16" i="2" s="1"/>
  <c r="AF16" i="2"/>
  <c r="AG16" i="2"/>
  <c r="K17" i="2"/>
  <c r="L17" i="2" s="1"/>
  <c r="W17" i="2"/>
  <c r="X17" i="2"/>
  <c r="Y17" i="2"/>
  <c r="Z17" i="2"/>
  <c r="AF17" i="2"/>
  <c r="AG17" i="2"/>
  <c r="K18" i="2"/>
  <c r="L18" i="2" s="1"/>
  <c r="W18" i="2"/>
  <c r="X18" i="2"/>
  <c r="Y18" i="2"/>
  <c r="Z18" i="2"/>
  <c r="AN18" i="2" s="1"/>
  <c r="AF18" i="2"/>
  <c r="AG18" i="2"/>
  <c r="K19" i="2"/>
  <c r="L19" i="2" s="1"/>
  <c r="W19" i="2"/>
  <c r="X19" i="2"/>
  <c r="Y19" i="2"/>
  <c r="Z19" i="2"/>
  <c r="AF19" i="2"/>
  <c r="AG19" i="2"/>
  <c r="K20" i="2"/>
  <c r="L20" i="2" s="1"/>
  <c r="W20" i="2"/>
  <c r="X20" i="2"/>
  <c r="Y20" i="2"/>
  <c r="Z20" i="2"/>
  <c r="AN20" i="2" s="1"/>
  <c r="AF20" i="2"/>
  <c r="AG20" i="2"/>
  <c r="K21" i="2"/>
  <c r="L21" i="2" s="1"/>
  <c r="W21" i="2"/>
  <c r="X21" i="2"/>
  <c r="Y21" i="2"/>
  <c r="Z21" i="2"/>
  <c r="AF21" i="2"/>
  <c r="AG21" i="2"/>
  <c r="K22" i="2"/>
  <c r="L22" i="2" s="1"/>
  <c r="W22" i="2"/>
  <c r="X22" i="2"/>
  <c r="Y22" i="2"/>
  <c r="Z22" i="2"/>
  <c r="AF22" i="2"/>
  <c r="AG22" i="2"/>
  <c r="K23" i="2"/>
  <c r="L23" i="2" s="1"/>
  <c r="W23" i="2"/>
  <c r="X23" i="2"/>
  <c r="Y23" i="2"/>
  <c r="Z23" i="2"/>
  <c r="AN23" i="2" s="1"/>
  <c r="AF23" i="2"/>
  <c r="AG23" i="2"/>
  <c r="K24" i="2"/>
  <c r="L24" i="2" s="1"/>
  <c r="W24" i="2"/>
  <c r="X24" i="2"/>
  <c r="Y24" i="2"/>
  <c r="Z24" i="2"/>
  <c r="AN24" i="2" s="1"/>
  <c r="AF24" i="2"/>
  <c r="AG24" i="2"/>
  <c r="K25" i="2"/>
  <c r="L25" i="2" s="1"/>
  <c r="W25" i="2"/>
  <c r="X25" i="2"/>
  <c r="Y25" i="2"/>
  <c r="Z25" i="2"/>
  <c r="AF25" i="2"/>
  <c r="AG25" i="2"/>
  <c r="K26" i="2"/>
  <c r="L26" i="2" s="1"/>
  <c r="W26" i="2"/>
  <c r="X26" i="2"/>
  <c r="Y26" i="2"/>
  <c r="Z26" i="2"/>
  <c r="AN26" i="2" s="1"/>
  <c r="AF26" i="2"/>
  <c r="AG26" i="2"/>
  <c r="K27" i="2"/>
  <c r="L27" i="2" s="1"/>
  <c r="W27" i="2"/>
  <c r="X27" i="2"/>
  <c r="Y27" i="2"/>
  <c r="Z27" i="2"/>
  <c r="AN27" i="2" s="1"/>
  <c r="AF27" i="2"/>
  <c r="AG27" i="2"/>
  <c r="K28" i="2"/>
  <c r="L28" i="2" s="1"/>
  <c r="W28" i="2"/>
  <c r="X28" i="2"/>
  <c r="Y28" i="2"/>
  <c r="Z28" i="2"/>
  <c r="AN28" i="2" s="1"/>
  <c r="AF28" i="2"/>
  <c r="AG28" i="2"/>
  <c r="K29" i="2"/>
  <c r="L29" i="2" s="1"/>
  <c r="W29" i="2"/>
  <c r="X29" i="2"/>
  <c r="Y29" i="2"/>
  <c r="Z29" i="2"/>
  <c r="AN29" i="2" s="1"/>
  <c r="AF29" i="2"/>
  <c r="AG29" i="2"/>
  <c r="K30" i="2"/>
  <c r="L30" i="2" s="1"/>
  <c r="W30" i="2"/>
  <c r="X30" i="2"/>
  <c r="Y30" i="2"/>
  <c r="Z30" i="2"/>
  <c r="AN30" i="2" s="1"/>
  <c r="AF30" i="2"/>
  <c r="AG30" i="2"/>
  <c r="K31" i="2"/>
  <c r="L31" i="2" s="1"/>
  <c r="W31" i="2"/>
  <c r="X31" i="2"/>
  <c r="Y31" i="2"/>
  <c r="Z31" i="2"/>
  <c r="AF31" i="2"/>
  <c r="AG31" i="2"/>
  <c r="K32" i="2"/>
  <c r="L32" i="2" s="1"/>
  <c r="W32" i="2"/>
  <c r="X32" i="2"/>
  <c r="Y32" i="2"/>
  <c r="Z32" i="2"/>
  <c r="AF32" i="2"/>
  <c r="AG32" i="2"/>
  <c r="K33" i="2"/>
  <c r="L33" i="2" s="1"/>
  <c r="W33" i="2"/>
  <c r="X33" i="2"/>
  <c r="Y33" i="2"/>
  <c r="Z33" i="2"/>
  <c r="AN33" i="2" s="1"/>
  <c r="AF33" i="2"/>
  <c r="AG33" i="2"/>
  <c r="K34" i="2"/>
  <c r="L34" i="2" s="1"/>
  <c r="W34" i="2"/>
  <c r="X34" i="2"/>
  <c r="Y34" i="2"/>
  <c r="Z34" i="2"/>
  <c r="AF34" i="2"/>
  <c r="AG34" i="2"/>
  <c r="K35" i="2"/>
  <c r="L35" i="2" s="1"/>
  <c r="W35" i="2"/>
  <c r="X35" i="2"/>
  <c r="Y35" i="2"/>
  <c r="Z35" i="2"/>
  <c r="AF35" i="2"/>
  <c r="AG35" i="2"/>
  <c r="K36" i="2"/>
  <c r="L36" i="2" s="1"/>
  <c r="W36" i="2"/>
  <c r="X36" i="2"/>
  <c r="Y36" i="2"/>
  <c r="Z36" i="2"/>
  <c r="AN36" i="2" s="1"/>
  <c r="AF36" i="2"/>
  <c r="AG36" i="2"/>
  <c r="K37" i="2"/>
  <c r="L37" i="2" s="1"/>
  <c r="W37" i="2"/>
  <c r="X37" i="2"/>
  <c r="Y37" i="2"/>
  <c r="Z37" i="2"/>
  <c r="AF37" i="2"/>
  <c r="AG37" i="2"/>
  <c r="K38" i="2"/>
  <c r="L38" i="2" s="1"/>
  <c r="W38" i="2"/>
  <c r="X38" i="2"/>
  <c r="Y38" i="2"/>
  <c r="Z38" i="2"/>
  <c r="AF38" i="2"/>
  <c r="AG38" i="2"/>
  <c r="K39" i="2"/>
  <c r="L39" i="2" s="1"/>
  <c r="W39" i="2"/>
  <c r="X39" i="2"/>
  <c r="Y39" i="2"/>
  <c r="Z39" i="2"/>
  <c r="AN39" i="2" s="1"/>
  <c r="AF39" i="2"/>
  <c r="AG39" i="2"/>
  <c r="K40" i="2"/>
  <c r="L40" i="2" s="1"/>
  <c r="W40" i="2"/>
  <c r="X40" i="2"/>
  <c r="Y40" i="2"/>
  <c r="Z40" i="2"/>
  <c r="AN40" i="2" s="1"/>
  <c r="AF40" i="2"/>
  <c r="AG40" i="2"/>
  <c r="K41" i="2"/>
  <c r="L41" i="2" s="1"/>
  <c r="W41" i="2"/>
  <c r="X41" i="2"/>
  <c r="Y41" i="2"/>
  <c r="Z41" i="2"/>
  <c r="AF41" i="2"/>
  <c r="AG41" i="2"/>
  <c r="K42" i="2"/>
  <c r="L42" i="2" s="1"/>
  <c r="W42" i="2"/>
  <c r="X42" i="2"/>
  <c r="Y42" i="2"/>
  <c r="Z42" i="2"/>
  <c r="AN42" i="2" s="1"/>
  <c r="AF42" i="2"/>
  <c r="AG42" i="2"/>
  <c r="K43" i="2"/>
  <c r="L43" i="2" s="1"/>
  <c r="W43" i="2"/>
  <c r="X43" i="2"/>
  <c r="Y43" i="2"/>
  <c r="Z43" i="2"/>
  <c r="AF43" i="2"/>
  <c r="AG43" i="2"/>
  <c r="K44" i="2"/>
  <c r="L44" i="2" s="1"/>
  <c r="W44" i="2"/>
  <c r="X44" i="2"/>
  <c r="Y44" i="2"/>
  <c r="Z44" i="2"/>
  <c r="AN44" i="2" s="1"/>
  <c r="AF44" i="2"/>
  <c r="AG44" i="2"/>
  <c r="K45" i="2"/>
  <c r="L45" i="2" s="1"/>
  <c r="W45" i="2"/>
  <c r="X45" i="2"/>
  <c r="Y45" i="2"/>
  <c r="Z45" i="2"/>
  <c r="AN45" i="2" s="1"/>
  <c r="AF45" i="2"/>
  <c r="AG45" i="2"/>
  <c r="K46" i="2"/>
  <c r="L46" i="2" s="1"/>
  <c r="W46" i="2"/>
  <c r="X46" i="2"/>
  <c r="Y46" i="2"/>
  <c r="Z46" i="2"/>
  <c r="AN46" i="2" s="1"/>
  <c r="AF46" i="2"/>
  <c r="AG46" i="2"/>
  <c r="K47" i="2"/>
  <c r="L47" i="2" s="1"/>
  <c r="W47" i="2"/>
  <c r="X47" i="2"/>
  <c r="Y47" i="2"/>
  <c r="Z47" i="2"/>
  <c r="AF47" i="2"/>
  <c r="AG47" i="2"/>
  <c r="K48" i="2"/>
  <c r="L48" i="2" s="1"/>
  <c r="W48" i="2"/>
  <c r="X48" i="2"/>
  <c r="Y48" i="2"/>
  <c r="Z48" i="2"/>
  <c r="AN48" i="2" s="1"/>
  <c r="AF48" i="2"/>
  <c r="AG48" i="2"/>
  <c r="K49" i="2"/>
  <c r="L49" i="2" s="1"/>
  <c r="W49" i="2"/>
  <c r="X49" i="2"/>
  <c r="Y49" i="2"/>
  <c r="Z49" i="2"/>
  <c r="AF49" i="2"/>
  <c r="AG49" i="2"/>
  <c r="K50" i="2"/>
  <c r="L50" i="2" s="1"/>
  <c r="W50" i="2"/>
  <c r="X50" i="2"/>
  <c r="Y50" i="2"/>
  <c r="Z50" i="2"/>
  <c r="AN50" i="2" s="1"/>
  <c r="AF50" i="2"/>
  <c r="AG50" i="2"/>
  <c r="K51" i="2"/>
  <c r="L51" i="2" s="1"/>
  <c r="W51" i="2"/>
  <c r="X51" i="2"/>
  <c r="Y51" i="2"/>
  <c r="Z51" i="2"/>
  <c r="AN51" i="2" s="1"/>
  <c r="AF51" i="2"/>
  <c r="AG51" i="2"/>
  <c r="K52" i="2"/>
  <c r="L52" i="2" s="1"/>
  <c r="W52" i="2"/>
  <c r="X52" i="2"/>
  <c r="Y52" i="2"/>
  <c r="Z52" i="2"/>
  <c r="AN52" i="2" s="1"/>
  <c r="AF52" i="2"/>
  <c r="AG52" i="2"/>
  <c r="K53" i="2"/>
  <c r="L53" i="2" s="1"/>
  <c r="W53" i="2"/>
  <c r="X53" i="2"/>
  <c r="Y53" i="2"/>
  <c r="Z53" i="2"/>
  <c r="AN53" i="2" s="1"/>
  <c r="AF53" i="2"/>
  <c r="AG53" i="2"/>
  <c r="K54" i="2"/>
  <c r="L54" i="2" s="1"/>
  <c r="W54" i="2"/>
  <c r="X54" i="2"/>
  <c r="Y54" i="2"/>
  <c r="Z54" i="2"/>
  <c r="AN54" i="2" s="1"/>
  <c r="AF54" i="2"/>
  <c r="AG54" i="2"/>
  <c r="K55" i="2"/>
  <c r="L55" i="2" s="1"/>
  <c r="W55" i="2"/>
  <c r="X55" i="2"/>
  <c r="Y55" i="2"/>
  <c r="Z55" i="2"/>
  <c r="AN55" i="2" s="1"/>
  <c r="AF55" i="2"/>
  <c r="AG55" i="2"/>
  <c r="K56" i="2"/>
  <c r="L56" i="2" s="1"/>
  <c r="W56" i="2"/>
  <c r="X56" i="2"/>
  <c r="Y56" i="2"/>
  <c r="Z56" i="2"/>
  <c r="AN56" i="2" s="1"/>
  <c r="AF56" i="2"/>
  <c r="AG56" i="2"/>
  <c r="K57" i="2"/>
  <c r="L57" i="2" s="1"/>
  <c r="W57" i="2"/>
  <c r="X57" i="2"/>
  <c r="Y57" i="2"/>
  <c r="Z57" i="2"/>
  <c r="AN57" i="2" s="1"/>
  <c r="AF57" i="2"/>
  <c r="AG57" i="2"/>
  <c r="K58" i="2"/>
  <c r="L58" i="2" s="1"/>
  <c r="W58" i="2"/>
  <c r="X58" i="2"/>
  <c r="Y58" i="2"/>
  <c r="Z58" i="2"/>
  <c r="AN58" i="2" s="1"/>
  <c r="AF58" i="2"/>
  <c r="AG58" i="2"/>
  <c r="K59" i="2"/>
  <c r="L59" i="2" s="1"/>
  <c r="W59" i="2"/>
  <c r="X59" i="2"/>
  <c r="Y59" i="2"/>
  <c r="Z59" i="2"/>
  <c r="AN59" i="2" s="1"/>
  <c r="AF59" i="2"/>
  <c r="AG59" i="2"/>
  <c r="K60" i="2"/>
  <c r="L60" i="2" s="1"/>
  <c r="W60" i="2"/>
  <c r="X60" i="2"/>
  <c r="Y60" i="2"/>
  <c r="Z60" i="2"/>
  <c r="AF60" i="2"/>
  <c r="AG60" i="2"/>
  <c r="K61" i="2"/>
  <c r="L61" i="2" s="1"/>
  <c r="W61" i="2"/>
  <c r="X61" i="2"/>
  <c r="Y61" i="2"/>
  <c r="Z61" i="2"/>
  <c r="AN61" i="2" s="1"/>
  <c r="AF61" i="2"/>
  <c r="AG61" i="2"/>
  <c r="K62" i="2"/>
  <c r="L62" i="2" s="1"/>
  <c r="W62" i="2"/>
  <c r="X62" i="2"/>
  <c r="Y62" i="2"/>
  <c r="Z62" i="2"/>
  <c r="AN62" i="2" s="1"/>
  <c r="AF62" i="2"/>
  <c r="AG62" i="2"/>
  <c r="K63" i="2"/>
  <c r="L63" i="2" s="1"/>
  <c r="W63" i="2"/>
  <c r="X63" i="2"/>
  <c r="Y63" i="2"/>
  <c r="Z63" i="2"/>
  <c r="AN63" i="2" s="1"/>
  <c r="AF63" i="2"/>
  <c r="AG63" i="2"/>
  <c r="K64" i="2"/>
  <c r="L64" i="2" s="1"/>
  <c r="W64" i="2"/>
  <c r="X64" i="2"/>
  <c r="Y64" i="2"/>
  <c r="Z64" i="2"/>
  <c r="AF64" i="2"/>
  <c r="AG64" i="2"/>
  <c r="K65" i="2"/>
  <c r="L65" i="2" s="1"/>
  <c r="W65" i="2"/>
  <c r="X65" i="2"/>
  <c r="Y65" i="2"/>
  <c r="Z65" i="2"/>
  <c r="AN65" i="2" s="1"/>
  <c r="AF65" i="2"/>
  <c r="AG65" i="2"/>
  <c r="K66" i="2"/>
  <c r="L66" i="2" s="1"/>
  <c r="W66" i="2"/>
  <c r="X66" i="2"/>
  <c r="Y66" i="2"/>
  <c r="Z66" i="2"/>
  <c r="AN66" i="2" s="1"/>
  <c r="AF66" i="2"/>
  <c r="AG66" i="2"/>
  <c r="K67" i="2"/>
  <c r="L67" i="2" s="1"/>
  <c r="W67" i="2"/>
  <c r="X67" i="2"/>
  <c r="Y67" i="2"/>
  <c r="Z67" i="2"/>
  <c r="AN67" i="2" s="1"/>
  <c r="AF67" i="2"/>
  <c r="AG67" i="2"/>
  <c r="K68" i="2"/>
  <c r="L68" i="2" s="1"/>
  <c r="W68" i="2"/>
  <c r="X68" i="2"/>
  <c r="Y68" i="2"/>
  <c r="Z68" i="2"/>
  <c r="AF68" i="2"/>
  <c r="AG68" i="2"/>
  <c r="K69" i="2"/>
  <c r="L69" i="2" s="1"/>
  <c r="W69" i="2"/>
  <c r="X69" i="2"/>
  <c r="Y69" i="2"/>
  <c r="Z69" i="2"/>
  <c r="AN69" i="2" s="1"/>
  <c r="AF69" i="2"/>
  <c r="AG69" i="2"/>
  <c r="K70" i="2"/>
  <c r="L70" i="2" s="1"/>
  <c r="W70" i="2"/>
  <c r="X70" i="2"/>
  <c r="Y70" i="2"/>
  <c r="Z70" i="2"/>
  <c r="AN70" i="2" s="1"/>
  <c r="AF70" i="2"/>
  <c r="AG70" i="2"/>
  <c r="K71" i="2"/>
  <c r="L71" i="2" s="1"/>
  <c r="W71" i="2"/>
  <c r="X71" i="2"/>
  <c r="Y71" i="2"/>
  <c r="Z71" i="2"/>
  <c r="AN71" i="2" s="1"/>
  <c r="AF71" i="2"/>
  <c r="AG71" i="2"/>
  <c r="K72" i="2"/>
  <c r="L72" i="2" s="1"/>
  <c r="W72" i="2"/>
  <c r="X72" i="2"/>
  <c r="Y72" i="2"/>
  <c r="Z72" i="2"/>
  <c r="AN72" i="2" s="1"/>
  <c r="AF72" i="2"/>
  <c r="AG72" i="2"/>
  <c r="K73" i="2"/>
  <c r="L73" i="2" s="1"/>
  <c r="W73" i="2"/>
  <c r="X73" i="2"/>
  <c r="Y73" i="2"/>
  <c r="Z73" i="2"/>
  <c r="AN73" i="2" s="1"/>
  <c r="AF73" i="2"/>
  <c r="AG73" i="2"/>
  <c r="K74" i="2"/>
  <c r="L74" i="2" s="1"/>
  <c r="W74" i="2"/>
  <c r="X74" i="2"/>
  <c r="Y74" i="2"/>
  <c r="Z74" i="2"/>
  <c r="AN74" i="2" s="1"/>
  <c r="AF74" i="2"/>
  <c r="AG74" i="2"/>
  <c r="K75" i="2"/>
  <c r="L75" i="2" s="1"/>
  <c r="W75" i="2"/>
  <c r="X75" i="2"/>
  <c r="Y75" i="2"/>
  <c r="Z75" i="2"/>
  <c r="AF75" i="2"/>
  <c r="AG75" i="2"/>
  <c r="K76" i="2"/>
  <c r="L76" i="2" s="1"/>
  <c r="W76" i="2"/>
  <c r="X76" i="2"/>
  <c r="Y76" i="2"/>
  <c r="Z76" i="2"/>
  <c r="AN76" i="2" s="1"/>
  <c r="AF76" i="2"/>
  <c r="AG76" i="2"/>
  <c r="K77" i="2"/>
  <c r="L77" i="2" s="1"/>
  <c r="W77" i="2"/>
  <c r="X77" i="2"/>
  <c r="Y77" i="2"/>
  <c r="Z77" i="2"/>
  <c r="AF77" i="2"/>
  <c r="AG77" i="2"/>
  <c r="K78" i="2"/>
  <c r="L78" i="2" s="1"/>
  <c r="W78" i="2"/>
  <c r="X78" i="2"/>
  <c r="Y78" i="2"/>
  <c r="Z78" i="2"/>
  <c r="AN78" i="2" s="1"/>
  <c r="AF78" i="2"/>
  <c r="AG78" i="2"/>
  <c r="K79" i="2"/>
  <c r="L79" i="2" s="1"/>
  <c r="W79" i="2"/>
  <c r="X79" i="2"/>
  <c r="Y79" i="2"/>
  <c r="Z79" i="2"/>
  <c r="AF79" i="2"/>
  <c r="AG79" i="2"/>
  <c r="K80" i="2"/>
  <c r="L80" i="2" s="1"/>
  <c r="W80" i="2"/>
  <c r="X80" i="2"/>
  <c r="Y80" i="2"/>
  <c r="Z80" i="2"/>
  <c r="AN80" i="2" s="1"/>
  <c r="AF80" i="2"/>
  <c r="AG80" i="2"/>
  <c r="K81" i="2"/>
  <c r="L81" i="2" s="1"/>
  <c r="W81" i="2"/>
  <c r="X81" i="2"/>
  <c r="Y81" i="2"/>
  <c r="Z81" i="2"/>
  <c r="AF81" i="2"/>
  <c r="AG81" i="2"/>
  <c r="K82" i="2"/>
  <c r="L82" i="2" s="1"/>
  <c r="W82" i="2"/>
  <c r="X82" i="2"/>
  <c r="Y82" i="2"/>
  <c r="Z82" i="2"/>
  <c r="AN82" i="2" s="1"/>
  <c r="AF82" i="2"/>
  <c r="AG82" i="2"/>
  <c r="K83" i="2"/>
  <c r="L83" i="2" s="1"/>
  <c r="W83" i="2"/>
  <c r="X83" i="2"/>
  <c r="Y83" i="2"/>
  <c r="Z83" i="2"/>
  <c r="AF83" i="2"/>
  <c r="AG83" i="2"/>
  <c r="K84" i="2"/>
  <c r="L84" i="2" s="1"/>
  <c r="W84" i="2"/>
  <c r="X84" i="2"/>
  <c r="Y84" i="2"/>
  <c r="Z84" i="2"/>
  <c r="AN84" i="2" s="1"/>
  <c r="AF84" i="2"/>
  <c r="AG84" i="2"/>
  <c r="K85" i="2"/>
  <c r="L85" i="2" s="1"/>
  <c r="W85" i="2"/>
  <c r="X85" i="2"/>
  <c r="Y85" i="2"/>
  <c r="Z85" i="2"/>
  <c r="AF85" i="2"/>
  <c r="AG85" i="2"/>
  <c r="K86" i="2"/>
  <c r="L86" i="2" s="1"/>
  <c r="W86" i="2"/>
  <c r="X86" i="2"/>
  <c r="Y86" i="2"/>
  <c r="Z86" i="2"/>
  <c r="AN86" i="2" s="1"/>
  <c r="AF86" i="2"/>
  <c r="AG86" i="2"/>
  <c r="K87" i="2"/>
  <c r="L87" i="2" s="1"/>
  <c r="W87" i="2"/>
  <c r="X87" i="2"/>
  <c r="Y87" i="2"/>
  <c r="Z87" i="2"/>
  <c r="AF87" i="2"/>
  <c r="AG87" i="2"/>
  <c r="K88" i="2"/>
  <c r="L88" i="2" s="1"/>
  <c r="W88" i="2"/>
  <c r="X88" i="2"/>
  <c r="Y88" i="2"/>
  <c r="Z88" i="2"/>
  <c r="AN88" i="2" s="1"/>
  <c r="AF88" i="2"/>
  <c r="AG88" i="2"/>
  <c r="K89" i="2"/>
  <c r="L89" i="2" s="1"/>
  <c r="W89" i="2"/>
  <c r="X89" i="2"/>
  <c r="Y89" i="2"/>
  <c r="Z89" i="2"/>
  <c r="AF89" i="2"/>
  <c r="AG89" i="2"/>
  <c r="K90" i="2"/>
  <c r="L90" i="2" s="1"/>
  <c r="W90" i="2"/>
  <c r="X90" i="2"/>
  <c r="Y90" i="2"/>
  <c r="Z90" i="2"/>
  <c r="AN90" i="2" s="1"/>
  <c r="AF90" i="2"/>
  <c r="AG90" i="2"/>
  <c r="K91" i="2"/>
  <c r="L91" i="2" s="1"/>
  <c r="W91" i="2"/>
  <c r="X91" i="2"/>
  <c r="Y91" i="2"/>
  <c r="Z91" i="2"/>
  <c r="AF91" i="2"/>
  <c r="AG91" i="2"/>
  <c r="K92" i="2"/>
  <c r="L92" i="2" s="1"/>
  <c r="W92" i="2"/>
  <c r="X92" i="2"/>
  <c r="Y92" i="2"/>
  <c r="Z92" i="2"/>
  <c r="AN92" i="2" s="1"/>
  <c r="AF92" i="2"/>
  <c r="AG92" i="2"/>
  <c r="K93" i="2"/>
  <c r="L93" i="2" s="1"/>
  <c r="W93" i="2"/>
  <c r="X93" i="2"/>
  <c r="Y93" i="2"/>
  <c r="Z93" i="2"/>
  <c r="AF93" i="2"/>
  <c r="AG93" i="2"/>
  <c r="K94" i="2"/>
  <c r="L94" i="2" s="1"/>
  <c r="W94" i="2"/>
  <c r="X94" i="2"/>
  <c r="Y94" i="2"/>
  <c r="Z94" i="2"/>
  <c r="AN94" i="2" s="1"/>
  <c r="AF94" i="2"/>
  <c r="AG94" i="2"/>
  <c r="K95" i="2"/>
  <c r="L95" i="2" s="1"/>
  <c r="W95" i="2"/>
  <c r="X95" i="2"/>
  <c r="Y95" i="2"/>
  <c r="Z95" i="2"/>
  <c r="AF95" i="2"/>
  <c r="AG95" i="2"/>
  <c r="K96" i="2"/>
  <c r="L96" i="2" s="1"/>
  <c r="W96" i="2"/>
  <c r="X96" i="2"/>
  <c r="Y96" i="2"/>
  <c r="Z96" i="2"/>
  <c r="AN96" i="2" s="1"/>
  <c r="AF96" i="2"/>
  <c r="AG96" i="2"/>
  <c r="K97" i="2"/>
  <c r="L97" i="2" s="1"/>
  <c r="W97" i="2"/>
  <c r="X97" i="2"/>
  <c r="Y97" i="2"/>
  <c r="Z97" i="2"/>
  <c r="AF97" i="2"/>
  <c r="AG97" i="2"/>
  <c r="K98" i="2"/>
  <c r="L98" i="2" s="1"/>
  <c r="W98" i="2"/>
  <c r="X98" i="2"/>
  <c r="Y98" i="2"/>
  <c r="Z98" i="2"/>
  <c r="AN98" i="2" s="1"/>
  <c r="AF98" i="2"/>
  <c r="AG98" i="2"/>
  <c r="K99" i="2"/>
  <c r="L99" i="2" s="1"/>
  <c r="W99" i="2"/>
  <c r="X99" i="2"/>
  <c r="Y99" i="2"/>
  <c r="Z99" i="2"/>
  <c r="AF99" i="2"/>
  <c r="AG99" i="2"/>
  <c r="K100" i="2"/>
  <c r="L100" i="2" s="1"/>
  <c r="W100" i="2"/>
  <c r="X100" i="2"/>
  <c r="Y100" i="2"/>
  <c r="Z100" i="2"/>
  <c r="AN100" i="2" s="1"/>
  <c r="AF100" i="2"/>
  <c r="AG100" i="2"/>
  <c r="K101" i="2"/>
  <c r="L101" i="2" s="1"/>
  <c r="W101" i="2"/>
  <c r="X101" i="2"/>
  <c r="Y101" i="2"/>
  <c r="Z101" i="2"/>
  <c r="AN101" i="2" s="1"/>
  <c r="AF101" i="2"/>
  <c r="AG101" i="2"/>
  <c r="K102" i="2"/>
  <c r="L102" i="2" s="1"/>
  <c r="W102" i="2"/>
  <c r="X102" i="2"/>
  <c r="Y102" i="2"/>
  <c r="Z102" i="2"/>
  <c r="AN102" i="2" s="1"/>
  <c r="AF102" i="2"/>
  <c r="AG102" i="2"/>
  <c r="K103" i="2"/>
  <c r="L103" i="2" s="1"/>
  <c r="W103" i="2"/>
  <c r="X103" i="2"/>
  <c r="Y103" i="2"/>
  <c r="Z103" i="2"/>
  <c r="AN103" i="2" s="1"/>
  <c r="AF103" i="2"/>
  <c r="AG103" i="2"/>
  <c r="K104" i="2"/>
  <c r="L104" i="2" s="1"/>
  <c r="W104" i="2"/>
  <c r="X104" i="2"/>
  <c r="Y104" i="2"/>
  <c r="Z104" i="2"/>
  <c r="AN104" i="2" s="1"/>
  <c r="AF104" i="2"/>
  <c r="AG104" i="2"/>
  <c r="K105" i="2"/>
  <c r="L105" i="2" s="1"/>
  <c r="W105" i="2"/>
  <c r="X105" i="2"/>
  <c r="Y105" i="2"/>
  <c r="Z105" i="2"/>
  <c r="AN105" i="2" s="1"/>
  <c r="AF105" i="2"/>
  <c r="AG105" i="2"/>
  <c r="K106" i="2"/>
  <c r="L106" i="2" s="1"/>
  <c r="W106" i="2"/>
  <c r="X106" i="2"/>
  <c r="Y106" i="2"/>
  <c r="Z106" i="2"/>
  <c r="AN106" i="2" s="1"/>
  <c r="AF106" i="2"/>
  <c r="AG106" i="2"/>
  <c r="K107" i="2"/>
  <c r="L107" i="2" s="1"/>
  <c r="W107" i="2"/>
  <c r="X107" i="2"/>
  <c r="Y107" i="2"/>
  <c r="Z107" i="2"/>
  <c r="AF107" i="2"/>
  <c r="AG107" i="2"/>
  <c r="K108" i="2"/>
  <c r="L108" i="2" s="1"/>
  <c r="W108" i="2"/>
  <c r="X108" i="2"/>
  <c r="Y108" i="2"/>
  <c r="Z108" i="2"/>
  <c r="AN108" i="2" s="1"/>
  <c r="AF108" i="2"/>
  <c r="AG108" i="2"/>
  <c r="K109" i="2"/>
  <c r="L109" i="2" s="1"/>
  <c r="W109" i="2"/>
  <c r="X109" i="2"/>
  <c r="Y109" i="2"/>
  <c r="Z109" i="2"/>
  <c r="AF109" i="2"/>
  <c r="AG109" i="2"/>
  <c r="K110" i="2"/>
  <c r="L110" i="2" s="1"/>
  <c r="W110" i="2"/>
  <c r="X110" i="2"/>
  <c r="Y110" i="2"/>
  <c r="Z110" i="2"/>
  <c r="AN110" i="2" s="1"/>
  <c r="AF110" i="2"/>
  <c r="AG110" i="2"/>
  <c r="K111" i="2"/>
  <c r="L111" i="2" s="1"/>
  <c r="W111" i="2"/>
  <c r="X111" i="2"/>
  <c r="Y111" i="2"/>
  <c r="Z111" i="2"/>
  <c r="AF111" i="2"/>
  <c r="AG111" i="2"/>
  <c r="K112" i="2"/>
  <c r="L112" i="2" s="1"/>
  <c r="W112" i="2"/>
  <c r="X112" i="2"/>
  <c r="Y112" i="2"/>
  <c r="Z112" i="2"/>
  <c r="AN112" i="2" s="1"/>
  <c r="AF112" i="2"/>
  <c r="AG112" i="2"/>
  <c r="K113" i="2"/>
  <c r="L113" i="2" s="1"/>
  <c r="W113" i="2"/>
  <c r="X113" i="2"/>
  <c r="Y113" i="2"/>
  <c r="Z113" i="2"/>
  <c r="AN113" i="2" s="1"/>
  <c r="AF113" i="2"/>
  <c r="AG113" i="2"/>
  <c r="K114" i="2"/>
  <c r="L114" i="2" s="1"/>
  <c r="W114" i="2"/>
  <c r="X114" i="2"/>
  <c r="Y114" i="2"/>
  <c r="Z114" i="2"/>
  <c r="AN114" i="2" s="1"/>
  <c r="AF114" i="2"/>
  <c r="AG114" i="2"/>
  <c r="K115" i="2"/>
  <c r="L115" i="2" s="1"/>
  <c r="W115" i="2"/>
  <c r="X115" i="2"/>
  <c r="Y115" i="2"/>
  <c r="Z115" i="2"/>
  <c r="AN115" i="2" s="1"/>
  <c r="AF115" i="2"/>
  <c r="AG115" i="2"/>
  <c r="K116" i="2"/>
  <c r="L116" i="2" s="1"/>
  <c r="W116" i="2"/>
  <c r="X116" i="2"/>
  <c r="Y116" i="2"/>
  <c r="Z116" i="2"/>
  <c r="AN116" i="2" s="1"/>
  <c r="AF116" i="2"/>
  <c r="AG116" i="2"/>
  <c r="K117" i="2"/>
  <c r="L117" i="2" s="1"/>
  <c r="W117" i="2"/>
  <c r="X117" i="2"/>
  <c r="Y117" i="2"/>
  <c r="Z117" i="2"/>
  <c r="AN117" i="2" s="1"/>
  <c r="AF117" i="2"/>
  <c r="AG117" i="2"/>
  <c r="K118" i="2"/>
  <c r="L118" i="2" s="1"/>
  <c r="W118" i="2"/>
  <c r="X118" i="2"/>
  <c r="Y118" i="2"/>
  <c r="Z118" i="2"/>
  <c r="AN118" i="2" s="1"/>
  <c r="AF118" i="2"/>
  <c r="AG118" i="2"/>
  <c r="K119" i="2"/>
  <c r="L119" i="2" s="1"/>
  <c r="W119" i="2"/>
  <c r="X119" i="2"/>
  <c r="Y119" i="2"/>
  <c r="Z119" i="2"/>
  <c r="AN119" i="2" s="1"/>
  <c r="AF119" i="2"/>
  <c r="AG119" i="2"/>
  <c r="K120" i="2"/>
  <c r="L120" i="2" s="1"/>
  <c r="W120" i="2"/>
  <c r="X120" i="2"/>
  <c r="Y120" i="2"/>
  <c r="Z120" i="2"/>
  <c r="AN120" i="2" s="1"/>
  <c r="AF120" i="2"/>
  <c r="AG120" i="2"/>
  <c r="K121" i="2"/>
  <c r="L121" i="2" s="1"/>
  <c r="W121" i="2"/>
  <c r="X121" i="2"/>
  <c r="Y121" i="2"/>
  <c r="Z121" i="2"/>
  <c r="AN121" i="2" s="1"/>
  <c r="AF121" i="2"/>
  <c r="AG121" i="2"/>
  <c r="K122" i="2"/>
  <c r="L122" i="2" s="1"/>
  <c r="W122" i="2"/>
  <c r="X122" i="2"/>
  <c r="Y122" i="2"/>
  <c r="Z122" i="2"/>
  <c r="AF122" i="2"/>
  <c r="AG122" i="2"/>
  <c r="K123" i="2"/>
  <c r="L123" i="2" s="1"/>
  <c r="W123" i="2"/>
  <c r="X123" i="2"/>
  <c r="Y123" i="2"/>
  <c r="Z123" i="2"/>
  <c r="AN123" i="2" s="1"/>
  <c r="AF123" i="2"/>
  <c r="AG123" i="2"/>
  <c r="K124" i="2"/>
  <c r="L124" i="2" s="1"/>
  <c r="W124" i="2"/>
  <c r="X124" i="2"/>
  <c r="Y124" i="2"/>
  <c r="Z124" i="2"/>
  <c r="AF124" i="2"/>
  <c r="AG124" i="2"/>
  <c r="K125" i="2"/>
  <c r="L125" i="2" s="1"/>
  <c r="W125" i="2"/>
  <c r="X125" i="2"/>
  <c r="Y125" i="2"/>
  <c r="Z125" i="2"/>
  <c r="AN125" i="2" s="1"/>
  <c r="AF125" i="2"/>
  <c r="AG125" i="2"/>
  <c r="K126" i="2"/>
  <c r="L126" i="2" s="1"/>
  <c r="W126" i="2"/>
  <c r="X126" i="2"/>
  <c r="Y126" i="2"/>
  <c r="Z126" i="2"/>
  <c r="AF126" i="2"/>
  <c r="AG126" i="2"/>
  <c r="K127" i="2"/>
  <c r="L127" i="2" s="1"/>
  <c r="W127" i="2"/>
  <c r="X127" i="2"/>
  <c r="Y127" i="2"/>
  <c r="Z127" i="2"/>
  <c r="AF127" i="2"/>
  <c r="AG127" i="2"/>
  <c r="K128" i="2"/>
  <c r="L128" i="2" s="1"/>
  <c r="W128" i="2"/>
  <c r="X128" i="2"/>
  <c r="Y128" i="2"/>
  <c r="Z128" i="2"/>
  <c r="AF128" i="2"/>
  <c r="AG128" i="2"/>
  <c r="K129" i="2"/>
  <c r="L129" i="2" s="1"/>
  <c r="W129" i="2"/>
  <c r="X129" i="2"/>
  <c r="Y129" i="2"/>
  <c r="Z129" i="2"/>
  <c r="AN129" i="2" s="1"/>
  <c r="AF129" i="2"/>
  <c r="AG129" i="2"/>
  <c r="K130" i="2"/>
  <c r="L130" i="2" s="1"/>
  <c r="W130" i="2"/>
  <c r="X130" i="2"/>
  <c r="Y130" i="2"/>
  <c r="Z130" i="2"/>
  <c r="AF130" i="2"/>
  <c r="AG130" i="2"/>
  <c r="K131" i="2"/>
  <c r="L131" i="2" s="1"/>
  <c r="W131" i="2"/>
  <c r="X131" i="2"/>
  <c r="Y131" i="2"/>
  <c r="Z131" i="2"/>
  <c r="AF131" i="2"/>
  <c r="AG131" i="2"/>
  <c r="K132" i="2"/>
  <c r="L132" i="2" s="1"/>
  <c r="W132" i="2"/>
  <c r="X132" i="2"/>
  <c r="Y132" i="2"/>
  <c r="Z132" i="2"/>
  <c r="AN132" i="2" s="1"/>
  <c r="AF132" i="2"/>
  <c r="AG132" i="2"/>
  <c r="K133" i="2"/>
  <c r="L133" i="2" s="1"/>
  <c r="W133" i="2"/>
  <c r="X133" i="2"/>
  <c r="Y133" i="2"/>
  <c r="Z133" i="2"/>
  <c r="AN133" i="2" s="1"/>
  <c r="AF133" i="2"/>
  <c r="AG133" i="2"/>
  <c r="K134" i="2"/>
  <c r="L134" i="2" s="1"/>
  <c r="W134" i="2"/>
  <c r="X134" i="2"/>
  <c r="Y134" i="2"/>
  <c r="Z134" i="2"/>
  <c r="AF134" i="2"/>
  <c r="AG134" i="2"/>
  <c r="K135" i="2"/>
  <c r="L135" i="2" s="1"/>
  <c r="W135" i="2"/>
  <c r="X135" i="2"/>
  <c r="Y135" i="2"/>
  <c r="Z135" i="2"/>
  <c r="AN135" i="2" s="1"/>
  <c r="AF135" i="2"/>
  <c r="AG135" i="2"/>
  <c r="K136" i="2"/>
  <c r="L136" i="2" s="1"/>
  <c r="W136" i="2"/>
  <c r="X136" i="2"/>
  <c r="Y136" i="2"/>
  <c r="Z136" i="2"/>
  <c r="AF136" i="2"/>
  <c r="AG136" i="2"/>
  <c r="K137" i="2"/>
  <c r="L137" i="2" s="1"/>
  <c r="W137" i="2"/>
  <c r="X137" i="2"/>
  <c r="Y137" i="2"/>
  <c r="Z137" i="2"/>
  <c r="AN137" i="2" s="1"/>
  <c r="AF137" i="2"/>
  <c r="AG137" i="2"/>
  <c r="K138" i="2"/>
  <c r="L138" i="2" s="1"/>
  <c r="W138" i="2"/>
  <c r="X138" i="2"/>
  <c r="Y138" i="2"/>
  <c r="Z138" i="2"/>
  <c r="AF138" i="2"/>
  <c r="AG138" i="2"/>
  <c r="K139" i="2"/>
  <c r="L139" i="2" s="1"/>
  <c r="W139" i="2"/>
  <c r="X139" i="2"/>
  <c r="Y139" i="2"/>
  <c r="Z139" i="2"/>
  <c r="AF139" i="2"/>
  <c r="AG139" i="2"/>
  <c r="K140" i="2"/>
  <c r="L140" i="2" s="1"/>
  <c r="W140" i="2"/>
  <c r="X140" i="2"/>
  <c r="Y140" i="2"/>
  <c r="Z140" i="2"/>
  <c r="AF140" i="2"/>
  <c r="AG140" i="2"/>
  <c r="K141" i="2"/>
  <c r="L141" i="2" s="1"/>
  <c r="W141" i="2"/>
  <c r="X141" i="2"/>
  <c r="Y141" i="2"/>
  <c r="Z141" i="2"/>
  <c r="AN141" i="2" s="1"/>
  <c r="AF141" i="2"/>
  <c r="AG141" i="2"/>
  <c r="K142" i="2"/>
  <c r="L142" i="2" s="1"/>
  <c r="W142" i="2"/>
  <c r="X142" i="2"/>
  <c r="Y142" i="2"/>
  <c r="Z142" i="2"/>
  <c r="AF142" i="2"/>
  <c r="AG142" i="2"/>
  <c r="K143" i="2"/>
  <c r="L143" i="2" s="1"/>
  <c r="W143" i="2"/>
  <c r="X143" i="2"/>
  <c r="Y143" i="2"/>
  <c r="Z143" i="2"/>
  <c r="AN143" i="2" s="1"/>
  <c r="AF143" i="2"/>
  <c r="AG143" i="2"/>
  <c r="K144" i="2"/>
  <c r="L144" i="2" s="1"/>
  <c r="W144" i="2"/>
  <c r="X144" i="2"/>
  <c r="Y144" i="2"/>
  <c r="Z144" i="2"/>
  <c r="AN144" i="2" s="1"/>
  <c r="AF144" i="2"/>
  <c r="AG144" i="2"/>
  <c r="K145" i="2"/>
  <c r="L145" i="2" s="1"/>
  <c r="W145" i="2"/>
  <c r="X145" i="2"/>
  <c r="Y145" i="2"/>
  <c r="Z145" i="2"/>
  <c r="AF145" i="2"/>
  <c r="AG145" i="2"/>
  <c r="K146" i="2"/>
  <c r="L146" i="2" s="1"/>
  <c r="W146" i="2"/>
  <c r="X146" i="2"/>
  <c r="Y146" i="2"/>
  <c r="Z146" i="2"/>
  <c r="AF146" i="2"/>
  <c r="AG146" i="2"/>
  <c r="K147" i="2"/>
  <c r="L147" i="2" s="1"/>
  <c r="W147" i="2"/>
  <c r="X147" i="2"/>
  <c r="Y147" i="2"/>
  <c r="Z147" i="2"/>
  <c r="AN147" i="2" s="1"/>
  <c r="AF147" i="2"/>
  <c r="AG147" i="2"/>
  <c r="K148" i="2"/>
  <c r="L148" i="2" s="1"/>
  <c r="W148" i="2"/>
  <c r="X148" i="2"/>
  <c r="Y148" i="2"/>
  <c r="Z148" i="2"/>
  <c r="AF148" i="2"/>
  <c r="AG148" i="2"/>
  <c r="K149" i="2"/>
  <c r="L149" i="2" s="1"/>
  <c r="W149" i="2"/>
  <c r="X149" i="2"/>
  <c r="Y149" i="2"/>
  <c r="Z149" i="2"/>
  <c r="AN149" i="2" s="1"/>
  <c r="AF149" i="2"/>
  <c r="AG149" i="2"/>
  <c r="K150" i="2"/>
  <c r="L150" i="2" s="1"/>
  <c r="W150" i="2"/>
  <c r="X150" i="2"/>
  <c r="Y150" i="2"/>
  <c r="Z150" i="2"/>
  <c r="AN150" i="2" s="1"/>
  <c r="AF150" i="2"/>
  <c r="AG150" i="2"/>
  <c r="K151" i="2"/>
  <c r="L151" i="2" s="1"/>
  <c r="W151" i="2"/>
  <c r="X151" i="2"/>
  <c r="Y151" i="2"/>
  <c r="Z151" i="2"/>
  <c r="AF151" i="2"/>
  <c r="AG151" i="2"/>
  <c r="K152" i="2"/>
  <c r="L152" i="2" s="1"/>
  <c r="W152" i="2"/>
  <c r="X152" i="2"/>
  <c r="Y152" i="2"/>
  <c r="Z152" i="2"/>
  <c r="AN152" i="2" s="1"/>
  <c r="AF152" i="2"/>
  <c r="AG152" i="2"/>
  <c r="K153" i="2"/>
  <c r="L153" i="2" s="1"/>
  <c r="W153" i="2"/>
  <c r="X153" i="2"/>
  <c r="Y153" i="2"/>
  <c r="Z153" i="2"/>
  <c r="AN153" i="2" s="1"/>
  <c r="AF153" i="2"/>
  <c r="AG153" i="2"/>
  <c r="K154" i="2"/>
  <c r="L154" i="2" s="1"/>
  <c r="W154" i="2"/>
  <c r="X154" i="2"/>
  <c r="Y154" i="2"/>
  <c r="Z154" i="2"/>
  <c r="AF154" i="2"/>
  <c r="AG154" i="2"/>
  <c r="K155" i="2"/>
  <c r="L155" i="2" s="1"/>
  <c r="W155" i="2"/>
  <c r="X155" i="2"/>
  <c r="Y155" i="2"/>
  <c r="Z155" i="2"/>
  <c r="AN155" i="2" s="1"/>
  <c r="AF155" i="2"/>
  <c r="AG155" i="2"/>
  <c r="K156" i="2"/>
  <c r="L156" i="2" s="1"/>
  <c r="W156" i="2"/>
  <c r="X156" i="2"/>
  <c r="Y156" i="2"/>
  <c r="Z156" i="2"/>
  <c r="AF156" i="2"/>
  <c r="AG156" i="2"/>
  <c r="K157" i="2"/>
  <c r="L157" i="2" s="1"/>
  <c r="W157" i="2"/>
  <c r="X157" i="2"/>
  <c r="Y157" i="2"/>
  <c r="Z157" i="2"/>
  <c r="AN157" i="2" s="1"/>
  <c r="AF157" i="2"/>
  <c r="AG157" i="2"/>
  <c r="K158" i="2"/>
  <c r="L158" i="2" s="1"/>
  <c r="W158" i="2"/>
  <c r="X158" i="2"/>
  <c r="Y158" i="2"/>
  <c r="Z158" i="2"/>
  <c r="AF158" i="2"/>
  <c r="AG158" i="2"/>
  <c r="K159" i="2"/>
  <c r="L159" i="2" s="1"/>
  <c r="W159" i="2"/>
  <c r="X159" i="2"/>
  <c r="Y159" i="2"/>
  <c r="Z159" i="2"/>
  <c r="AN159" i="2" s="1"/>
  <c r="AF159" i="2"/>
  <c r="AG159" i="2"/>
  <c r="K160" i="2"/>
  <c r="L160" i="2" s="1"/>
  <c r="W160" i="2"/>
  <c r="X160" i="2"/>
  <c r="Y160" i="2"/>
  <c r="Z160" i="2"/>
  <c r="AF160" i="2"/>
  <c r="AG160" i="2"/>
  <c r="K161" i="2"/>
  <c r="L161" i="2" s="1"/>
  <c r="W161" i="2"/>
  <c r="X161" i="2"/>
  <c r="Y161" i="2"/>
  <c r="Z161" i="2"/>
  <c r="AN161" i="2" s="1"/>
  <c r="AF161" i="2"/>
  <c r="AG161" i="2"/>
  <c r="K162" i="2"/>
  <c r="L162" i="2" s="1"/>
  <c r="W162" i="2"/>
  <c r="X162" i="2"/>
  <c r="Y162" i="2"/>
  <c r="Z162" i="2"/>
  <c r="AF162" i="2"/>
  <c r="AG162" i="2"/>
  <c r="K163" i="2"/>
  <c r="L163" i="2" s="1"/>
  <c r="W163" i="2"/>
  <c r="X163" i="2"/>
  <c r="Y163" i="2"/>
  <c r="Z163" i="2"/>
  <c r="AN163" i="2" s="1"/>
  <c r="AF163" i="2"/>
  <c r="AG163" i="2"/>
  <c r="K164" i="2"/>
  <c r="L164" i="2" s="1"/>
  <c r="W164" i="2"/>
  <c r="X164" i="2"/>
  <c r="Y164" i="2"/>
  <c r="Z164" i="2"/>
  <c r="AF164" i="2"/>
  <c r="AG164" i="2"/>
  <c r="K165" i="2"/>
  <c r="L165" i="2" s="1"/>
  <c r="W165" i="2"/>
  <c r="X165" i="2"/>
  <c r="Y165" i="2"/>
  <c r="Z165" i="2"/>
  <c r="AN165" i="2" s="1"/>
  <c r="AF165" i="2"/>
  <c r="AG165" i="2"/>
  <c r="K166" i="2"/>
  <c r="L166" i="2" s="1"/>
  <c r="W166" i="2"/>
  <c r="X166" i="2"/>
  <c r="Y166" i="2"/>
  <c r="Z166" i="2"/>
  <c r="AF166" i="2"/>
  <c r="AG166" i="2"/>
  <c r="K167" i="2"/>
  <c r="L167" i="2" s="1"/>
  <c r="W167" i="2"/>
  <c r="X167" i="2"/>
  <c r="Y167" i="2"/>
  <c r="Z167" i="2"/>
  <c r="AN167" i="2" s="1"/>
  <c r="AF167" i="2"/>
  <c r="AG167" i="2"/>
  <c r="K168" i="2"/>
  <c r="L168" i="2" s="1"/>
  <c r="W168" i="2"/>
  <c r="X168" i="2"/>
  <c r="Y168" i="2"/>
  <c r="Z168" i="2"/>
  <c r="AF168" i="2"/>
  <c r="AG168" i="2"/>
  <c r="K169" i="2"/>
  <c r="L169" i="2" s="1"/>
  <c r="W169" i="2"/>
  <c r="X169" i="2"/>
  <c r="Y169" i="2"/>
  <c r="Z169" i="2"/>
  <c r="AN169" i="2" s="1"/>
  <c r="AF169" i="2"/>
  <c r="AG169" i="2"/>
  <c r="K170" i="2"/>
  <c r="L170" i="2" s="1"/>
  <c r="W170" i="2"/>
  <c r="X170" i="2"/>
  <c r="Y170" i="2"/>
  <c r="Z170" i="2"/>
  <c r="AN170" i="2" s="1"/>
  <c r="AF170" i="2"/>
  <c r="AG170" i="2"/>
  <c r="K171" i="2"/>
  <c r="L171" i="2" s="1"/>
  <c r="W171" i="2"/>
  <c r="X171" i="2"/>
  <c r="Y171" i="2"/>
  <c r="Z171" i="2"/>
  <c r="AN171" i="2" s="1"/>
  <c r="AF171" i="2"/>
  <c r="AG171" i="2"/>
  <c r="K172" i="2"/>
  <c r="L172" i="2" s="1"/>
  <c r="W172" i="2"/>
  <c r="X172" i="2"/>
  <c r="Y172" i="2"/>
  <c r="Z172" i="2"/>
  <c r="AF172" i="2"/>
  <c r="AG172" i="2"/>
  <c r="K173" i="2"/>
  <c r="L173" i="2" s="1"/>
  <c r="W173" i="2"/>
  <c r="X173" i="2"/>
  <c r="Y173" i="2"/>
  <c r="Z173" i="2"/>
  <c r="AN173" i="2" s="1"/>
  <c r="AF173" i="2"/>
  <c r="AG173" i="2"/>
  <c r="K174" i="2"/>
  <c r="L174" i="2" s="1"/>
  <c r="W174" i="2"/>
  <c r="X174" i="2"/>
  <c r="Y174" i="2"/>
  <c r="Z174" i="2"/>
  <c r="AF174" i="2"/>
  <c r="AG174" i="2"/>
  <c r="K175" i="2"/>
  <c r="L175" i="2" s="1"/>
  <c r="W175" i="2"/>
  <c r="X175" i="2"/>
  <c r="Y175" i="2"/>
  <c r="Z175" i="2"/>
  <c r="AF175" i="2"/>
  <c r="AG175" i="2"/>
  <c r="K176" i="2"/>
  <c r="L176" i="2" s="1"/>
  <c r="W176" i="2"/>
  <c r="X176" i="2"/>
  <c r="Y176" i="2"/>
  <c r="Z176" i="2"/>
  <c r="AN176" i="2" s="1"/>
  <c r="AF176" i="2"/>
  <c r="AG176" i="2"/>
  <c r="K177" i="2"/>
  <c r="L177" i="2" s="1"/>
  <c r="W177" i="2"/>
  <c r="X177" i="2"/>
  <c r="Y177" i="2"/>
  <c r="Z177" i="2"/>
  <c r="AF177" i="2"/>
  <c r="AG177" i="2"/>
  <c r="K178" i="2"/>
  <c r="L178" i="2" s="1"/>
  <c r="W178" i="2"/>
  <c r="X178" i="2"/>
  <c r="Y178" i="2"/>
  <c r="Z178" i="2"/>
  <c r="AN178" i="2" s="1"/>
  <c r="AF178" i="2"/>
  <c r="AG178" i="2"/>
  <c r="K179" i="2"/>
  <c r="L179" i="2" s="1"/>
  <c r="W179" i="2"/>
  <c r="X179" i="2"/>
  <c r="Y179" i="2"/>
  <c r="Z179" i="2"/>
  <c r="AN179" i="2" s="1"/>
  <c r="AF179" i="2"/>
  <c r="AG179" i="2"/>
  <c r="K180" i="2"/>
  <c r="L180" i="2" s="1"/>
  <c r="W180" i="2"/>
  <c r="X180" i="2"/>
  <c r="Y180" i="2"/>
  <c r="Z180" i="2"/>
  <c r="AF180" i="2"/>
  <c r="AG180" i="2"/>
  <c r="K181" i="2"/>
  <c r="L181" i="2" s="1"/>
  <c r="W181" i="2"/>
  <c r="X181" i="2"/>
  <c r="Y181" i="2"/>
  <c r="Z181" i="2"/>
  <c r="AF181" i="2"/>
  <c r="AG181" i="2"/>
  <c r="K182" i="2"/>
  <c r="L182" i="2" s="1"/>
  <c r="W182" i="2"/>
  <c r="X182" i="2"/>
  <c r="Y182" i="2"/>
  <c r="Z182" i="2"/>
  <c r="AN182" i="2" s="1"/>
  <c r="AF182" i="2"/>
  <c r="AG182" i="2"/>
  <c r="K183" i="2"/>
  <c r="L183" i="2" s="1"/>
  <c r="W183" i="2"/>
  <c r="X183" i="2"/>
  <c r="Y183" i="2"/>
  <c r="Z183" i="2"/>
  <c r="AF183" i="2"/>
  <c r="AG183" i="2"/>
  <c r="K184" i="2"/>
  <c r="L184" i="2" s="1"/>
  <c r="W184" i="2"/>
  <c r="X184" i="2"/>
  <c r="Y184" i="2"/>
  <c r="Z184" i="2"/>
  <c r="AF184" i="2"/>
  <c r="AG184" i="2"/>
  <c r="K185" i="2"/>
  <c r="L185" i="2" s="1"/>
  <c r="W185" i="2"/>
  <c r="X185" i="2"/>
  <c r="Y185" i="2"/>
  <c r="Z185" i="2"/>
  <c r="AN185" i="2" s="1"/>
  <c r="AF185" i="2"/>
  <c r="AG185" i="2"/>
  <c r="K186" i="2"/>
  <c r="L186" i="2" s="1"/>
  <c r="W186" i="2"/>
  <c r="X186" i="2"/>
  <c r="Y186" i="2"/>
  <c r="Z186" i="2"/>
  <c r="AN186" i="2" s="1"/>
  <c r="AF186" i="2"/>
  <c r="AG186" i="2"/>
  <c r="K187" i="2"/>
  <c r="L187" i="2" s="1"/>
  <c r="W187" i="2"/>
  <c r="X187" i="2"/>
  <c r="Y187" i="2"/>
  <c r="Z187" i="2"/>
  <c r="AN187" i="2" s="1"/>
  <c r="AF187" i="2"/>
  <c r="AG187" i="2"/>
  <c r="K188" i="2"/>
  <c r="L188" i="2" s="1"/>
  <c r="W188" i="2"/>
  <c r="X188" i="2"/>
  <c r="Y188" i="2"/>
  <c r="Z188" i="2"/>
  <c r="AN188" i="2" s="1"/>
  <c r="AF188" i="2"/>
  <c r="AG188" i="2"/>
  <c r="K189" i="2"/>
  <c r="L189" i="2" s="1"/>
  <c r="W189" i="2"/>
  <c r="X189" i="2"/>
  <c r="Y189" i="2"/>
  <c r="Z189" i="2"/>
  <c r="AN189" i="2" s="1"/>
  <c r="AF189" i="2"/>
  <c r="AG189" i="2"/>
  <c r="K190" i="2"/>
  <c r="L190" i="2" s="1"/>
  <c r="W190" i="2"/>
  <c r="X190" i="2"/>
  <c r="Y190" i="2"/>
  <c r="Z190" i="2"/>
  <c r="AN190" i="2" s="1"/>
  <c r="AF190" i="2"/>
  <c r="AG190" i="2"/>
  <c r="K191" i="2"/>
  <c r="L191" i="2" s="1"/>
  <c r="W191" i="2"/>
  <c r="X191" i="2"/>
  <c r="Y191" i="2"/>
  <c r="Z191" i="2"/>
  <c r="AN191" i="2" s="1"/>
  <c r="AF191" i="2"/>
  <c r="AG191" i="2"/>
  <c r="K192" i="2"/>
  <c r="L192" i="2" s="1"/>
  <c r="W192" i="2"/>
  <c r="X192" i="2"/>
  <c r="Y192" i="2"/>
  <c r="Z192" i="2"/>
  <c r="AN192" i="2" s="1"/>
  <c r="AF192" i="2"/>
  <c r="AG192" i="2"/>
  <c r="K193" i="2"/>
  <c r="L193" i="2" s="1"/>
  <c r="W193" i="2"/>
  <c r="X193" i="2"/>
  <c r="Y193" i="2"/>
  <c r="Z193" i="2"/>
  <c r="AN193" i="2" s="1"/>
  <c r="AF193" i="2"/>
  <c r="AG193" i="2"/>
  <c r="K194" i="2"/>
  <c r="L194" i="2" s="1"/>
  <c r="W194" i="2"/>
  <c r="X194" i="2"/>
  <c r="Y194" i="2"/>
  <c r="Z194" i="2"/>
  <c r="AN194" i="2" s="1"/>
  <c r="AF194" i="2"/>
  <c r="AG194" i="2"/>
  <c r="K195" i="2"/>
  <c r="L195" i="2" s="1"/>
  <c r="W195" i="2"/>
  <c r="X195" i="2"/>
  <c r="Y195" i="2"/>
  <c r="Z195" i="2"/>
  <c r="AN195" i="2" s="1"/>
  <c r="AF195" i="2"/>
  <c r="AG195" i="2"/>
  <c r="K196" i="2"/>
  <c r="L196" i="2" s="1"/>
  <c r="W196" i="2"/>
  <c r="X196" i="2"/>
  <c r="Y196" i="2"/>
  <c r="Z196" i="2"/>
  <c r="AN196" i="2" s="1"/>
  <c r="AF196" i="2"/>
  <c r="AG196" i="2"/>
  <c r="K197" i="2"/>
  <c r="L197" i="2" s="1"/>
  <c r="W197" i="2"/>
  <c r="X197" i="2"/>
  <c r="Y197" i="2"/>
  <c r="Z197" i="2"/>
  <c r="AN197" i="2" s="1"/>
  <c r="AF197" i="2"/>
  <c r="AG197" i="2"/>
  <c r="K198" i="2"/>
  <c r="L198" i="2" s="1"/>
  <c r="W198" i="2"/>
  <c r="X198" i="2"/>
  <c r="Y198" i="2"/>
  <c r="Z198" i="2"/>
  <c r="AN198" i="2" s="1"/>
  <c r="AF198" i="2"/>
  <c r="AG198" i="2"/>
  <c r="K199" i="2"/>
  <c r="L199" i="2" s="1"/>
  <c r="W199" i="2"/>
  <c r="X199" i="2"/>
  <c r="Y199" i="2"/>
  <c r="Z199" i="2"/>
  <c r="AN199" i="2" s="1"/>
  <c r="AF199" i="2"/>
  <c r="AG199" i="2"/>
  <c r="K200" i="2"/>
  <c r="L200" i="2" s="1"/>
  <c r="W200" i="2"/>
  <c r="X200" i="2"/>
  <c r="Y200" i="2"/>
  <c r="Z200" i="2"/>
  <c r="AN200" i="2" s="1"/>
  <c r="AF200" i="2"/>
  <c r="AG200" i="2"/>
  <c r="K201" i="2"/>
  <c r="L201" i="2" s="1"/>
  <c r="W201" i="2"/>
  <c r="X201" i="2"/>
  <c r="Y201" i="2"/>
  <c r="Z201" i="2"/>
  <c r="AN201" i="2" s="1"/>
  <c r="AF201" i="2"/>
  <c r="AG201" i="2"/>
  <c r="K202" i="2"/>
  <c r="L202" i="2" s="1"/>
  <c r="W202" i="2"/>
  <c r="X202" i="2"/>
  <c r="Y202" i="2"/>
  <c r="Z202" i="2"/>
  <c r="AF202" i="2"/>
  <c r="AG202" i="2"/>
  <c r="K203" i="2"/>
  <c r="L203" i="2" s="1"/>
  <c r="W203" i="2"/>
  <c r="X203" i="2"/>
  <c r="Y203" i="2"/>
  <c r="Z203" i="2"/>
  <c r="AN203" i="2" s="1"/>
  <c r="AF203" i="2"/>
  <c r="AG203" i="2"/>
  <c r="K204" i="2"/>
  <c r="L204" i="2" s="1"/>
  <c r="W204" i="2"/>
  <c r="X204" i="2"/>
  <c r="Y204" i="2"/>
  <c r="Z204" i="2"/>
  <c r="AF204" i="2"/>
  <c r="AG204" i="2"/>
  <c r="K205" i="2"/>
  <c r="L205" i="2" s="1"/>
  <c r="W205" i="2"/>
  <c r="X205" i="2"/>
  <c r="Y205" i="2"/>
  <c r="Z205" i="2"/>
  <c r="AN205" i="2" s="1"/>
  <c r="AF205" i="2"/>
  <c r="AG205" i="2"/>
  <c r="K206" i="2"/>
  <c r="L206" i="2" s="1"/>
  <c r="W206" i="2"/>
  <c r="X206" i="2"/>
  <c r="Y206" i="2"/>
  <c r="Z206" i="2"/>
  <c r="AN206" i="2" s="1"/>
  <c r="AF206" i="2"/>
  <c r="AG206" i="2"/>
  <c r="K207" i="2"/>
  <c r="L207" i="2" s="1"/>
  <c r="W207" i="2"/>
  <c r="X207" i="2"/>
  <c r="Y207" i="2"/>
  <c r="Z207" i="2"/>
  <c r="AN207" i="2" s="1"/>
  <c r="AF207" i="2"/>
  <c r="AG207" i="2"/>
  <c r="K208" i="2"/>
  <c r="L208" i="2" s="1"/>
  <c r="W208" i="2"/>
  <c r="X208" i="2"/>
  <c r="Y208" i="2"/>
  <c r="Z208" i="2"/>
  <c r="AF208" i="2"/>
  <c r="AG208" i="2"/>
  <c r="K209" i="2"/>
  <c r="L209" i="2" s="1"/>
  <c r="W209" i="2"/>
  <c r="X209" i="2"/>
  <c r="Y209" i="2"/>
  <c r="Z209" i="2"/>
  <c r="AN209" i="2" s="1"/>
  <c r="AF209" i="2"/>
  <c r="AG209" i="2"/>
  <c r="K210" i="2"/>
  <c r="L210" i="2" s="1"/>
  <c r="W210" i="2"/>
  <c r="X210" i="2"/>
  <c r="Y210" i="2"/>
  <c r="Z210" i="2"/>
  <c r="AN210" i="2" s="1"/>
  <c r="AF210" i="2"/>
  <c r="AG210" i="2"/>
  <c r="K211" i="2"/>
  <c r="L211" i="2" s="1"/>
  <c r="W211" i="2"/>
  <c r="X211" i="2"/>
  <c r="Y211" i="2"/>
  <c r="Z211" i="2"/>
  <c r="AN211" i="2" s="1"/>
  <c r="AF211" i="2"/>
  <c r="AG211" i="2"/>
  <c r="K212" i="2"/>
  <c r="L212" i="2" s="1"/>
  <c r="W212" i="2"/>
  <c r="X212" i="2"/>
  <c r="Y212" i="2"/>
  <c r="Z212" i="2"/>
  <c r="AN212" i="2" s="1"/>
  <c r="AF212" i="2"/>
  <c r="AG212" i="2"/>
  <c r="K213" i="2"/>
  <c r="L213" i="2" s="1"/>
  <c r="W213" i="2"/>
  <c r="X213" i="2"/>
  <c r="Y213" i="2"/>
  <c r="Z213" i="2"/>
  <c r="AF213" i="2"/>
  <c r="AG213" i="2"/>
  <c r="K214" i="2"/>
  <c r="L214" i="2" s="1"/>
  <c r="W214" i="2"/>
  <c r="X214" i="2"/>
  <c r="Y214" i="2"/>
  <c r="Z214" i="2"/>
  <c r="AF214" i="2"/>
  <c r="AG214" i="2"/>
  <c r="K215" i="2"/>
  <c r="L215" i="2" s="1"/>
  <c r="W215" i="2"/>
  <c r="X215" i="2"/>
  <c r="Y215" i="2"/>
  <c r="Z215" i="2"/>
  <c r="AF215" i="2"/>
  <c r="AG215" i="2"/>
  <c r="K216" i="2"/>
  <c r="L216" i="2" s="1"/>
  <c r="W216" i="2"/>
  <c r="X216" i="2"/>
  <c r="Y216" i="2"/>
  <c r="Z216" i="2"/>
  <c r="AN216" i="2" s="1"/>
  <c r="AF216" i="2"/>
  <c r="AG216" i="2"/>
  <c r="K217" i="2"/>
  <c r="L217" i="2" s="1"/>
  <c r="W217" i="2"/>
  <c r="X217" i="2"/>
  <c r="Y217" i="2"/>
  <c r="Z217" i="2"/>
  <c r="AF217" i="2"/>
  <c r="AG217" i="2"/>
  <c r="K218" i="2"/>
  <c r="L218" i="2" s="1"/>
  <c r="W218" i="2"/>
  <c r="X218" i="2"/>
  <c r="Y218" i="2"/>
  <c r="Z218" i="2"/>
  <c r="AN218" i="2" s="1"/>
  <c r="AF218" i="2"/>
  <c r="AG218" i="2"/>
  <c r="K219" i="2"/>
  <c r="L219" i="2" s="1"/>
  <c r="W219" i="2"/>
  <c r="X219" i="2"/>
  <c r="Y219" i="2"/>
  <c r="Z219" i="2"/>
  <c r="AF219" i="2"/>
  <c r="AG219" i="2"/>
  <c r="K220" i="2"/>
  <c r="L220" i="2" s="1"/>
  <c r="W220" i="2"/>
  <c r="X220" i="2"/>
  <c r="Y220" i="2"/>
  <c r="Z220" i="2"/>
  <c r="AF220" i="2"/>
  <c r="AG220" i="2"/>
  <c r="K221" i="2"/>
  <c r="L221" i="2" s="1"/>
  <c r="W221" i="2"/>
  <c r="X221" i="2"/>
  <c r="Y221" i="2"/>
  <c r="Z221" i="2"/>
  <c r="AF221" i="2"/>
  <c r="AG221" i="2"/>
  <c r="K222" i="2"/>
  <c r="L222" i="2" s="1"/>
  <c r="W222" i="2"/>
  <c r="X222" i="2"/>
  <c r="Y222" i="2"/>
  <c r="Z222" i="2"/>
  <c r="AN222" i="2" s="1"/>
  <c r="AF222" i="2"/>
  <c r="AG222" i="2"/>
  <c r="K223" i="2"/>
  <c r="L223" i="2" s="1"/>
  <c r="W223" i="2"/>
  <c r="X223" i="2"/>
  <c r="Y223" i="2"/>
  <c r="Z223" i="2"/>
  <c r="AF223" i="2"/>
  <c r="AG223" i="2"/>
  <c r="K224" i="2"/>
  <c r="L224" i="2" s="1"/>
  <c r="W224" i="2"/>
  <c r="X224" i="2"/>
  <c r="Y224" i="2"/>
  <c r="Z224" i="2"/>
  <c r="AN224" i="2" s="1"/>
  <c r="AF224" i="2"/>
  <c r="AG224" i="2"/>
  <c r="K225" i="2"/>
  <c r="L225" i="2" s="1"/>
  <c r="W225" i="2"/>
  <c r="X225" i="2"/>
  <c r="Y225" i="2"/>
  <c r="Z225" i="2"/>
  <c r="AF225" i="2"/>
  <c r="AG225" i="2"/>
  <c r="K226" i="2"/>
  <c r="L226" i="2" s="1"/>
  <c r="W226" i="2"/>
  <c r="X226" i="2"/>
  <c r="Y226" i="2"/>
  <c r="Z226" i="2"/>
  <c r="AF226" i="2"/>
  <c r="AG226" i="2"/>
  <c r="K227" i="2"/>
  <c r="L227" i="2" s="1"/>
  <c r="W227" i="2"/>
  <c r="X227" i="2"/>
  <c r="Y227" i="2"/>
  <c r="Z227" i="2"/>
  <c r="AN227" i="2" s="1"/>
  <c r="AF227" i="2"/>
  <c r="AG227" i="2"/>
  <c r="K228" i="2"/>
  <c r="L228" i="2" s="1"/>
  <c r="W228" i="2"/>
  <c r="X228" i="2"/>
  <c r="Y228" i="2"/>
  <c r="Z228" i="2"/>
  <c r="AF228" i="2"/>
  <c r="AG228" i="2"/>
  <c r="K229" i="2"/>
  <c r="L229" i="2" s="1"/>
  <c r="W229" i="2"/>
  <c r="X229" i="2"/>
  <c r="Y229" i="2"/>
  <c r="Z229" i="2"/>
  <c r="AF229" i="2"/>
  <c r="AG229" i="2"/>
  <c r="K230" i="2"/>
  <c r="L230" i="2" s="1"/>
  <c r="W230" i="2"/>
  <c r="X230" i="2"/>
  <c r="Y230" i="2"/>
  <c r="Z230" i="2"/>
  <c r="AN230" i="2" s="1"/>
  <c r="AF230" i="2"/>
  <c r="AG230" i="2"/>
  <c r="K231" i="2"/>
  <c r="L231" i="2" s="1"/>
  <c r="W231" i="2"/>
  <c r="X231" i="2"/>
  <c r="Y231" i="2"/>
  <c r="Z231" i="2"/>
  <c r="AN231" i="2" s="1"/>
  <c r="AF231" i="2"/>
  <c r="AG231" i="2"/>
  <c r="K232" i="2"/>
  <c r="L232" i="2" s="1"/>
  <c r="W232" i="2"/>
  <c r="X232" i="2"/>
  <c r="Y232" i="2"/>
  <c r="Z232" i="2"/>
  <c r="AF232" i="2"/>
  <c r="AG232" i="2"/>
  <c r="K233" i="2"/>
  <c r="L233" i="2" s="1"/>
  <c r="W233" i="2"/>
  <c r="X233" i="2"/>
  <c r="Y233" i="2"/>
  <c r="Z233" i="2"/>
  <c r="AN233" i="2" s="1"/>
  <c r="AF233" i="2"/>
  <c r="AG233" i="2"/>
  <c r="K234" i="2"/>
  <c r="L234" i="2" s="1"/>
  <c r="W234" i="2"/>
  <c r="X234" i="2"/>
  <c r="Y234" i="2"/>
  <c r="Z234" i="2"/>
  <c r="AF234" i="2"/>
  <c r="AG234" i="2"/>
  <c r="K235" i="2"/>
  <c r="L235" i="2" s="1"/>
  <c r="W235" i="2"/>
  <c r="X235" i="2"/>
  <c r="Y235" i="2"/>
  <c r="Z235" i="2"/>
  <c r="AN235" i="2" s="1"/>
  <c r="AF235" i="2"/>
  <c r="AG235" i="2"/>
  <c r="K236" i="2"/>
  <c r="L236" i="2" s="1"/>
  <c r="W236" i="2"/>
  <c r="X236" i="2"/>
  <c r="Y236" i="2"/>
  <c r="Z236" i="2"/>
  <c r="AF236" i="2"/>
  <c r="AG236" i="2"/>
  <c r="K237" i="2"/>
  <c r="L237" i="2" s="1"/>
  <c r="W237" i="2"/>
  <c r="X237" i="2"/>
  <c r="Y237" i="2"/>
  <c r="Z237" i="2"/>
  <c r="AF237" i="2"/>
  <c r="AG237" i="2"/>
  <c r="K238" i="2"/>
  <c r="L238" i="2" s="1"/>
  <c r="W238" i="2"/>
  <c r="X238" i="2"/>
  <c r="Y238" i="2"/>
  <c r="Z238" i="2"/>
  <c r="AF238" i="2"/>
  <c r="AG238" i="2"/>
  <c r="K239" i="2"/>
  <c r="L239" i="2" s="1"/>
  <c r="W239" i="2"/>
  <c r="X239" i="2"/>
  <c r="Y239" i="2"/>
  <c r="Z239" i="2"/>
  <c r="AF239" i="2"/>
  <c r="AG239" i="2"/>
  <c r="K240" i="2"/>
  <c r="L240" i="2" s="1"/>
  <c r="W240" i="2"/>
  <c r="X240" i="2"/>
  <c r="Y240" i="2"/>
  <c r="Z240" i="2"/>
  <c r="AF240" i="2"/>
  <c r="AG240" i="2"/>
  <c r="K241" i="2"/>
  <c r="L241" i="2" s="1"/>
  <c r="W241" i="2"/>
  <c r="X241" i="2"/>
  <c r="Y241" i="2"/>
  <c r="Z241" i="2"/>
  <c r="AF241" i="2"/>
  <c r="AG241" i="2"/>
  <c r="K242" i="2"/>
  <c r="L242" i="2" s="1"/>
  <c r="W242" i="2"/>
  <c r="X242" i="2"/>
  <c r="Y242" i="2"/>
  <c r="Z242" i="2"/>
  <c r="AF242" i="2"/>
  <c r="AG242" i="2"/>
  <c r="K243" i="2"/>
  <c r="L243" i="2" s="1"/>
  <c r="W243" i="2"/>
  <c r="X243" i="2"/>
  <c r="Y243" i="2"/>
  <c r="Z243" i="2"/>
  <c r="AF243" i="2"/>
  <c r="AG243" i="2"/>
  <c r="K244" i="2"/>
  <c r="L244" i="2" s="1"/>
  <c r="W244" i="2"/>
  <c r="X244" i="2"/>
  <c r="Y244" i="2"/>
  <c r="Z244" i="2"/>
  <c r="AF244" i="2"/>
  <c r="AG244" i="2"/>
  <c r="K245" i="2"/>
  <c r="L245" i="2" s="1"/>
  <c r="W245" i="2"/>
  <c r="X245" i="2"/>
  <c r="Y245" i="2"/>
  <c r="Z245" i="2"/>
  <c r="AF245" i="2"/>
  <c r="AG245" i="2"/>
  <c r="K246" i="2"/>
  <c r="L246" i="2" s="1"/>
  <c r="W246" i="2"/>
  <c r="X246" i="2"/>
  <c r="Y246" i="2"/>
  <c r="Z246" i="2"/>
  <c r="AF246" i="2"/>
  <c r="AG246" i="2"/>
  <c r="K247" i="2"/>
  <c r="L247" i="2" s="1"/>
  <c r="W247" i="2"/>
  <c r="X247" i="2"/>
  <c r="Y247" i="2"/>
  <c r="Z247" i="2"/>
  <c r="AF247" i="2"/>
  <c r="AG247" i="2"/>
  <c r="K248" i="2"/>
  <c r="L248" i="2" s="1"/>
  <c r="W248" i="2"/>
  <c r="X248" i="2"/>
  <c r="Y248" i="2"/>
  <c r="Z248" i="2"/>
  <c r="AF248" i="2"/>
  <c r="AG248" i="2"/>
  <c r="K249" i="2"/>
  <c r="L249" i="2" s="1"/>
  <c r="W249" i="2"/>
  <c r="X249" i="2"/>
  <c r="Y249" i="2"/>
  <c r="Z249" i="2"/>
  <c r="AF249" i="2"/>
  <c r="AG249" i="2"/>
  <c r="K250" i="2"/>
  <c r="L250" i="2" s="1"/>
  <c r="W250" i="2"/>
  <c r="X250" i="2"/>
  <c r="Y250" i="2"/>
  <c r="Z250" i="2"/>
  <c r="AF250" i="2"/>
  <c r="AG250" i="2"/>
  <c r="K251" i="2"/>
  <c r="L251" i="2" s="1"/>
  <c r="W251" i="2"/>
  <c r="X251" i="2"/>
  <c r="Y251" i="2"/>
  <c r="Z251" i="2"/>
  <c r="AF251" i="2"/>
  <c r="AG251" i="2"/>
  <c r="K252" i="2"/>
  <c r="L252" i="2" s="1"/>
  <c r="W252" i="2"/>
  <c r="X252" i="2"/>
  <c r="Y252" i="2"/>
  <c r="Z252" i="2"/>
  <c r="AF252" i="2"/>
  <c r="AG252" i="2"/>
  <c r="K253" i="2"/>
  <c r="L253" i="2" s="1"/>
  <c r="W253" i="2"/>
  <c r="X253" i="2"/>
  <c r="Y253" i="2"/>
  <c r="Z253" i="2"/>
  <c r="AF253" i="2"/>
  <c r="AG253" i="2"/>
  <c r="K254" i="2"/>
  <c r="L254" i="2" s="1"/>
  <c r="W254" i="2"/>
  <c r="X254" i="2"/>
  <c r="Y254" i="2"/>
  <c r="Z254" i="2"/>
  <c r="AF254" i="2"/>
  <c r="AG254" i="2"/>
  <c r="K255" i="2"/>
  <c r="L255" i="2" s="1"/>
  <c r="W255" i="2"/>
  <c r="X255" i="2"/>
  <c r="Y255" i="2"/>
  <c r="Z255" i="2"/>
  <c r="AF255" i="2"/>
  <c r="AG255" i="2"/>
  <c r="K256" i="2"/>
  <c r="L256" i="2" s="1"/>
  <c r="W256" i="2"/>
  <c r="X256" i="2"/>
  <c r="Y256" i="2"/>
  <c r="Z256" i="2"/>
  <c r="AF256" i="2"/>
  <c r="AG256" i="2"/>
  <c r="K257" i="2"/>
  <c r="L257" i="2" s="1"/>
  <c r="W257" i="2"/>
  <c r="X257" i="2"/>
  <c r="Y257" i="2"/>
  <c r="Z257" i="2"/>
  <c r="AF257" i="2"/>
  <c r="AG257" i="2"/>
  <c r="K258" i="2"/>
  <c r="L258" i="2" s="1"/>
  <c r="W258" i="2"/>
  <c r="X258" i="2"/>
  <c r="Y258" i="2"/>
  <c r="Z258" i="2"/>
  <c r="AF258" i="2"/>
  <c r="AG258" i="2"/>
  <c r="K259" i="2"/>
  <c r="L259" i="2" s="1"/>
  <c r="W259" i="2"/>
  <c r="X259" i="2"/>
  <c r="Y259" i="2"/>
  <c r="Z259" i="2"/>
  <c r="AF259" i="2"/>
  <c r="AG259" i="2"/>
  <c r="K260" i="2"/>
  <c r="L260" i="2" s="1"/>
  <c r="W260" i="2"/>
  <c r="X260" i="2"/>
  <c r="Y260" i="2"/>
  <c r="Z260" i="2"/>
  <c r="AF260" i="2"/>
  <c r="AG260" i="2"/>
  <c r="K261" i="2"/>
  <c r="L261" i="2" s="1"/>
  <c r="W261" i="2"/>
  <c r="X261" i="2"/>
  <c r="Y261" i="2"/>
  <c r="Z261" i="2"/>
  <c r="AF261" i="2"/>
  <c r="AG261" i="2"/>
  <c r="K262" i="2"/>
  <c r="L262" i="2" s="1"/>
  <c r="W262" i="2"/>
  <c r="X262" i="2"/>
  <c r="Y262" i="2"/>
  <c r="Z262" i="2"/>
  <c r="AF262" i="2"/>
  <c r="AG262" i="2"/>
  <c r="K263" i="2"/>
  <c r="L263" i="2" s="1"/>
  <c r="W263" i="2"/>
  <c r="X263" i="2"/>
  <c r="Y263" i="2"/>
  <c r="Z263" i="2"/>
  <c r="AF263" i="2"/>
  <c r="AG263" i="2"/>
  <c r="K264" i="2"/>
  <c r="L264" i="2" s="1"/>
  <c r="W264" i="2"/>
  <c r="X264" i="2"/>
  <c r="Y264" i="2"/>
  <c r="Z264" i="2"/>
  <c r="AF264" i="2"/>
  <c r="AG264" i="2"/>
  <c r="K265" i="2"/>
  <c r="L265" i="2" s="1"/>
  <c r="W265" i="2"/>
  <c r="X265" i="2"/>
  <c r="Y265" i="2"/>
  <c r="Z265" i="2"/>
  <c r="AF265" i="2"/>
  <c r="AG265" i="2"/>
  <c r="K266" i="2"/>
  <c r="L266" i="2" s="1"/>
  <c r="W266" i="2"/>
  <c r="X266" i="2"/>
  <c r="Y266" i="2"/>
  <c r="Z266" i="2"/>
  <c r="AF266" i="2"/>
  <c r="AG266" i="2"/>
  <c r="K267" i="2"/>
  <c r="L267" i="2" s="1"/>
  <c r="W267" i="2"/>
  <c r="X267" i="2"/>
  <c r="Y267" i="2"/>
  <c r="Z267" i="2"/>
  <c r="AF267" i="2"/>
  <c r="AG267" i="2"/>
  <c r="K268" i="2"/>
  <c r="L268" i="2" s="1"/>
  <c r="W268" i="2"/>
  <c r="X268" i="2"/>
  <c r="Y268" i="2"/>
  <c r="Z268" i="2"/>
  <c r="AF268" i="2"/>
  <c r="AG268" i="2"/>
  <c r="K269" i="2"/>
  <c r="L269" i="2" s="1"/>
  <c r="W269" i="2"/>
  <c r="X269" i="2"/>
  <c r="Y269" i="2"/>
  <c r="Z269" i="2"/>
  <c r="AF269" i="2"/>
  <c r="AG269" i="2"/>
  <c r="K270" i="2"/>
  <c r="L270" i="2" s="1"/>
  <c r="W270" i="2"/>
  <c r="X270" i="2"/>
  <c r="Y270" i="2"/>
  <c r="Z270" i="2"/>
  <c r="AF270" i="2"/>
  <c r="AG270" i="2"/>
  <c r="K271" i="2"/>
  <c r="L271" i="2" s="1"/>
  <c r="W271" i="2"/>
  <c r="X271" i="2"/>
  <c r="Y271" i="2"/>
  <c r="Z271" i="2"/>
  <c r="AN271" i="2" s="1"/>
  <c r="AF271" i="2"/>
  <c r="AG271" i="2"/>
  <c r="K272" i="2"/>
  <c r="L272" i="2" s="1"/>
  <c r="W272" i="2"/>
  <c r="X272" i="2"/>
  <c r="Y272" i="2"/>
  <c r="Z272" i="2"/>
  <c r="AF272" i="2"/>
  <c r="AG272" i="2"/>
  <c r="K273" i="2"/>
  <c r="L273" i="2" s="1"/>
  <c r="W273" i="2"/>
  <c r="X273" i="2"/>
  <c r="Y273" i="2"/>
  <c r="Z273" i="2"/>
  <c r="AN273" i="2" s="1"/>
  <c r="AF273" i="2"/>
  <c r="AG273" i="2"/>
  <c r="K274" i="2"/>
  <c r="L274" i="2" s="1"/>
  <c r="W274" i="2"/>
  <c r="X274" i="2"/>
  <c r="Y274" i="2"/>
  <c r="Z274" i="2"/>
  <c r="AF274" i="2"/>
  <c r="AG274" i="2"/>
  <c r="K275" i="2"/>
  <c r="L275" i="2" s="1"/>
  <c r="W275" i="2"/>
  <c r="X275" i="2"/>
  <c r="Y275" i="2"/>
  <c r="Z275" i="2"/>
  <c r="AN275" i="2" s="1"/>
  <c r="AF275" i="2"/>
  <c r="AG275" i="2"/>
  <c r="K276" i="2"/>
  <c r="L276" i="2" s="1"/>
  <c r="W276" i="2"/>
  <c r="X276" i="2"/>
  <c r="Y276" i="2"/>
  <c r="Z276" i="2"/>
  <c r="AF276" i="2"/>
  <c r="AG276" i="2"/>
  <c r="K277" i="2"/>
  <c r="L277" i="2" s="1"/>
  <c r="W277" i="2"/>
  <c r="X277" i="2"/>
  <c r="Y277" i="2"/>
  <c r="Z277" i="2"/>
  <c r="AN277" i="2" s="1"/>
  <c r="AF277" i="2"/>
  <c r="AG277" i="2"/>
  <c r="K278" i="2"/>
  <c r="L278" i="2" s="1"/>
  <c r="W278" i="2"/>
  <c r="X278" i="2"/>
  <c r="Y278" i="2"/>
  <c r="Z278" i="2"/>
  <c r="AF278" i="2"/>
  <c r="AG278" i="2"/>
  <c r="K279" i="2"/>
  <c r="L279" i="2" s="1"/>
  <c r="W279" i="2"/>
  <c r="X279" i="2"/>
  <c r="Y279" i="2"/>
  <c r="Z279" i="2"/>
  <c r="AF279" i="2"/>
  <c r="AG279" i="2"/>
  <c r="K280" i="2"/>
  <c r="L280" i="2" s="1"/>
  <c r="W280" i="2"/>
  <c r="X280" i="2"/>
  <c r="Y280" i="2"/>
  <c r="Z280" i="2"/>
  <c r="AF280" i="2"/>
  <c r="AG280" i="2"/>
  <c r="K281" i="2"/>
  <c r="L281" i="2" s="1"/>
  <c r="W281" i="2"/>
  <c r="X281" i="2"/>
  <c r="Y281" i="2"/>
  <c r="Z281" i="2"/>
  <c r="AN281" i="2" s="1"/>
  <c r="AF281" i="2"/>
  <c r="AG281" i="2"/>
  <c r="K282" i="2"/>
  <c r="L282" i="2" s="1"/>
  <c r="W282" i="2"/>
  <c r="X282" i="2"/>
  <c r="Y282" i="2"/>
  <c r="Z282" i="2"/>
  <c r="AF282" i="2"/>
  <c r="AG282" i="2"/>
  <c r="K283" i="2"/>
  <c r="L283" i="2" s="1"/>
  <c r="W283" i="2"/>
  <c r="X283" i="2"/>
  <c r="Y283" i="2"/>
  <c r="Z283" i="2"/>
  <c r="AN283" i="2" s="1"/>
  <c r="AF283" i="2"/>
  <c r="AG283" i="2"/>
  <c r="K284" i="2"/>
  <c r="L284" i="2" s="1"/>
  <c r="W284" i="2"/>
  <c r="X284" i="2"/>
  <c r="Y284" i="2"/>
  <c r="Z284" i="2"/>
  <c r="AF284" i="2"/>
  <c r="AG284" i="2"/>
  <c r="K285" i="2"/>
  <c r="L285" i="2" s="1"/>
  <c r="W285" i="2"/>
  <c r="X285" i="2"/>
  <c r="Y285" i="2"/>
  <c r="Z285" i="2"/>
  <c r="AN285" i="2" s="1"/>
  <c r="AF285" i="2"/>
  <c r="AG285" i="2"/>
  <c r="K286" i="2"/>
  <c r="L286" i="2" s="1"/>
  <c r="W286" i="2"/>
  <c r="X286" i="2"/>
  <c r="Y286" i="2"/>
  <c r="Z286" i="2"/>
  <c r="AF286" i="2"/>
  <c r="AG286" i="2"/>
  <c r="K287" i="2"/>
  <c r="L287" i="2" s="1"/>
  <c r="W287" i="2"/>
  <c r="X287" i="2"/>
  <c r="Y287" i="2"/>
  <c r="Z287" i="2"/>
  <c r="AF287" i="2"/>
  <c r="AG287" i="2"/>
  <c r="K288" i="2"/>
  <c r="L288" i="2" s="1"/>
  <c r="W288" i="2"/>
  <c r="X288" i="2"/>
  <c r="Y288" i="2"/>
  <c r="Z288" i="2"/>
  <c r="AF288" i="2"/>
  <c r="AG288" i="2"/>
  <c r="K289" i="2"/>
  <c r="L289" i="2" s="1"/>
  <c r="W289" i="2"/>
  <c r="X289" i="2"/>
  <c r="Y289" i="2"/>
  <c r="Z289" i="2"/>
  <c r="AF289" i="2"/>
  <c r="AG289" i="2"/>
  <c r="K290" i="2"/>
  <c r="L290" i="2" s="1"/>
  <c r="W290" i="2"/>
  <c r="X290" i="2"/>
  <c r="Y290" i="2"/>
  <c r="Z290" i="2"/>
  <c r="AF290" i="2"/>
  <c r="AG290" i="2"/>
  <c r="K291" i="2"/>
  <c r="L291" i="2" s="1"/>
  <c r="W291" i="2"/>
  <c r="X291" i="2"/>
  <c r="Y291" i="2"/>
  <c r="Z291" i="2"/>
  <c r="AF291" i="2"/>
  <c r="AG291" i="2"/>
  <c r="K292" i="2"/>
  <c r="L292" i="2" s="1"/>
  <c r="W292" i="2"/>
  <c r="X292" i="2"/>
  <c r="Y292" i="2"/>
  <c r="Z292" i="2"/>
  <c r="AF292" i="2"/>
  <c r="AG292" i="2"/>
  <c r="K293" i="2"/>
  <c r="L293" i="2" s="1"/>
  <c r="W293" i="2"/>
  <c r="X293" i="2"/>
  <c r="Y293" i="2"/>
  <c r="Z293" i="2"/>
  <c r="AN293" i="2" s="1"/>
  <c r="AF293" i="2"/>
  <c r="AG293" i="2"/>
  <c r="K294" i="2"/>
  <c r="L294" i="2" s="1"/>
  <c r="W294" i="2"/>
  <c r="X294" i="2"/>
  <c r="Y294" i="2"/>
  <c r="Z294" i="2"/>
  <c r="AF294" i="2"/>
  <c r="AG294" i="2"/>
  <c r="K295" i="2"/>
  <c r="L295" i="2" s="1"/>
  <c r="W295" i="2"/>
  <c r="X295" i="2"/>
  <c r="Y295" i="2"/>
  <c r="Z295" i="2"/>
  <c r="AN295" i="2" s="1"/>
  <c r="AF295" i="2"/>
  <c r="AG295" i="2"/>
  <c r="K296" i="2"/>
  <c r="L296" i="2" s="1"/>
  <c r="W296" i="2"/>
  <c r="X296" i="2"/>
  <c r="Y296" i="2"/>
  <c r="Z296" i="2"/>
  <c r="AN296" i="2" s="1"/>
  <c r="AF296" i="2"/>
  <c r="AG296" i="2"/>
  <c r="K297" i="2"/>
  <c r="L297" i="2" s="1"/>
  <c r="W297" i="2"/>
  <c r="X297" i="2"/>
  <c r="Y297" i="2"/>
  <c r="Z297" i="2"/>
  <c r="AN297" i="2" s="1"/>
  <c r="AF297" i="2"/>
  <c r="AG297" i="2"/>
  <c r="K298" i="2"/>
  <c r="L298" i="2" s="1"/>
  <c r="W298" i="2"/>
  <c r="X298" i="2"/>
  <c r="Y298" i="2"/>
  <c r="Z298" i="2"/>
  <c r="AN298" i="2" s="1"/>
  <c r="AF298" i="2"/>
  <c r="AG298" i="2"/>
  <c r="K299" i="2"/>
  <c r="L299" i="2" s="1"/>
  <c r="W299" i="2"/>
  <c r="X299" i="2"/>
  <c r="Y299" i="2"/>
  <c r="Z299" i="2"/>
  <c r="AN299" i="2" s="1"/>
  <c r="AF299" i="2"/>
  <c r="AG299" i="2"/>
  <c r="K300" i="2"/>
  <c r="L300" i="2" s="1"/>
  <c r="W300" i="2"/>
  <c r="X300" i="2"/>
  <c r="Y300" i="2"/>
  <c r="Z300" i="2"/>
  <c r="AN300" i="2" s="1"/>
  <c r="AF300" i="2"/>
  <c r="AG300" i="2"/>
  <c r="K301" i="2"/>
  <c r="L301" i="2" s="1"/>
  <c r="W301" i="2"/>
  <c r="X301" i="2"/>
  <c r="Y301" i="2"/>
  <c r="Z301" i="2"/>
  <c r="AN301" i="2" s="1"/>
  <c r="AF301" i="2"/>
  <c r="AG301" i="2"/>
  <c r="K302" i="2"/>
  <c r="L302" i="2" s="1"/>
  <c r="W302" i="2"/>
  <c r="X302" i="2"/>
  <c r="Y302" i="2"/>
  <c r="Z302" i="2"/>
  <c r="AF302" i="2"/>
  <c r="AG302" i="2"/>
  <c r="K303" i="2"/>
  <c r="L303" i="2" s="1"/>
  <c r="W303" i="2"/>
  <c r="X303" i="2"/>
  <c r="Y303" i="2"/>
  <c r="Z303" i="2"/>
  <c r="AN303" i="2" s="1"/>
  <c r="AF303" i="2"/>
  <c r="AG303" i="2"/>
  <c r="K304" i="2"/>
  <c r="L304" i="2" s="1"/>
  <c r="W304" i="2"/>
  <c r="X304" i="2"/>
  <c r="Y304" i="2"/>
  <c r="Z304" i="2"/>
  <c r="AN304" i="2" s="1"/>
  <c r="AF304" i="2"/>
  <c r="AG304" i="2"/>
  <c r="K305" i="2"/>
  <c r="L305" i="2" s="1"/>
  <c r="W305" i="2"/>
  <c r="X305" i="2"/>
  <c r="Y305" i="2"/>
  <c r="Z305" i="2"/>
  <c r="AN305" i="2" s="1"/>
  <c r="AF305" i="2"/>
  <c r="AG305" i="2"/>
  <c r="K306" i="2"/>
  <c r="L306" i="2" s="1"/>
  <c r="W306" i="2"/>
  <c r="X306" i="2"/>
  <c r="Y306" i="2"/>
  <c r="Z306" i="2"/>
  <c r="AF306" i="2"/>
  <c r="AG306" i="2"/>
  <c r="K307" i="2"/>
  <c r="L307" i="2" s="1"/>
  <c r="W307" i="2"/>
  <c r="X307" i="2"/>
  <c r="Y307" i="2"/>
  <c r="Z307" i="2"/>
  <c r="AN307" i="2" s="1"/>
  <c r="AF307" i="2"/>
  <c r="AG307" i="2"/>
  <c r="K308" i="2"/>
  <c r="L308" i="2" s="1"/>
  <c r="W308" i="2"/>
  <c r="X308" i="2"/>
  <c r="Y308" i="2"/>
  <c r="Z308" i="2"/>
  <c r="AN308" i="2" s="1"/>
  <c r="AF308" i="2"/>
  <c r="AG308" i="2"/>
  <c r="K309" i="2"/>
  <c r="L309" i="2" s="1"/>
  <c r="W309" i="2"/>
  <c r="X309" i="2"/>
  <c r="Y309" i="2"/>
  <c r="Z309" i="2"/>
  <c r="AF309" i="2"/>
  <c r="AG309" i="2"/>
  <c r="K310" i="2"/>
  <c r="L310" i="2" s="1"/>
  <c r="W310" i="2"/>
  <c r="X310" i="2"/>
  <c r="Y310" i="2"/>
  <c r="Z310" i="2"/>
  <c r="AN310" i="2" s="1"/>
  <c r="AF310" i="2"/>
  <c r="AG310" i="2"/>
  <c r="K311" i="2"/>
  <c r="L311" i="2" s="1"/>
  <c r="W311" i="2"/>
  <c r="X311" i="2"/>
  <c r="Y311" i="2"/>
  <c r="Z311" i="2"/>
  <c r="AF311" i="2"/>
  <c r="AG311" i="2"/>
  <c r="K312" i="2"/>
  <c r="L312" i="2" s="1"/>
  <c r="W312" i="2"/>
  <c r="X312" i="2"/>
  <c r="Y312" i="2"/>
  <c r="Z312" i="2"/>
  <c r="AF312" i="2"/>
  <c r="AG312" i="2"/>
  <c r="K313" i="2"/>
  <c r="L313" i="2" s="1"/>
  <c r="W313" i="2"/>
  <c r="X313" i="2"/>
  <c r="Y313" i="2"/>
  <c r="Z313" i="2"/>
  <c r="AN313" i="2" s="1"/>
  <c r="AF313" i="2"/>
  <c r="AG313" i="2"/>
  <c r="K314" i="2"/>
  <c r="L314" i="2" s="1"/>
  <c r="W314" i="2"/>
  <c r="X314" i="2"/>
  <c r="Y314" i="2"/>
  <c r="Z314" i="2"/>
  <c r="AF314" i="2"/>
  <c r="AG314" i="2"/>
  <c r="K315" i="2"/>
  <c r="L315" i="2" s="1"/>
  <c r="W315" i="2"/>
  <c r="X315" i="2"/>
  <c r="Y315" i="2"/>
  <c r="Z315" i="2"/>
  <c r="AF315" i="2"/>
  <c r="AG315" i="2"/>
  <c r="K316" i="2"/>
  <c r="L316" i="2" s="1"/>
  <c r="W316" i="2"/>
  <c r="X316" i="2"/>
  <c r="Y316" i="2"/>
  <c r="Z316" i="2"/>
  <c r="AN316" i="2" s="1"/>
  <c r="AF316" i="2"/>
  <c r="AG316" i="2"/>
  <c r="K317" i="2"/>
  <c r="L317" i="2" s="1"/>
  <c r="W317" i="2"/>
  <c r="X317" i="2"/>
  <c r="Y317" i="2"/>
  <c r="Z317" i="2"/>
  <c r="AN317" i="2" s="1"/>
  <c r="AF317" i="2"/>
  <c r="AG317" i="2"/>
  <c r="K318" i="2"/>
  <c r="L318" i="2" s="1"/>
  <c r="W318" i="2"/>
  <c r="X318" i="2"/>
  <c r="Y318" i="2"/>
  <c r="Z318" i="2"/>
  <c r="AF318" i="2"/>
  <c r="AG318" i="2"/>
  <c r="K319" i="2"/>
  <c r="L319" i="2" s="1"/>
  <c r="W319" i="2"/>
  <c r="X319" i="2"/>
  <c r="Y319" i="2"/>
  <c r="Z319" i="2"/>
  <c r="AF319" i="2"/>
  <c r="AG319" i="2"/>
  <c r="K320" i="2"/>
  <c r="L320" i="2" s="1"/>
  <c r="W320" i="2"/>
  <c r="X320" i="2"/>
  <c r="Y320" i="2"/>
  <c r="Z320" i="2"/>
  <c r="AN320" i="2" s="1"/>
  <c r="AF320" i="2"/>
  <c r="AG320" i="2"/>
  <c r="K321" i="2"/>
  <c r="L321" i="2" s="1"/>
  <c r="W321" i="2"/>
  <c r="X321" i="2"/>
  <c r="Y321" i="2"/>
  <c r="Z321" i="2"/>
  <c r="AN321" i="2" s="1"/>
  <c r="AF321" i="2"/>
  <c r="AG321" i="2"/>
  <c r="K322" i="2"/>
  <c r="L322" i="2" s="1"/>
  <c r="W322" i="2"/>
  <c r="X322" i="2"/>
  <c r="Y322" i="2"/>
  <c r="Z322" i="2"/>
  <c r="AN322" i="2" s="1"/>
  <c r="AF322" i="2"/>
  <c r="AG322" i="2"/>
  <c r="K323" i="2"/>
  <c r="L323" i="2" s="1"/>
  <c r="W323" i="2"/>
  <c r="X323" i="2"/>
  <c r="Y323" i="2"/>
  <c r="Z323" i="2"/>
  <c r="AN323" i="2" s="1"/>
  <c r="AF323" i="2"/>
  <c r="AG323" i="2"/>
  <c r="K324" i="2"/>
  <c r="L324" i="2" s="1"/>
  <c r="W324" i="2"/>
  <c r="X324" i="2"/>
  <c r="Y324" i="2"/>
  <c r="Z324" i="2"/>
  <c r="AN324" i="2" s="1"/>
  <c r="AF324" i="2"/>
  <c r="AG324" i="2"/>
  <c r="K325" i="2"/>
  <c r="L325" i="2" s="1"/>
  <c r="W325" i="2"/>
  <c r="X325" i="2"/>
  <c r="Y325" i="2"/>
  <c r="Z325" i="2"/>
  <c r="AN325" i="2" s="1"/>
  <c r="AF325" i="2"/>
  <c r="AG325" i="2"/>
  <c r="K326" i="2"/>
  <c r="L326" i="2" s="1"/>
  <c r="W326" i="2"/>
  <c r="X326" i="2"/>
  <c r="Y326" i="2"/>
  <c r="Z326" i="2"/>
  <c r="AN326" i="2" s="1"/>
  <c r="AF326" i="2"/>
  <c r="AG326" i="2"/>
  <c r="K327" i="2"/>
  <c r="L327" i="2" s="1"/>
  <c r="W327" i="2"/>
  <c r="X327" i="2"/>
  <c r="Y327" i="2"/>
  <c r="Z327" i="2"/>
  <c r="AN327" i="2" s="1"/>
  <c r="AF327" i="2"/>
  <c r="AG327" i="2"/>
  <c r="K328" i="2"/>
  <c r="L328" i="2" s="1"/>
  <c r="W328" i="2"/>
  <c r="X328" i="2"/>
  <c r="Y328" i="2"/>
  <c r="Z328" i="2"/>
  <c r="AN328" i="2" s="1"/>
  <c r="AF328" i="2"/>
  <c r="AG328" i="2"/>
  <c r="K329" i="2"/>
  <c r="L329" i="2" s="1"/>
  <c r="W329" i="2"/>
  <c r="X329" i="2"/>
  <c r="Y329" i="2"/>
  <c r="Z329" i="2"/>
  <c r="AN329" i="2" s="1"/>
  <c r="AF329" i="2"/>
  <c r="AG329" i="2"/>
  <c r="K330" i="2"/>
  <c r="L330" i="2" s="1"/>
  <c r="W330" i="2"/>
  <c r="X330" i="2"/>
  <c r="Y330" i="2"/>
  <c r="Z330" i="2"/>
  <c r="AN330" i="2" s="1"/>
  <c r="AF330" i="2"/>
  <c r="AG330" i="2"/>
  <c r="K331" i="2"/>
  <c r="L331" i="2" s="1"/>
  <c r="W331" i="2"/>
  <c r="X331" i="2"/>
  <c r="Y331" i="2"/>
  <c r="Z331" i="2"/>
  <c r="AN331" i="2" s="1"/>
  <c r="AF331" i="2"/>
  <c r="AG331" i="2"/>
  <c r="K332" i="2"/>
  <c r="L332" i="2" s="1"/>
  <c r="W332" i="2"/>
  <c r="X332" i="2"/>
  <c r="Y332" i="2"/>
  <c r="Z332" i="2"/>
  <c r="AN332" i="2" s="1"/>
  <c r="AF332" i="2"/>
  <c r="AG332" i="2"/>
  <c r="K333" i="2"/>
  <c r="L333" i="2" s="1"/>
  <c r="W333" i="2"/>
  <c r="X333" i="2"/>
  <c r="Y333" i="2"/>
  <c r="Z333" i="2"/>
  <c r="AN333" i="2" s="1"/>
  <c r="AF333" i="2"/>
  <c r="AG333" i="2"/>
  <c r="K334" i="2"/>
  <c r="L334" i="2" s="1"/>
  <c r="W334" i="2"/>
  <c r="X334" i="2"/>
  <c r="Y334" i="2"/>
  <c r="Z334" i="2"/>
  <c r="AN334" i="2" s="1"/>
  <c r="AF334" i="2"/>
  <c r="AG334" i="2"/>
  <c r="K335" i="2"/>
  <c r="L335" i="2" s="1"/>
  <c r="W335" i="2"/>
  <c r="X335" i="2"/>
  <c r="Y335" i="2"/>
  <c r="Z335" i="2"/>
  <c r="AN335" i="2" s="1"/>
  <c r="AF335" i="2"/>
  <c r="AG335" i="2"/>
  <c r="K336" i="2"/>
  <c r="L336" i="2" s="1"/>
  <c r="W336" i="2"/>
  <c r="X336" i="2"/>
  <c r="Y336" i="2"/>
  <c r="Z336" i="2"/>
  <c r="AN336" i="2" s="1"/>
  <c r="AF336" i="2"/>
  <c r="AG336" i="2"/>
  <c r="K337" i="2"/>
  <c r="L337" i="2" s="1"/>
  <c r="W337" i="2"/>
  <c r="X337" i="2"/>
  <c r="Y337" i="2"/>
  <c r="Z337" i="2"/>
  <c r="AN337" i="2" s="1"/>
  <c r="AF337" i="2"/>
  <c r="AG337" i="2"/>
  <c r="K338" i="2"/>
  <c r="L338" i="2" s="1"/>
  <c r="W338" i="2"/>
  <c r="X338" i="2"/>
  <c r="Y338" i="2"/>
  <c r="Z338" i="2"/>
  <c r="AN338" i="2" s="1"/>
  <c r="AF338" i="2"/>
  <c r="AG338" i="2"/>
  <c r="K339" i="2"/>
  <c r="L339" i="2" s="1"/>
  <c r="W339" i="2"/>
  <c r="X339" i="2"/>
  <c r="Y339" i="2"/>
  <c r="Z339" i="2"/>
  <c r="AN339" i="2" s="1"/>
  <c r="AF339" i="2"/>
  <c r="AG339" i="2"/>
  <c r="K340" i="2"/>
  <c r="L340" i="2" s="1"/>
  <c r="W340" i="2"/>
  <c r="X340" i="2"/>
  <c r="Y340" i="2"/>
  <c r="Z340" i="2"/>
  <c r="AN340" i="2" s="1"/>
  <c r="AF340" i="2"/>
  <c r="AG340" i="2"/>
  <c r="K341" i="2"/>
  <c r="L341" i="2" s="1"/>
  <c r="W341" i="2"/>
  <c r="X341" i="2"/>
  <c r="Y341" i="2"/>
  <c r="Z341" i="2"/>
  <c r="AN341" i="2" s="1"/>
  <c r="AF341" i="2"/>
  <c r="AG341" i="2"/>
  <c r="K342" i="2"/>
  <c r="L342" i="2" s="1"/>
  <c r="W342" i="2"/>
  <c r="X342" i="2"/>
  <c r="Y342" i="2"/>
  <c r="Z342" i="2"/>
  <c r="AN342" i="2" s="1"/>
  <c r="AF342" i="2"/>
  <c r="AG342" i="2"/>
  <c r="K343" i="2"/>
  <c r="L343" i="2" s="1"/>
  <c r="W343" i="2"/>
  <c r="X343" i="2"/>
  <c r="Y343" i="2"/>
  <c r="Z343" i="2"/>
  <c r="AF343" i="2"/>
  <c r="AG343" i="2"/>
  <c r="K344" i="2"/>
  <c r="L344" i="2" s="1"/>
  <c r="W344" i="2"/>
  <c r="X344" i="2"/>
  <c r="Y344" i="2"/>
  <c r="Z344" i="2"/>
  <c r="AN344" i="2" s="1"/>
  <c r="AF344" i="2"/>
  <c r="AG344" i="2"/>
  <c r="K345" i="2"/>
  <c r="L345" i="2" s="1"/>
  <c r="W345" i="2"/>
  <c r="X345" i="2"/>
  <c r="Y345" i="2"/>
  <c r="Z345" i="2"/>
  <c r="AN345" i="2" s="1"/>
  <c r="AF345" i="2"/>
  <c r="AG345" i="2"/>
  <c r="K346" i="2"/>
  <c r="L346" i="2" s="1"/>
  <c r="W346" i="2"/>
  <c r="X346" i="2"/>
  <c r="Y346" i="2"/>
  <c r="Z346" i="2"/>
  <c r="AN346" i="2" s="1"/>
  <c r="AF346" i="2"/>
  <c r="AG346" i="2"/>
  <c r="K347" i="2"/>
  <c r="L347" i="2" s="1"/>
  <c r="W347" i="2"/>
  <c r="X347" i="2"/>
  <c r="Y347" i="2"/>
  <c r="Z347" i="2"/>
  <c r="AN347" i="2" s="1"/>
  <c r="AF347" i="2"/>
  <c r="AG347" i="2"/>
  <c r="K348" i="2"/>
  <c r="L348" i="2" s="1"/>
  <c r="W348" i="2"/>
  <c r="X348" i="2"/>
  <c r="Y348" i="2"/>
  <c r="Z348" i="2"/>
  <c r="AN348" i="2" s="1"/>
  <c r="AF348" i="2"/>
  <c r="AG348" i="2"/>
  <c r="K349" i="2"/>
  <c r="L349" i="2" s="1"/>
  <c r="W349" i="2"/>
  <c r="X349" i="2"/>
  <c r="Y349" i="2"/>
  <c r="Z349" i="2"/>
  <c r="AN349" i="2" s="1"/>
  <c r="AF349" i="2"/>
  <c r="AG349" i="2"/>
  <c r="K350" i="2"/>
  <c r="L350" i="2" s="1"/>
  <c r="W350" i="2"/>
  <c r="X350" i="2"/>
  <c r="Y350" i="2"/>
  <c r="Z350" i="2"/>
  <c r="AN350" i="2" s="1"/>
  <c r="AF350" i="2"/>
  <c r="AG350" i="2"/>
  <c r="K351" i="2"/>
  <c r="L351" i="2" s="1"/>
  <c r="W351" i="2"/>
  <c r="X351" i="2"/>
  <c r="Y351" i="2"/>
  <c r="Z351" i="2"/>
  <c r="AN351" i="2" s="1"/>
  <c r="AF351" i="2"/>
  <c r="AG351" i="2"/>
  <c r="K352" i="2"/>
  <c r="L352" i="2" s="1"/>
  <c r="W352" i="2"/>
  <c r="X352" i="2"/>
  <c r="Y352" i="2"/>
  <c r="Z352" i="2"/>
  <c r="AN352" i="2" s="1"/>
  <c r="AF352" i="2"/>
  <c r="AG352" i="2"/>
  <c r="K353" i="2"/>
  <c r="L353" i="2" s="1"/>
  <c r="W353" i="2"/>
  <c r="X353" i="2"/>
  <c r="Y353" i="2"/>
  <c r="Z353" i="2"/>
  <c r="AN353" i="2" s="1"/>
  <c r="AF353" i="2"/>
  <c r="AG353" i="2"/>
  <c r="K354" i="2"/>
  <c r="L354" i="2" s="1"/>
  <c r="W354" i="2"/>
  <c r="X354" i="2"/>
  <c r="Y354" i="2"/>
  <c r="Z354" i="2"/>
  <c r="AN354" i="2" s="1"/>
  <c r="AF354" i="2"/>
  <c r="AG354" i="2"/>
  <c r="K355" i="2"/>
  <c r="L355" i="2" s="1"/>
  <c r="W355" i="2"/>
  <c r="X355" i="2"/>
  <c r="Y355" i="2"/>
  <c r="Z355" i="2"/>
  <c r="AN355" i="2" s="1"/>
  <c r="AF355" i="2"/>
  <c r="AG355" i="2"/>
  <c r="K356" i="2"/>
  <c r="L356" i="2" s="1"/>
  <c r="W356" i="2"/>
  <c r="X356" i="2"/>
  <c r="Y356" i="2"/>
  <c r="Z356" i="2"/>
  <c r="AN356" i="2" s="1"/>
  <c r="AF356" i="2"/>
  <c r="AG356" i="2"/>
  <c r="K357" i="2"/>
  <c r="L357" i="2" s="1"/>
  <c r="W357" i="2"/>
  <c r="X357" i="2"/>
  <c r="Y357" i="2"/>
  <c r="Z357" i="2"/>
  <c r="AN357" i="2" s="1"/>
  <c r="AF357" i="2"/>
  <c r="AG357" i="2"/>
  <c r="K358" i="2"/>
  <c r="L358" i="2" s="1"/>
  <c r="W358" i="2"/>
  <c r="X358" i="2"/>
  <c r="Y358" i="2"/>
  <c r="Z358" i="2"/>
  <c r="AN358" i="2" s="1"/>
  <c r="AF358" i="2"/>
  <c r="AG358" i="2"/>
  <c r="K359" i="2"/>
  <c r="L359" i="2" s="1"/>
  <c r="W359" i="2"/>
  <c r="X359" i="2"/>
  <c r="Y359" i="2"/>
  <c r="Z359" i="2"/>
  <c r="AN359" i="2" s="1"/>
  <c r="AF359" i="2"/>
  <c r="AG359" i="2"/>
  <c r="K360" i="2"/>
  <c r="L360" i="2" s="1"/>
  <c r="W360" i="2"/>
  <c r="X360" i="2"/>
  <c r="Y360" i="2"/>
  <c r="Z360" i="2"/>
  <c r="AN360" i="2" s="1"/>
  <c r="AF360" i="2"/>
  <c r="AG360" i="2"/>
  <c r="K361" i="2"/>
  <c r="L361" i="2" s="1"/>
  <c r="W361" i="2"/>
  <c r="X361" i="2"/>
  <c r="Y361" i="2"/>
  <c r="Z361" i="2"/>
  <c r="AN361" i="2" s="1"/>
  <c r="AF361" i="2"/>
  <c r="AG361" i="2"/>
  <c r="K362" i="2"/>
  <c r="L362" i="2" s="1"/>
  <c r="W362" i="2"/>
  <c r="X362" i="2"/>
  <c r="Y362" i="2"/>
  <c r="Z362" i="2"/>
  <c r="AN362" i="2" s="1"/>
  <c r="AF362" i="2"/>
  <c r="AG362" i="2"/>
  <c r="K363" i="2"/>
  <c r="L363" i="2" s="1"/>
  <c r="W363" i="2"/>
  <c r="X363" i="2"/>
  <c r="Y363" i="2"/>
  <c r="Z363" i="2"/>
  <c r="AN363" i="2" s="1"/>
  <c r="AF363" i="2"/>
  <c r="AG363" i="2"/>
  <c r="K364" i="2"/>
  <c r="L364" i="2" s="1"/>
  <c r="W364" i="2"/>
  <c r="X364" i="2"/>
  <c r="Y364" i="2"/>
  <c r="Z364" i="2"/>
  <c r="AN364" i="2" s="1"/>
  <c r="AF364" i="2"/>
  <c r="AG364" i="2"/>
  <c r="K365" i="2"/>
  <c r="L365" i="2" s="1"/>
  <c r="W365" i="2"/>
  <c r="X365" i="2"/>
  <c r="Y365" i="2"/>
  <c r="Z365" i="2"/>
  <c r="AN365" i="2" s="1"/>
  <c r="AF365" i="2"/>
  <c r="AG365" i="2"/>
  <c r="K366" i="2"/>
  <c r="L366" i="2" s="1"/>
  <c r="W366" i="2"/>
  <c r="X366" i="2"/>
  <c r="Y366" i="2"/>
  <c r="Z366" i="2"/>
  <c r="AN366" i="2" s="1"/>
  <c r="AF366" i="2"/>
  <c r="AG366" i="2"/>
  <c r="K367" i="2"/>
  <c r="L367" i="2" s="1"/>
  <c r="W367" i="2"/>
  <c r="X367" i="2"/>
  <c r="Y367" i="2"/>
  <c r="Z367" i="2"/>
  <c r="AF367" i="2"/>
  <c r="AG367" i="2"/>
  <c r="K368" i="2"/>
  <c r="L368" i="2" s="1"/>
  <c r="W368" i="2"/>
  <c r="X368" i="2"/>
  <c r="Y368" i="2"/>
  <c r="Z368" i="2"/>
  <c r="AN368" i="2" s="1"/>
  <c r="AF368" i="2"/>
  <c r="AG368" i="2"/>
  <c r="K369" i="2"/>
  <c r="L369" i="2" s="1"/>
  <c r="W369" i="2"/>
  <c r="X369" i="2"/>
  <c r="Y369" i="2"/>
  <c r="Z369" i="2"/>
  <c r="AN369" i="2" s="1"/>
  <c r="AF369" i="2"/>
  <c r="AG369" i="2"/>
  <c r="K370" i="2"/>
  <c r="L370" i="2" s="1"/>
  <c r="W370" i="2"/>
  <c r="X370" i="2"/>
  <c r="Y370" i="2"/>
  <c r="Z370" i="2"/>
  <c r="AN370" i="2" s="1"/>
  <c r="AF370" i="2"/>
  <c r="AG370" i="2"/>
  <c r="K371" i="2"/>
  <c r="L371" i="2" s="1"/>
  <c r="W371" i="2"/>
  <c r="X371" i="2"/>
  <c r="Y371" i="2"/>
  <c r="Z371" i="2"/>
  <c r="AN371" i="2" s="1"/>
  <c r="AF371" i="2"/>
  <c r="AG371" i="2"/>
  <c r="K372" i="2"/>
  <c r="L372" i="2" s="1"/>
  <c r="W372" i="2"/>
  <c r="X372" i="2"/>
  <c r="Y372" i="2"/>
  <c r="Z372" i="2"/>
  <c r="AN372" i="2" s="1"/>
  <c r="AF372" i="2"/>
  <c r="AG372" i="2"/>
  <c r="K373" i="2"/>
  <c r="L373" i="2" s="1"/>
  <c r="W373" i="2"/>
  <c r="X373" i="2"/>
  <c r="Y373" i="2"/>
  <c r="Z373" i="2"/>
  <c r="AN373" i="2" s="1"/>
  <c r="AF373" i="2"/>
  <c r="AG373" i="2"/>
  <c r="K374" i="2"/>
  <c r="L374" i="2" s="1"/>
  <c r="W374" i="2"/>
  <c r="X374" i="2"/>
  <c r="Y374" i="2"/>
  <c r="Z374" i="2"/>
  <c r="AN374" i="2" s="1"/>
  <c r="AF374" i="2"/>
  <c r="AG374" i="2"/>
  <c r="K375" i="2"/>
  <c r="L375" i="2" s="1"/>
  <c r="W375" i="2"/>
  <c r="X375" i="2"/>
  <c r="Y375" i="2"/>
  <c r="Z375" i="2"/>
  <c r="AN375" i="2" s="1"/>
  <c r="AF375" i="2"/>
  <c r="AG375" i="2"/>
  <c r="K376" i="2"/>
  <c r="L376" i="2" s="1"/>
  <c r="W376" i="2"/>
  <c r="X376" i="2"/>
  <c r="Y376" i="2"/>
  <c r="Z376" i="2"/>
  <c r="AN376" i="2" s="1"/>
  <c r="AF376" i="2"/>
  <c r="AG376" i="2"/>
  <c r="K377" i="2"/>
  <c r="L377" i="2" s="1"/>
  <c r="W377" i="2"/>
  <c r="X377" i="2"/>
  <c r="Y377" i="2"/>
  <c r="Z377" i="2"/>
  <c r="AN377" i="2" s="1"/>
  <c r="AF377" i="2"/>
  <c r="AG377" i="2"/>
  <c r="K378" i="2"/>
  <c r="L378" i="2" s="1"/>
  <c r="W378" i="2"/>
  <c r="X378" i="2"/>
  <c r="Y378" i="2"/>
  <c r="Z378" i="2"/>
  <c r="AF378" i="2"/>
  <c r="AG378" i="2"/>
  <c r="K379" i="2"/>
  <c r="L379" i="2" s="1"/>
  <c r="W379" i="2"/>
  <c r="X379" i="2"/>
  <c r="Y379" i="2"/>
  <c r="Z379" i="2"/>
  <c r="AF379" i="2"/>
  <c r="AG379" i="2"/>
  <c r="K380" i="2"/>
  <c r="L380" i="2" s="1"/>
  <c r="W380" i="2"/>
  <c r="X380" i="2"/>
  <c r="Y380" i="2"/>
  <c r="Z380" i="2"/>
  <c r="AF380" i="2"/>
  <c r="AG380" i="2"/>
  <c r="K381" i="2"/>
  <c r="L381" i="2" s="1"/>
  <c r="W381" i="2"/>
  <c r="X381" i="2"/>
  <c r="Y381" i="2"/>
  <c r="Z381" i="2"/>
  <c r="AF381" i="2"/>
  <c r="AG381" i="2"/>
  <c r="K382" i="2"/>
  <c r="L382" i="2" s="1"/>
  <c r="W382" i="2"/>
  <c r="X382" i="2"/>
  <c r="Y382" i="2"/>
  <c r="Z382" i="2"/>
  <c r="AN382" i="2" s="1"/>
  <c r="AF382" i="2"/>
  <c r="AG382" i="2"/>
  <c r="K383" i="2"/>
  <c r="L383" i="2" s="1"/>
  <c r="W383" i="2"/>
  <c r="X383" i="2"/>
  <c r="Y383" i="2"/>
  <c r="Z383" i="2"/>
  <c r="AF383" i="2"/>
  <c r="AG383" i="2"/>
  <c r="K384" i="2"/>
  <c r="L384" i="2" s="1"/>
  <c r="W384" i="2"/>
  <c r="X384" i="2"/>
  <c r="Y384" i="2"/>
  <c r="Z384" i="2"/>
  <c r="AF384" i="2"/>
  <c r="AG384" i="2"/>
  <c r="K385" i="2"/>
  <c r="L385" i="2" s="1"/>
  <c r="W385" i="2"/>
  <c r="X385" i="2"/>
  <c r="Y385" i="2"/>
  <c r="Z385" i="2"/>
  <c r="AF385" i="2"/>
  <c r="AG385" i="2"/>
  <c r="K386" i="2"/>
  <c r="L386" i="2" s="1"/>
  <c r="W386" i="2"/>
  <c r="X386" i="2"/>
  <c r="Y386" i="2"/>
  <c r="Z386" i="2"/>
  <c r="AN386" i="2" s="1"/>
  <c r="AF386" i="2"/>
  <c r="AG386" i="2"/>
  <c r="K387" i="2"/>
  <c r="L387" i="2" s="1"/>
  <c r="W387" i="2"/>
  <c r="X387" i="2"/>
  <c r="Y387" i="2"/>
  <c r="Z387" i="2"/>
  <c r="AF387" i="2"/>
  <c r="AG387" i="2"/>
  <c r="K388" i="2"/>
  <c r="L388" i="2" s="1"/>
  <c r="W388" i="2"/>
  <c r="X388" i="2"/>
  <c r="Y388" i="2"/>
  <c r="Z388" i="2"/>
  <c r="AN388" i="2" s="1"/>
  <c r="AF388" i="2"/>
  <c r="AG388" i="2"/>
  <c r="K389" i="2"/>
  <c r="L389" i="2" s="1"/>
  <c r="W389" i="2"/>
  <c r="X389" i="2"/>
  <c r="Y389" i="2"/>
  <c r="Z389" i="2"/>
  <c r="AF389" i="2"/>
  <c r="AG389" i="2"/>
  <c r="K390" i="2"/>
  <c r="L390" i="2" s="1"/>
  <c r="W390" i="2"/>
  <c r="X390" i="2"/>
  <c r="Y390" i="2"/>
  <c r="Z390" i="2"/>
  <c r="AF390" i="2"/>
  <c r="AG390" i="2"/>
  <c r="K391" i="2"/>
  <c r="L391" i="2" s="1"/>
  <c r="W391" i="2"/>
  <c r="X391" i="2"/>
  <c r="Y391" i="2"/>
  <c r="Z391" i="2"/>
  <c r="AN391" i="2" s="1"/>
  <c r="AF391" i="2"/>
  <c r="AG391" i="2"/>
  <c r="K392" i="2"/>
  <c r="L392" i="2" s="1"/>
  <c r="W392" i="2"/>
  <c r="X392" i="2"/>
  <c r="Y392" i="2"/>
  <c r="Z392" i="2"/>
  <c r="AN392" i="2" s="1"/>
  <c r="AF392" i="2"/>
  <c r="AG392" i="2"/>
  <c r="K393" i="2"/>
  <c r="L393" i="2" s="1"/>
  <c r="W393" i="2"/>
  <c r="X393" i="2"/>
  <c r="Y393" i="2"/>
  <c r="Z393" i="2"/>
  <c r="AF393" i="2"/>
  <c r="AG393" i="2"/>
  <c r="K394" i="2"/>
  <c r="L394" i="2" s="1"/>
  <c r="W394" i="2"/>
  <c r="X394" i="2"/>
  <c r="Y394" i="2"/>
  <c r="Z394" i="2"/>
  <c r="AN394" i="2" s="1"/>
  <c r="AF394" i="2"/>
  <c r="AG394" i="2"/>
  <c r="K395" i="2"/>
  <c r="L395" i="2" s="1"/>
  <c r="W395" i="2"/>
  <c r="X395" i="2"/>
  <c r="Y395" i="2"/>
  <c r="Z395" i="2"/>
  <c r="AF395" i="2"/>
  <c r="AG395" i="2"/>
  <c r="K396" i="2"/>
  <c r="L396" i="2" s="1"/>
  <c r="W396" i="2"/>
  <c r="X396" i="2"/>
  <c r="Y396" i="2"/>
  <c r="Z396" i="2"/>
  <c r="AN396" i="2" s="1"/>
  <c r="AF396" i="2"/>
  <c r="AG396" i="2"/>
  <c r="K397" i="2"/>
  <c r="L397" i="2" s="1"/>
  <c r="W397" i="2"/>
  <c r="X397" i="2"/>
  <c r="Y397" i="2"/>
  <c r="Z397" i="2"/>
  <c r="AF397" i="2"/>
  <c r="AG397" i="2"/>
  <c r="K398" i="2"/>
  <c r="L398" i="2" s="1"/>
  <c r="W398" i="2"/>
  <c r="X398" i="2"/>
  <c r="Y398" i="2"/>
  <c r="Z398" i="2"/>
  <c r="AF398" i="2"/>
  <c r="AG398" i="2"/>
  <c r="K399" i="2"/>
  <c r="L399" i="2" s="1"/>
  <c r="W399" i="2"/>
  <c r="X399" i="2"/>
  <c r="Y399" i="2"/>
  <c r="Z399" i="2"/>
  <c r="AN399" i="2" s="1"/>
  <c r="AF399" i="2"/>
  <c r="AG399" i="2"/>
  <c r="K400" i="2"/>
  <c r="L400" i="2" s="1"/>
  <c r="W400" i="2"/>
  <c r="X400" i="2"/>
  <c r="Y400" i="2"/>
  <c r="Z400" i="2"/>
  <c r="AF400" i="2"/>
  <c r="AG400" i="2"/>
  <c r="K401" i="2"/>
  <c r="L401" i="2" s="1"/>
  <c r="W401" i="2"/>
  <c r="X401" i="2"/>
  <c r="Y401" i="2"/>
  <c r="Z401" i="2"/>
  <c r="AF401" i="2"/>
  <c r="AG401" i="2"/>
  <c r="K402" i="2"/>
  <c r="L402" i="2" s="1"/>
  <c r="W402" i="2"/>
  <c r="X402" i="2"/>
  <c r="Y402" i="2"/>
  <c r="Z402" i="2"/>
  <c r="AN402" i="2" s="1"/>
  <c r="AF402" i="2"/>
  <c r="AG402" i="2"/>
  <c r="K403" i="2"/>
  <c r="L403" i="2" s="1"/>
  <c r="W403" i="2"/>
  <c r="X403" i="2"/>
  <c r="Y403" i="2"/>
  <c r="Z403" i="2"/>
  <c r="AF403" i="2"/>
  <c r="AG403" i="2"/>
  <c r="K404" i="2"/>
  <c r="L404" i="2" s="1"/>
  <c r="W404" i="2"/>
  <c r="X404" i="2"/>
  <c r="Y404" i="2"/>
  <c r="Z404" i="2"/>
  <c r="AF404" i="2"/>
  <c r="AG404" i="2"/>
  <c r="K405" i="2"/>
  <c r="L405" i="2" s="1"/>
  <c r="W405" i="2"/>
  <c r="X405" i="2"/>
  <c r="Y405" i="2"/>
  <c r="Z405" i="2"/>
  <c r="AF405" i="2"/>
  <c r="AG405" i="2"/>
  <c r="K406" i="2"/>
  <c r="L406" i="2" s="1"/>
  <c r="W406" i="2"/>
  <c r="X406" i="2"/>
  <c r="Y406" i="2"/>
  <c r="Z406" i="2"/>
  <c r="AN406" i="2" s="1"/>
  <c r="AF406" i="2"/>
  <c r="AG406" i="2"/>
  <c r="K407" i="2"/>
  <c r="L407" i="2" s="1"/>
  <c r="W407" i="2"/>
  <c r="X407" i="2"/>
  <c r="Y407" i="2"/>
  <c r="Z407" i="2"/>
  <c r="AF407" i="2"/>
  <c r="AG407" i="2"/>
  <c r="K408" i="2"/>
  <c r="L408" i="2" s="1"/>
  <c r="W408" i="2"/>
  <c r="X408" i="2"/>
  <c r="Y408" i="2"/>
  <c r="Z408" i="2"/>
  <c r="AF408" i="2"/>
  <c r="AG408" i="2"/>
  <c r="K409" i="2"/>
  <c r="L409" i="2" s="1"/>
  <c r="W409" i="2"/>
  <c r="X409" i="2"/>
  <c r="Y409" i="2"/>
  <c r="Z409" i="2"/>
  <c r="AF409" i="2"/>
  <c r="AG409" i="2"/>
  <c r="K410" i="2"/>
  <c r="L410" i="2" s="1"/>
  <c r="W410" i="2"/>
  <c r="X410" i="2"/>
  <c r="Y410" i="2"/>
  <c r="Z410" i="2"/>
  <c r="AN410" i="2" s="1"/>
  <c r="AF410" i="2"/>
  <c r="AG410" i="2"/>
  <c r="K411" i="2"/>
  <c r="L411" i="2" s="1"/>
  <c r="W411" i="2"/>
  <c r="X411" i="2"/>
  <c r="Y411" i="2"/>
  <c r="Z411" i="2"/>
  <c r="AF411" i="2"/>
  <c r="AG411" i="2"/>
  <c r="K412" i="2"/>
  <c r="L412" i="2" s="1"/>
  <c r="W412" i="2"/>
  <c r="X412" i="2"/>
  <c r="Y412" i="2"/>
  <c r="Z412" i="2"/>
  <c r="AN412" i="2" s="1"/>
  <c r="AF412" i="2"/>
  <c r="AG412" i="2"/>
  <c r="K413" i="2"/>
  <c r="L413" i="2" s="1"/>
  <c r="W413" i="2"/>
  <c r="X413" i="2"/>
  <c r="Y413" i="2"/>
  <c r="Z413" i="2"/>
  <c r="AF413" i="2"/>
  <c r="AG413" i="2"/>
  <c r="K414" i="2"/>
  <c r="L414" i="2" s="1"/>
  <c r="W414" i="2"/>
  <c r="X414" i="2"/>
  <c r="Y414" i="2"/>
  <c r="Z414" i="2"/>
  <c r="AN414" i="2" s="1"/>
  <c r="AF414" i="2"/>
  <c r="AG414" i="2"/>
  <c r="K415" i="2"/>
  <c r="L415" i="2" s="1"/>
  <c r="W415" i="2"/>
  <c r="X415" i="2"/>
  <c r="Y415" i="2"/>
  <c r="Z415" i="2"/>
  <c r="AF415" i="2"/>
  <c r="AG415" i="2"/>
  <c r="K416" i="2"/>
  <c r="L416" i="2" s="1"/>
  <c r="W416" i="2"/>
  <c r="X416" i="2"/>
  <c r="Y416" i="2"/>
  <c r="Z416" i="2"/>
  <c r="AF416" i="2"/>
  <c r="AG416" i="2"/>
  <c r="K417" i="2"/>
  <c r="L417" i="2" s="1"/>
  <c r="W417" i="2"/>
  <c r="X417" i="2"/>
  <c r="Y417" i="2"/>
  <c r="Z417" i="2"/>
  <c r="AF417" i="2"/>
  <c r="AG417" i="2"/>
  <c r="K418" i="2"/>
  <c r="L418" i="2" s="1"/>
  <c r="W418" i="2"/>
  <c r="X418" i="2"/>
  <c r="Y418" i="2"/>
  <c r="Z418" i="2"/>
  <c r="AN418" i="2" s="1"/>
  <c r="AF418" i="2"/>
  <c r="AG418" i="2"/>
  <c r="K419" i="2"/>
  <c r="L419" i="2" s="1"/>
  <c r="W419" i="2"/>
  <c r="X419" i="2"/>
  <c r="Y419" i="2"/>
  <c r="Z419" i="2"/>
  <c r="AF419" i="2"/>
  <c r="AG419" i="2"/>
  <c r="K420" i="2"/>
  <c r="L420" i="2" s="1"/>
  <c r="W420" i="2"/>
  <c r="X420" i="2"/>
  <c r="Y420" i="2"/>
  <c r="Z420" i="2"/>
  <c r="AN420" i="2" s="1"/>
  <c r="AF420" i="2"/>
  <c r="AG420" i="2"/>
  <c r="K421" i="2"/>
  <c r="L421" i="2" s="1"/>
  <c r="W421" i="2"/>
  <c r="X421" i="2"/>
  <c r="Y421" i="2"/>
  <c r="Z421" i="2"/>
  <c r="AF421" i="2"/>
  <c r="AG421" i="2"/>
  <c r="K422" i="2"/>
  <c r="L422" i="2" s="1"/>
  <c r="W422" i="2"/>
  <c r="X422" i="2"/>
  <c r="Y422" i="2"/>
  <c r="Z422" i="2"/>
  <c r="AN422" i="2" s="1"/>
  <c r="AF422" i="2"/>
  <c r="AG422" i="2"/>
  <c r="K423" i="2"/>
  <c r="L423" i="2" s="1"/>
  <c r="W423" i="2"/>
  <c r="X423" i="2"/>
  <c r="Y423" i="2"/>
  <c r="Z423" i="2"/>
  <c r="AN423" i="2" s="1"/>
  <c r="AF423" i="2"/>
  <c r="AG423" i="2"/>
  <c r="K424" i="2"/>
  <c r="L424" i="2" s="1"/>
  <c r="W424" i="2"/>
  <c r="X424" i="2"/>
  <c r="Y424" i="2"/>
  <c r="Z424" i="2"/>
  <c r="AN424" i="2" s="1"/>
  <c r="AF424" i="2"/>
  <c r="AG424" i="2"/>
  <c r="K425" i="2"/>
  <c r="L425" i="2" s="1"/>
  <c r="W425" i="2"/>
  <c r="X425" i="2"/>
  <c r="Y425" i="2"/>
  <c r="Z425" i="2"/>
  <c r="AN425" i="2" s="1"/>
  <c r="AF425" i="2"/>
  <c r="AG425" i="2"/>
  <c r="K426" i="2"/>
  <c r="L426" i="2" s="1"/>
  <c r="W426" i="2"/>
  <c r="X426" i="2"/>
  <c r="Y426" i="2"/>
  <c r="Z426" i="2"/>
  <c r="AN426" i="2" s="1"/>
  <c r="AF426" i="2"/>
  <c r="AG426" i="2"/>
  <c r="K427" i="2"/>
  <c r="L427" i="2" s="1"/>
  <c r="W427" i="2"/>
  <c r="X427" i="2"/>
  <c r="Y427" i="2"/>
  <c r="Z427" i="2"/>
  <c r="AN427" i="2" s="1"/>
  <c r="AF427" i="2"/>
  <c r="AG427" i="2"/>
  <c r="K428" i="2"/>
  <c r="L428" i="2" s="1"/>
  <c r="W428" i="2"/>
  <c r="X428" i="2"/>
  <c r="Y428" i="2"/>
  <c r="Z428" i="2"/>
  <c r="AN428" i="2" s="1"/>
  <c r="AF428" i="2"/>
  <c r="AG428" i="2"/>
  <c r="K429" i="2"/>
  <c r="L429" i="2" s="1"/>
  <c r="W429" i="2"/>
  <c r="X429" i="2"/>
  <c r="Y429" i="2"/>
  <c r="Z429" i="2"/>
  <c r="AN429" i="2" s="1"/>
  <c r="AF429" i="2"/>
  <c r="AG429" i="2"/>
  <c r="K430" i="2"/>
  <c r="L430" i="2" s="1"/>
  <c r="W430" i="2"/>
  <c r="X430" i="2"/>
  <c r="Y430" i="2"/>
  <c r="Z430" i="2"/>
  <c r="AN430" i="2" s="1"/>
  <c r="AF430" i="2"/>
  <c r="AG430" i="2"/>
  <c r="K431" i="2"/>
  <c r="L431" i="2" s="1"/>
  <c r="W431" i="2"/>
  <c r="X431" i="2"/>
  <c r="Y431" i="2"/>
  <c r="Z431" i="2"/>
  <c r="AN431" i="2" s="1"/>
  <c r="AF431" i="2"/>
  <c r="AG431" i="2"/>
  <c r="K432" i="2"/>
  <c r="L432" i="2" s="1"/>
  <c r="W432" i="2"/>
  <c r="X432" i="2"/>
  <c r="Y432" i="2"/>
  <c r="Z432" i="2"/>
  <c r="AN432" i="2" s="1"/>
  <c r="AF432" i="2"/>
  <c r="AG432" i="2"/>
  <c r="K433" i="2"/>
  <c r="L433" i="2" s="1"/>
  <c r="W433" i="2"/>
  <c r="X433" i="2"/>
  <c r="Y433" i="2"/>
  <c r="Z433" i="2"/>
  <c r="AN433" i="2" s="1"/>
  <c r="AF433" i="2"/>
  <c r="AG433" i="2"/>
  <c r="K434" i="2"/>
  <c r="L434" i="2" s="1"/>
  <c r="W434" i="2"/>
  <c r="X434" i="2"/>
  <c r="Y434" i="2"/>
  <c r="Z434" i="2"/>
  <c r="AN434" i="2" s="1"/>
  <c r="AF434" i="2"/>
  <c r="AG434" i="2"/>
  <c r="K435" i="2"/>
  <c r="L435" i="2" s="1"/>
  <c r="W435" i="2"/>
  <c r="X435" i="2"/>
  <c r="Y435" i="2"/>
  <c r="Z435" i="2"/>
  <c r="AN435" i="2" s="1"/>
  <c r="AF435" i="2"/>
  <c r="AG435" i="2"/>
  <c r="K436" i="2"/>
  <c r="L436" i="2" s="1"/>
  <c r="W436" i="2"/>
  <c r="X436" i="2"/>
  <c r="Y436" i="2"/>
  <c r="Z436" i="2"/>
  <c r="AN436" i="2" s="1"/>
  <c r="AF436" i="2"/>
  <c r="AG436" i="2"/>
  <c r="K437" i="2"/>
  <c r="L437" i="2" s="1"/>
  <c r="W437" i="2"/>
  <c r="X437" i="2"/>
  <c r="Y437" i="2"/>
  <c r="Z437" i="2"/>
  <c r="AN437" i="2" s="1"/>
  <c r="AF437" i="2"/>
  <c r="AG437" i="2"/>
  <c r="K438" i="2"/>
  <c r="L438" i="2" s="1"/>
  <c r="W438" i="2"/>
  <c r="X438" i="2"/>
  <c r="Y438" i="2"/>
  <c r="Z438" i="2"/>
  <c r="AN438" i="2" s="1"/>
  <c r="AF438" i="2"/>
  <c r="AG438" i="2"/>
  <c r="K439" i="2"/>
  <c r="L439" i="2" s="1"/>
  <c r="W439" i="2"/>
  <c r="X439" i="2"/>
  <c r="Y439" i="2"/>
  <c r="Z439" i="2"/>
  <c r="AN439" i="2" s="1"/>
  <c r="AF439" i="2"/>
  <c r="AG439" i="2"/>
  <c r="K440" i="2"/>
  <c r="L440" i="2" s="1"/>
  <c r="W440" i="2"/>
  <c r="X440" i="2"/>
  <c r="Y440" i="2"/>
  <c r="Z440" i="2"/>
  <c r="AN440" i="2" s="1"/>
  <c r="AF440" i="2"/>
  <c r="AG440" i="2"/>
  <c r="K441" i="2"/>
  <c r="L441" i="2" s="1"/>
  <c r="W441" i="2"/>
  <c r="X441" i="2"/>
  <c r="Y441" i="2"/>
  <c r="Z441" i="2"/>
  <c r="AN441" i="2" s="1"/>
  <c r="AF441" i="2"/>
  <c r="AG441" i="2"/>
  <c r="K442" i="2"/>
  <c r="L442" i="2" s="1"/>
  <c r="W442" i="2"/>
  <c r="X442" i="2"/>
  <c r="Y442" i="2"/>
  <c r="Z442" i="2"/>
  <c r="AN442" i="2" s="1"/>
  <c r="AF442" i="2"/>
  <c r="AG442" i="2"/>
  <c r="K443" i="2"/>
  <c r="L443" i="2" s="1"/>
  <c r="W443" i="2"/>
  <c r="X443" i="2"/>
  <c r="Y443" i="2"/>
  <c r="Z443" i="2"/>
  <c r="AN443" i="2" s="1"/>
  <c r="AF443" i="2"/>
  <c r="AG443" i="2"/>
  <c r="K444" i="2"/>
  <c r="L444" i="2" s="1"/>
  <c r="W444" i="2"/>
  <c r="X444" i="2"/>
  <c r="Y444" i="2"/>
  <c r="Z444" i="2"/>
  <c r="AN444" i="2" s="1"/>
  <c r="AF444" i="2"/>
  <c r="AG444" i="2"/>
  <c r="K445" i="2"/>
  <c r="L445" i="2" s="1"/>
  <c r="W445" i="2"/>
  <c r="X445" i="2"/>
  <c r="Y445" i="2"/>
  <c r="Z445" i="2"/>
  <c r="AN445" i="2" s="1"/>
  <c r="AF445" i="2"/>
  <c r="AG445" i="2"/>
  <c r="K446" i="2"/>
  <c r="L446" i="2" s="1"/>
  <c r="W446" i="2"/>
  <c r="X446" i="2"/>
  <c r="Y446" i="2"/>
  <c r="Z446" i="2"/>
  <c r="AN446" i="2" s="1"/>
  <c r="AF446" i="2"/>
  <c r="AG446" i="2"/>
  <c r="K447" i="2"/>
  <c r="L447" i="2" s="1"/>
  <c r="W447" i="2"/>
  <c r="X447" i="2"/>
  <c r="Y447" i="2"/>
  <c r="Z447" i="2"/>
  <c r="AN447" i="2" s="1"/>
  <c r="AF447" i="2"/>
  <c r="AG447" i="2"/>
  <c r="K448" i="2"/>
  <c r="L448" i="2" s="1"/>
  <c r="W448" i="2"/>
  <c r="X448" i="2"/>
  <c r="Y448" i="2"/>
  <c r="Z448" i="2"/>
  <c r="AN448" i="2" s="1"/>
  <c r="AF448" i="2"/>
  <c r="AG448" i="2"/>
  <c r="K449" i="2"/>
  <c r="L449" i="2" s="1"/>
  <c r="W449" i="2"/>
  <c r="X449" i="2"/>
  <c r="Y449" i="2"/>
  <c r="Z449" i="2"/>
  <c r="AN449" i="2" s="1"/>
  <c r="AF449" i="2"/>
  <c r="AG449" i="2"/>
  <c r="K450" i="2"/>
  <c r="L450" i="2" s="1"/>
  <c r="W450" i="2"/>
  <c r="X450" i="2"/>
  <c r="Y450" i="2"/>
  <c r="Z450" i="2"/>
  <c r="AN450" i="2" s="1"/>
  <c r="AF450" i="2"/>
  <c r="AG450" i="2"/>
  <c r="K451" i="2"/>
  <c r="L451" i="2" s="1"/>
  <c r="W451" i="2"/>
  <c r="X451" i="2"/>
  <c r="Y451" i="2"/>
  <c r="Z451" i="2"/>
  <c r="AN451" i="2" s="1"/>
  <c r="AF451" i="2"/>
  <c r="AG451" i="2"/>
  <c r="K452" i="2"/>
  <c r="L452" i="2" s="1"/>
  <c r="W452" i="2"/>
  <c r="X452" i="2"/>
  <c r="Y452" i="2"/>
  <c r="Z452" i="2"/>
  <c r="AN452" i="2" s="1"/>
  <c r="AF452" i="2"/>
  <c r="AG452" i="2"/>
  <c r="K453" i="2"/>
  <c r="L453" i="2" s="1"/>
  <c r="W453" i="2"/>
  <c r="X453" i="2"/>
  <c r="Y453" i="2"/>
  <c r="Z453" i="2"/>
  <c r="AN453" i="2" s="1"/>
  <c r="AF453" i="2"/>
  <c r="AG453" i="2"/>
  <c r="K454" i="2"/>
  <c r="L454" i="2" s="1"/>
  <c r="W454" i="2"/>
  <c r="X454" i="2"/>
  <c r="Y454" i="2"/>
  <c r="Z454" i="2"/>
  <c r="AN454" i="2" s="1"/>
  <c r="AF454" i="2"/>
  <c r="AG454" i="2"/>
  <c r="K455" i="2"/>
  <c r="L455" i="2" s="1"/>
  <c r="W455" i="2"/>
  <c r="X455" i="2"/>
  <c r="Y455" i="2"/>
  <c r="Z455" i="2"/>
  <c r="AN455" i="2" s="1"/>
  <c r="AF455" i="2"/>
  <c r="AG455" i="2"/>
  <c r="K456" i="2"/>
  <c r="L456" i="2" s="1"/>
  <c r="W456" i="2"/>
  <c r="X456" i="2"/>
  <c r="Y456" i="2"/>
  <c r="Z456" i="2"/>
  <c r="AN456" i="2" s="1"/>
  <c r="AF456" i="2"/>
  <c r="AG456" i="2"/>
  <c r="K457" i="2"/>
  <c r="L457" i="2" s="1"/>
  <c r="W457" i="2"/>
  <c r="X457" i="2"/>
  <c r="Y457" i="2"/>
  <c r="Z457" i="2"/>
  <c r="AN457" i="2" s="1"/>
  <c r="AF457" i="2"/>
  <c r="AG457" i="2"/>
  <c r="K458" i="2"/>
  <c r="L458" i="2" s="1"/>
  <c r="W458" i="2"/>
  <c r="X458" i="2"/>
  <c r="Y458" i="2"/>
  <c r="Z458" i="2"/>
  <c r="AN458" i="2" s="1"/>
  <c r="AF458" i="2"/>
  <c r="AG458" i="2"/>
  <c r="K459" i="2"/>
  <c r="L459" i="2" s="1"/>
  <c r="W459" i="2"/>
  <c r="X459" i="2"/>
  <c r="Y459" i="2"/>
  <c r="Z459" i="2"/>
  <c r="AF459" i="2"/>
  <c r="AG459" i="2"/>
  <c r="K460" i="2"/>
  <c r="L460" i="2" s="1"/>
  <c r="W460" i="2"/>
  <c r="X460" i="2"/>
  <c r="Y460" i="2"/>
  <c r="Z460" i="2"/>
  <c r="AN460" i="2" s="1"/>
  <c r="AF460" i="2"/>
  <c r="AG460" i="2"/>
  <c r="K461" i="2"/>
  <c r="L461" i="2" s="1"/>
  <c r="W461" i="2"/>
  <c r="X461" i="2"/>
  <c r="Y461" i="2"/>
  <c r="Z461" i="2"/>
  <c r="AN461" i="2" s="1"/>
  <c r="AF461" i="2"/>
  <c r="AG461" i="2"/>
  <c r="K462" i="2"/>
  <c r="L462" i="2" s="1"/>
  <c r="W462" i="2"/>
  <c r="X462" i="2"/>
  <c r="Y462" i="2"/>
  <c r="Z462" i="2"/>
  <c r="AN462" i="2" s="1"/>
  <c r="AF462" i="2"/>
  <c r="AG462" i="2"/>
  <c r="K463" i="2"/>
  <c r="L463" i="2" s="1"/>
  <c r="W463" i="2"/>
  <c r="X463" i="2"/>
  <c r="Y463" i="2"/>
  <c r="Z463" i="2"/>
  <c r="AN463" i="2" s="1"/>
  <c r="AF463" i="2"/>
  <c r="AG463" i="2"/>
  <c r="K464" i="2"/>
  <c r="L464" i="2" s="1"/>
  <c r="W464" i="2"/>
  <c r="X464" i="2"/>
  <c r="Y464" i="2"/>
  <c r="Z464" i="2"/>
  <c r="AN464" i="2" s="1"/>
  <c r="AF464" i="2"/>
  <c r="AG464" i="2"/>
  <c r="K465" i="2"/>
  <c r="L465" i="2" s="1"/>
  <c r="W465" i="2"/>
  <c r="X465" i="2"/>
  <c r="Y465" i="2"/>
  <c r="Z465" i="2"/>
  <c r="AN465" i="2" s="1"/>
  <c r="AF465" i="2"/>
  <c r="AG465" i="2"/>
  <c r="K466" i="2"/>
  <c r="L466" i="2" s="1"/>
  <c r="W466" i="2"/>
  <c r="X466" i="2"/>
  <c r="Y466" i="2"/>
  <c r="Z466" i="2"/>
  <c r="AN466" i="2" s="1"/>
  <c r="AF466" i="2"/>
  <c r="AG466" i="2"/>
  <c r="K467" i="2"/>
  <c r="L467" i="2" s="1"/>
  <c r="W467" i="2"/>
  <c r="X467" i="2"/>
  <c r="Y467" i="2"/>
  <c r="Z467" i="2"/>
  <c r="AF467" i="2"/>
  <c r="AG467" i="2"/>
  <c r="K468" i="2"/>
  <c r="L468" i="2" s="1"/>
  <c r="W468" i="2"/>
  <c r="X468" i="2"/>
  <c r="Y468" i="2"/>
  <c r="Z468" i="2"/>
  <c r="AN468" i="2" s="1"/>
  <c r="AF468" i="2"/>
  <c r="AG468" i="2"/>
  <c r="K469" i="2"/>
  <c r="L469" i="2" s="1"/>
  <c r="W469" i="2"/>
  <c r="X469" i="2"/>
  <c r="Y469" i="2"/>
  <c r="Z469" i="2"/>
  <c r="AN469" i="2" s="1"/>
  <c r="AF469" i="2"/>
  <c r="AG469" i="2"/>
  <c r="K470" i="2"/>
  <c r="L470" i="2" s="1"/>
  <c r="W470" i="2"/>
  <c r="X470" i="2"/>
  <c r="Y470" i="2"/>
  <c r="Z470" i="2"/>
  <c r="AN470" i="2" s="1"/>
  <c r="AF470" i="2"/>
  <c r="AG470" i="2"/>
  <c r="K471" i="2"/>
  <c r="L471" i="2" s="1"/>
  <c r="W471" i="2"/>
  <c r="X471" i="2"/>
  <c r="Y471" i="2"/>
  <c r="Z471" i="2"/>
  <c r="AN471" i="2" s="1"/>
  <c r="AF471" i="2"/>
  <c r="AG471" i="2"/>
  <c r="K472" i="2"/>
  <c r="L472" i="2" s="1"/>
  <c r="W472" i="2"/>
  <c r="X472" i="2"/>
  <c r="Y472" i="2"/>
  <c r="Z472" i="2"/>
  <c r="AN472" i="2" s="1"/>
  <c r="AF472" i="2"/>
  <c r="AG472" i="2"/>
  <c r="K473" i="2"/>
  <c r="L473" i="2" s="1"/>
  <c r="W473" i="2"/>
  <c r="X473" i="2"/>
  <c r="Y473" i="2"/>
  <c r="Z473" i="2"/>
  <c r="AN473" i="2" s="1"/>
  <c r="AF473" i="2"/>
  <c r="AG473" i="2"/>
  <c r="K474" i="2"/>
  <c r="L474" i="2" s="1"/>
  <c r="W474" i="2"/>
  <c r="X474" i="2"/>
  <c r="Y474" i="2"/>
  <c r="Z474" i="2"/>
  <c r="AF474" i="2"/>
  <c r="AG474" i="2"/>
  <c r="K475" i="2"/>
  <c r="L475" i="2" s="1"/>
  <c r="W475" i="2"/>
  <c r="X475" i="2"/>
  <c r="Y475" i="2"/>
  <c r="Z475" i="2"/>
  <c r="AF475" i="2"/>
  <c r="AG475" i="2"/>
  <c r="K476" i="2"/>
  <c r="L476" i="2" s="1"/>
  <c r="W476" i="2"/>
  <c r="X476" i="2"/>
  <c r="Y476" i="2"/>
  <c r="Z476" i="2"/>
  <c r="AF476" i="2"/>
  <c r="AG476" i="2"/>
  <c r="K477" i="2"/>
  <c r="L477" i="2" s="1"/>
  <c r="W477" i="2"/>
  <c r="X477" i="2"/>
  <c r="Y477" i="2"/>
  <c r="Z477" i="2"/>
  <c r="AF477" i="2"/>
  <c r="AG477" i="2"/>
  <c r="K478" i="2"/>
  <c r="L478" i="2" s="1"/>
  <c r="W478" i="2"/>
  <c r="X478" i="2"/>
  <c r="Y478" i="2"/>
  <c r="Z478" i="2"/>
  <c r="AF478" i="2"/>
  <c r="AG478" i="2"/>
  <c r="K479" i="2"/>
  <c r="L479" i="2" s="1"/>
  <c r="W479" i="2"/>
  <c r="X479" i="2"/>
  <c r="Y479" i="2"/>
  <c r="Z479" i="2"/>
  <c r="AN479" i="2" s="1"/>
  <c r="AF479" i="2"/>
  <c r="AG479" i="2"/>
  <c r="K480" i="2"/>
  <c r="L480" i="2" s="1"/>
  <c r="W480" i="2"/>
  <c r="X480" i="2"/>
  <c r="Y480" i="2"/>
  <c r="Z480" i="2"/>
  <c r="AF480" i="2"/>
  <c r="AG480" i="2"/>
  <c r="K481" i="2"/>
  <c r="L481" i="2" s="1"/>
  <c r="W481" i="2"/>
  <c r="X481" i="2"/>
  <c r="Y481" i="2"/>
  <c r="Z481" i="2"/>
  <c r="AN481" i="2" s="1"/>
  <c r="AF481" i="2"/>
  <c r="AG481" i="2"/>
  <c r="K482" i="2"/>
  <c r="L482" i="2" s="1"/>
  <c r="W482" i="2"/>
  <c r="X482" i="2"/>
  <c r="Y482" i="2"/>
  <c r="Z482" i="2"/>
  <c r="AF482" i="2"/>
  <c r="AG482" i="2"/>
  <c r="K483" i="2"/>
  <c r="L483" i="2" s="1"/>
  <c r="W483" i="2"/>
  <c r="X483" i="2"/>
  <c r="Y483" i="2"/>
  <c r="Z483" i="2"/>
  <c r="AN483" i="2" s="1"/>
  <c r="AF483" i="2"/>
  <c r="AG483" i="2"/>
  <c r="K484" i="2"/>
  <c r="L484" i="2" s="1"/>
  <c r="W484" i="2"/>
  <c r="X484" i="2"/>
  <c r="Y484" i="2"/>
  <c r="Z484" i="2"/>
  <c r="AF484" i="2"/>
  <c r="AG484" i="2"/>
  <c r="K485" i="2"/>
  <c r="L485" i="2" s="1"/>
  <c r="W485" i="2"/>
  <c r="X485" i="2"/>
  <c r="Y485" i="2"/>
  <c r="Z485" i="2"/>
  <c r="AF485" i="2"/>
  <c r="AG485" i="2"/>
  <c r="K486" i="2"/>
  <c r="L486" i="2" s="1"/>
  <c r="W486" i="2"/>
  <c r="X486" i="2"/>
  <c r="Y486" i="2"/>
  <c r="Z486" i="2"/>
  <c r="AF486" i="2"/>
  <c r="AG486" i="2"/>
  <c r="K487" i="2"/>
  <c r="L487" i="2" s="1"/>
  <c r="W487" i="2"/>
  <c r="X487" i="2"/>
  <c r="Y487" i="2"/>
  <c r="Z487" i="2"/>
  <c r="AN487" i="2" s="1"/>
  <c r="AF487" i="2"/>
  <c r="AG487" i="2"/>
  <c r="K488" i="2"/>
  <c r="L488" i="2" s="1"/>
  <c r="W488" i="2"/>
  <c r="X488" i="2"/>
  <c r="Y488" i="2"/>
  <c r="Z488" i="2"/>
  <c r="AF488" i="2"/>
  <c r="AG488" i="2"/>
  <c r="K489" i="2"/>
  <c r="L489" i="2" s="1"/>
  <c r="W489" i="2"/>
  <c r="X489" i="2"/>
  <c r="Y489" i="2"/>
  <c r="Z489" i="2"/>
  <c r="AF489" i="2"/>
  <c r="AG489" i="2"/>
  <c r="K490" i="2"/>
  <c r="L490" i="2" s="1"/>
  <c r="W490" i="2"/>
  <c r="X490" i="2"/>
  <c r="Y490" i="2"/>
  <c r="Z490" i="2"/>
  <c r="AF490" i="2"/>
  <c r="AG490" i="2"/>
  <c r="K491" i="2"/>
  <c r="L491" i="2" s="1"/>
  <c r="W491" i="2"/>
  <c r="X491" i="2"/>
  <c r="Y491" i="2"/>
  <c r="Z491" i="2"/>
  <c r="AF491" i="2"/>
  <c r="AG491" i="2"/>
  <c r="K492" i="2"/>
  <c r="L492" i="2" s="1"/>
  <c r="W492" i="2"/>
  <c r="X492" i="2"/>
  <c r="Y492" i="2"/>
  <c r="Z492" i="2"/>
  <c r="AF492" i="2"/>
  <c r="AG492" i="2"/>
  <c r="K493" i="2"/>
  <c r="L493" i="2" s="1"/>
  <c r="W493" i="2"/>
  <c r="X493" i="2"/>
  <c r="Y493" i="2"/>
  <c r="Z493" i="2"/>
  <c r="AF493" i="2"/>
  <c r="AG493" i="2"/>
  <c r="K494" i="2"/>
  <c r="L494" i="2" s="1"/>
  <c r="W494" i="2"/>
  <c r="X494" i="2"/>
  <c r="Y494" i="2"/>
  <c r="Z494" i="2"/>
  <c r="AF494" i="2"/>
  <c r="AG494" i="2"/>
  <c r="K495" i="2"/>
  <c r="L495" i="2" s="1"/>
  <c r="W495" i="2"/>
  <c r="X495" i="2"/>
  <c r="Y495" i="2"/>
  <c r="Z495" i="2"/>
  <c r="AN495" i="2" s="1"/>
  <c r="AF495" i="2"/>
  <c r="AG495" i="2"/>
  <c r="K496" i="2"/>
  <c r="L496" i="2" s="1"/>
  <c r="W496" i="2"/>
  <c r="X496" i="2"/>
  <c r="Y496" i="2"/>
  <c r="Z496" i="2"/>
  <c r="AF496" i="2"/>
  <c r="AG496" i="2"/>
  <c r="K497" i="2"/>
  <c r="L497" i="2" s="1"/>
  <c r="W497" i="2"/>
  <c r="X497" i="2"/>
  <c r="Y497" i="2"/>
  <c r="Z497" i="2"/>
  <c r="AN497" i="2" s="1"/>
  <c r="AF497" i="2"/>
  <c r="AG497" i="2"/>
  <c r="K498" i="2"/>
  <c r="L498" i="2" s="1"/>
  <c r="W498" i="2"/>
  <c r="X498" i="2"/>
  <c r="Y498" i="2"/>
  <c r="Z498" i="2"/>
  <c r="AN498" i="2" s="1"/>
  <c r="AF498" i="2"/>
  <c r="AG498" i="2"/>
  <c r="K499" i="2"/>
  <c r="L499" i="2" s="1"/>
  <c r="W499" i="2"/>
  <c r="X499" i="2"/>
  <c r="Y499" i="2"/>
  <c r="Z499" i="2"/>
  <c r="AF499" i="2"/>
  <c r="AG499" i="2"/>
  <c r="K500" i="2"/>
  <c r="L500" i="2" s="1"/>
  <c r="W500" i="2"/>
  <c r="X500" i="2"/>
  <c r="Y500" i="2"/>
  <c r="Z500" i="2"/>
  <c r="AN500" i="2" s="1"/>
  <c r="AF500" i="2"/>
  <c r="AG500" i="2"/>
  <c r="K501" i="2"/>
  <c r="L501" i="2" s="1"/>
  <c r="W501" i="2"/>
  <c r="X501" i="2"/>
  <c r="Y501" i="2"/>
  <c r="Z501" i="2"/>
  <c r="AN501" i="2" s="1"/>
  <c r="AF501" i="2"/>
  <c r="AG501" i="2"/>
  <c r="K502" i="2"/>
  <c r="L502" i="2" s="1"/>
  <c r="W502" i="2"/>
  <c r="X502" i="2"/>
  <c r="Y502" i="2"/>
  <c r="Z502" i="2"/>
  <c r="AF502" i="2"/>
  <c r="AG502" i="2"/>
  <c r="K503" i="2"/>
  <c r="L503" i="2" s="1"/>
  <c r="W503" i="2"/>
  <c r="X503" i="2"/>
  <c r="Y503" i="2"/>
  <c r="Z503" i="2"/>
  <c r="AN503" i="2" s="1"/>
  <c r="AF503" i="2"/>
  <c r="AG503" i="2"/>
  <c r="K504" i="2"/>
  <c r="L504" i="2" s="1"/>
  <c r="W504" i="2"/>
  <c r="X504" i="2"/>
  <c r="Y504" i="2"/>
  <c r="Z504" i="2"/>
  <c r="AF504" i="2"/>
  <c r="AG504" i="2"/>
  <c r="K505" i="2"/>
  <c r="L505" i="2" s="1"/>
  <c r="W505" i="2"/>
  <c r="X505" i="2"/>
  <c r="Y505" i="2"/>
  <c r="Z505" i="2"/>
  <c r="AN505" i="2" s="1"/>
  <c r="AF505" i="2"/>
  <c r="AG505" i="2"/>
  <c r="K506" i="2"/>
  <c r="L506" i="2" s="1"/>
  <c r="W506" i="2"/>
  <c r="X506" i="2"/>
  <c r="Y506" i="2"/>
  <c r="Z506" i="2"/>
  <c r="AF506" i="2"/>
  <c r="AG506" i="2"/>
  <c r="K507" i="2"/>
  <c r="L507" i="2" s="1"/>
  <c r="W507" i="2"/>
  <c r="X507" i="2"/>
  <c r="Y507" i="2"/>
  <c r="Z507" i="2"/>
  <c r="AN507" i="2" s="1"/>
  <c r="AF507" i="2"/>
  <c r="AG507" i="2"/>
  <c r="K508" i="2"/>
  <c r="L508" i="2" s="1"/>
  <c r="W508" i="2"/>
  <c r="X508" i="2"/>
  <c r="Y508" i="2"/>
  <c r="Z508" i="2"/>
  <c r="AF508" i="2"/>
  <c r="AG508" i="2"/>
  <c r="K509" i="2"/>
  <c r="L509" i="2" s="1"/>
  <c r="W509" i="2"/>
  <c r="X509" i="2"/>
  <c r="Y509" i="2"/>
  <c r="Z509" i="2"/>
  <c r="AF509" i="2"/>
  <c r="AG509" i="2"/>
  <c r="K510" i="2"/>
  <c r="L510" i="2" s="1"/>
  <c r="W510" i="2"/>
  <c r="X510" i="2"/>
  <c r="Y510" i="2"/>
  <c r="Z510" i="2"/>
  <c r="AF510" i="2"/>
  <c r="AG510" i="2"/>
  <c r="K511" i="2"/>
  <c r="L511" i="2" s="1"/>
  <c r="W511" i="2"/>
  <c r="X511" i="2"/>
  <c r="Y511" i="2"/>
  <c r="Z511" i="2"/>
  <c r="AN511" i="2" s="1"/>
  <c r="AF511" i="2"/>
  <c r="AG511" i="2"/>
  <c r="K512" i="2"/>
  <c r="L512" i="2" s="1"/>
  <c r="W512" i="2"/>
  <c r="X512" i="2"/>
  <c r="Y512" i="2"/>
  <c r="Z512" i="2"/>
  <c r="AF512" i="2"/>
  <c r="AG512" i="2"/>
  <c r="K513" i="2"/>
  <c r="L513" i="2" s="1"/>
  <c r="W513" i="2"/>
  <c r="X513" i="2"/>
  <c r="Y513" i="2"/>
  <c r="Z513" i="2"/>
  <c r="AF513" i="2"/>
  <c r="AG513" i="2"/>
  <c r="K514" i="2"/>
  <c r="L514" i="2" s="1"/>
  <c r="W514" i="2"/>
  <c r="X514" i="2"/>
  <c r="Y514" i="2"/>
  <c r="Z514" i="2"/>
  <c r="AF514" i="2"/>
  <c r="AG514" i="2"/>
  <c r="K515" i="2"/>
  <c r="L515" i="2" s="1"/>
  <c r="W515" i="2"/>
  <c r="X515" i="2"/>
  <c r="Y515" i="2"/>
  <c r="Z515" i="2"/>
  <c r="AN515" i="2" s="1"/>
  <c r="AF515" i="2"/>
  <c r="AG515" i="2"/>
  <c r="K516" i="2"/>
  <c r="L516" i="2" s="1"/>
  <c r="W516" i="2"/>
  <c r="X516" i="2"/>
  <c r="Y516" i="2"/>
  <c r="Z516" i="2"/>
  <c r="AF516" i="2"/>
  <c r="AG516" i="2"/>
  <c r="K517" i="2"/>
  <c r="L517" i="2" s="1"/>
  <c r="W517" i="2"/>
  <c r="X517" i="2"/>
  <c r="Y517" i="2"/>
  <c r="Z517" i="2"/>
  <c r="AF517" i="2"/>
  <c r="AG517" i="2"/>
  <c r="K518" i="2"/>
  <c r="L518" i="2" s="1"/>
  <c r="W518" i="2"/>
  <c r="X518" i="2"/>
  <c r="Y518" i="2"/>
  <c r="Z518" i="2"/>
  <c r="AF518" i="2"/>
  <c r="AG518" i="2"/>
  <c r="K519" i="2"/>
  <c r="L519" i="2" s="1"/>
  <c r="W519" i="2"/>
  <c r="X519" i="2"/>
  <c r="Y519" i="2"/>
  <c r="Z519" i="2"/>
  <c r="AN519" i="2" s="1"/>
  <c r="AF519" i="2"/>
  <c r="AG519" i="2"/>
  <c r="K520" i="2"/>
  <c r="L520" i="2" s="1"/>
  <c r="W520" i="2"/>
  <c r="X520" i="2"/>
  <c r="Y520" i="2"/>
  <c r="Z520" i="2"/>
  <c r="AF520" i="2"/>
  <c r="AG520" i="2"/>
  <c r="K521" i="2"/>
  <c r="L521" i="2" s="1"/>
  <c r="W521" i="2"/>
  <c r="X521" i="2"/>
  <c r="Y521" i="2"/>
  <c r="Z521" i="2"/>
  <c r="AF521" i="2"/>
  <c r="AG521" i="2"/>
  <c r="K522" i="2"/>
  <c r="L522" i="2" s="1"/>
  <c r="W522" i="2"/>
  <c r="X522" i="2"/>
  <c r="Y522" i="2"/>
  <c r="Z522" i="2"/>
  <c r="AF522" i="2"/>
  <c r="AG522" i="2"/>
  <c r="K523" i="2"/>
  <c r="L523" i="2" s="1"/>
  <c r="W523" i="2"/>
  <c r="X523" i="2"/>
  <c r="Y523" i="2"/>
  <c r="Z523" i="2"/>
  <c r="AN523" i="2" s="1"/>
  <c r="AF523" i="2"/>
  <c r="AG523" i="2"/>
  <c r="K524" i="2"/>
  <c r="L524" i="2" s="1"/>
  <c r="W524" i="2"/>
  <c r="X524" i="2"/>
  <c r="Y524" i="2"/>
  <c r="Z524" i="2"/>
  <c r="AF524" i="2"/>
  <c r="AG524" i="2"/>
  <c r="K525" i="2"/>
  <c r="L525" i="2" s="1"/>
  <c r="W525" i="2"/>
  <c r="X525" i="2"/>
  <c r="Y525" i="2"/>
  <c r="Z525" i="2"/>
  <c r="AN525" i="2" s="1"/>
  <c r="AF525" i="2"/>
  <c r="AG525" i="2"/>
  <c r="K526" i="2"/>
  <c r="L526" i="2" s="1"/>
  <c r="W526" i="2"/>
  <c r="X526" i="2"/>
  <c r="Y526" i="2"/>
  <c r="Z526" i="2"/>
  <c r="AN526" i="2" s="1"/>
  <c r="AF526" i="2"/>
  <c r="AG526" i="2"/>
  <c r="K527" i="2"/>
  <c r="L527" i="2" s="1"/>
  <c r="W527" i="2"/>
  <c r="X527" i="2"/>
  <c r="Y527" i="2"/>
  <c r="Z527" i="2"/>
  <c r="AN527" i="2" s="1"/>
  <c r="AF527" i="2"/>
  <c r="AG527" i="2"/>
  <c r="K528" i="2"/>
  <c r="L528" i="2" s="1"/>
  <c r="W528" i="2"/>
  <c r="X528" i="2"/>
  <c r="Y528" i="2"/>
  <c r="Z528" i="2"/>
  <c r="AF528" i="2"/>
  <c r="AG528" i="2"/>
  <c r="K529" i="2"/>
  <c r="L529" i="2" s="1"/>
  <c r="W529" i="2"/>
  <c r="X529" i="2"/>
  <c r="Y529" i="2"/>
  <c r="Z529" i="2"/>
  <c r="AN529" i="2" s="1"/>
  <c r="AF529" i="2"/>
  <c r="AG529" i="2"/>
  <c r="K530" i="2"/>
  <c r="L530" i="2" s="1"/>
  <c r="W530" i="2"/>
  <c r="X530" i="2"/>
  <c r="Y530" i="2"/>
  <c r="Z530" i="2"/>
  <c r="AN530" i="2" s="1"/>
  <c r="AF530" i="2"/>
  <c r="AG530" i="2"/>
  <c r="K531" i="2"/>
  <c r="L531" i="2" s="1"/>
  <c r="W531" i="2"/>
  <c r="X531" i="2"/>
  <c r="Y531" i="2"/>
  <c r="Z531" i="2"/>
  <c r="AN531" i="2" s="1"/>
  <c r="AF531" i="2"/>
  <c r="AG531" i="2"/>
  <c r="K532" i="2"/>
  <c r="L532" i="2" s="1"/>
  <c r="W532" i="2"/>
  <c r="X532" i="2"/>
  <c r="Y532" i="2"/>
  <c r="Z532" i="2"/>
  <c r="AN532" i="2" s="1"/>
  <c r="AF532" i="2"/>
  <c r="AG532" i="2"/>
  <c r="K533" i="2"/>
  <c r="L533" i="2" s="1"/>
  <c r="W533" i="2"/>
  <c r="X533" i="2"/>
  <c r="Y533" i="2"/>
  <c r="Z533" i="2"/>
  <c r="AN533" i="2" s="1"/>
  <c r="AF533" i="2"/>
  <c r="AG533" i="2"/>
  <c r="K534" i="2"/>
  <c r="L534" i="2" s="1"/>
  <c r="W534" i="2"/>
  <c r="X534" i="2"/>
  <c r="Y534" i="2"/>
  <c r="Z534" i="2"/>
  <c r="AN534" i="2" s="1"/>
  <c r="AF534" i="2"/>
  <c r="AG534" i="2"/>
  <c r="K535" i="2"/>
  <c r="L535" i="2" s="1"/>
  <c r="W535" i="2"/>
  <c r="X535" i="2"/>
  <c r="Y535" i="2"/>
  <c r="Z535" i="2"/>
  <c r="AN535" i="2" s="1"/>
  <c r="AF535" i="2"/>
  <c r="AG535" i="2"/>
  <c r="K536" i="2"/>
  <c r="L536" i="2" s="1"/>
  <c r="W536" i="2"/>
  <c r="X536" i="2"/>
  <c r="Y536" i="2"/>
  <c r="Z536" i="2"/>
  <c r="AF536" i="2"/>
  <c r="AG536" i="2"/>
  <c r="K537" i="2"/>
  <c r="L537" i="2" s="1"/>
  <c r="W537" i="2"/>
  <c r="X537" i="2"/>
  <c r="Y537" i="2"/>
  <c r="Z537" i="2"/>
  <c r="AN537" i="2" s="1"/>
  <c r="AF537" i="2"/>
  <c r="AG537" i="2"/>
  <c r="K538" i="2"/>
  <c r="L538" i="2" s="1"/>
  <c r="W538" i="2"/>
  <c r="X538" i="2"/>
  <c r="Y538" i="2"/>
  <c r="Z538" i="2"/>
  <c r="AN538" i="2" s="1"/>
  <c r="AF538" i="2"/>
  <c r="AG538" i="2"/>
  <c r="K539" i="2"/>
  <c r="L539" i="2" s="1"/>
  <c r="W539" i="2"/>
  <c r="X539" i="2"/>
  <c r="Y539" i="2"/>
  <c r="Z539" i="2"/>
  <c r="AN539" i="2" s="1"/>
  <c r="AF539" i="2"/>
  <c r="AG539" i="2"/>
  <c r="K540" i="2"/>
  <c r="L540" i="2" s="1"/>
  <c r="W540" i="2"/>
  <c r="X540" i="2"/>
  <c r="Y540" i="2"/>
  <c r="Z540" i="2"/>
  <c r="AN540" i="2" s="1"/>
  <c r="AF540" i="2"/>
  <c r="AG540" i="2"/>
  <c r="K541" i="2"/>
  <c r="L541" i="2" s="1"/>
  <c r="W541" i="2"/>
  <c r="X541" i="2"/>
  <c r="Y541" i="2"/>
  <c r="Z541" i="2"/>
  <c r="AN541" i="2" s="1"/>
  <c r="AF541" i="2"/>
  <c r="AG541" i="2"/>
  <c r="K542" i="2"/>
  <c r="L542" i="2" s="1"/>
  <c r="W542" i="2"/>
  <c r="X542" i="2"/>
  <c r="Y542" i="2"/>
  <c r="Z542" i="2"/>
  <c r="AN542" i="2" s="1"/>
  <c r="AF542" i="2"/>
  <c r="AG542" i="2"/>
  <c r="K543" i="2"/>
  <c r="L543" i="2" s="1"/>
  <c r="W543" i="2"/>
  <c r="X543" i="2"/>
  <c r="Y543" i="2"/>
  <c r="Z543" i="2"/>
  <c r="AN543" i="2" s="1"/>
  <c r="AF543" i="2"/>
  <c r="AG543" i="2"/>
  <c r="K544" i="2"/>
  <c r="L544" i="2" s="1"/>
  <c r="W544" i="2"/>
  <c r="X544" i="2"/>
  <c r="Y544" i="2"/>
  <c r="Z544" i="2"/>
  <c r="AF544" i="2"/>
  <c r="AG544" i="2"/>
  <c r="K545" i="2"/>
  <c r="L545" i="2" s="1"/>
  <c r="W545" i="2"/>
  <c r="X545" i="2"/>
  <c r="Y545" i="2"/>
  <c r="Z545" i="2"/>
  <c r="AN545" i="2" s="1"/>
  <c r="AF545" i="2"/>
  <c r="AG545" i="2"/>
  <c r="K546" i="2"/>
  <c r="L546" i="2" s="1"/>
  <c r="W546" i="2"/>
  <c r="X546" i="2"/>
  <c r="Y546" i="2"/>
  <c r="Z546" i="2"/>
  <c r="AN546" i="2" s="1"/>
  <c r="AF546" i="2"/>
  <c r="AG546" i="2"/>
  <c r="K547" i="2"/>
  <c r="L547" i="2" s="1"/>
  <c r="W547" i="2"/>
  <c r="X547" i="2"/>
  <c r="Y547" i="2"/>
  <c r="Z547" i="2"/>
  <c r="AN547" i="2" s="1"/>
  <c r="AF547" i="2"/>
  <c r="AG547" i="2"/>
  <c r="K548" i="2"/>
  <c r="L548" i="2" s="1"/>
  <c r="W548" i="2"/>
  <c r="X548" i="2"/>
  <c r="Y548" i="2"/>
  <c r="Z548" i="2"/>
  <c r="AN548" i="2" s="1"/>
  <c r="AF548" i="2"/>
  <c r="AG548" i="2"/>
  <c r="K549" i="2"/>
  <c r="L549" i="2" s="1"/>
  <c r="W549" i="2"/>
  <c r="X549" i="2"/>
  <c r="Y549" i="2"/>
  <c r="Z549" i="2"/>
  <c r="AN549" i="2" s="1"/>
  <c r="AF549" i="2"/>
  <c r="AG549" i="2"/>
  <c r="K550" i="2"/>
  <c r="L550" i="2" s="1"/>
  <c r="W550" i="2"/>
  <c r="X550" i="2"/>
  <c r="Y550" i="2"/>
  <c r="Z550" i="2"/>
  <c r="AN550" i="2" s="1"/>
  <c r="AF550" i="2"/>
  <c r="AG550" i="2"/>
  <c r="K551" i="2"/>
  <c r="L551" i="2" s="1"/>
  <c r="W551" i="2"/>
  <c r="X551" i="2"/>
  <c r="Y551" i="2"/>
  <c r="Z551" i="2"/>
  <c r="AF551" i="2"/>
  <c r="AG551" i="2"/>
  <c r="K552" i="2"/>
  <c r="L552" i="2" s="1"/>
  <c r="W552" i="2"/>
  <c r="X552" i="2"/>
  <c r="Y552" i="2"/>
  <c r="Z552" i="2"/>
  <c r="AN552" i="2" s="1"/>
  <c r="AF552" i="2"/>
  <c r="AG552" i="2"/>
  <c r="K553" i="2"/>
  <c r="L553" i="2" s="1"/>
  <c r="W553" i="2"/>
  <c r="X553" i="2"/>
  <c r="Y553" i="2"/>
  <c r="Z553" i="2"/>
  <c r="AN553" i="2" s="1"/>
  <c r="AF553" i="2"/>
  <c r="AG553" i="2"/>
  <c r="K554" i="2"/>
  <c r="L554" i="2" s="1"/>
  <c r="W554" i="2"/>
  <c r="X554" i="2"/>
  <c r="Y554" i="2"/>
  <c r="Z554" i="2"/>
  <c r="AN554" i="2" s="1"/>
  <c r="AF554" i="2"/>
  <c r="AG554" i="2"/>
  <c r="K555" i="2"/>
  <c r="L555" i="2" s="1"/>
  <c r="W555" i="2"/>
  <c r="X555" i="2"/>
  <c r="Y555" i="2"/>
  <c r="Z555" i="2"/>
  <c r="AN555" i="2" s="1"/>
  <c r="AF555" i="2"/>
  <c r="AG555" i="2"/>
  <c r="K556" i="2"/>
  <c r="L556" i="2" s="1"/>
  <c r="W556" i="2"/>
  <c r="X556" i="2"/>
  <c r="Y556" i="2"/>
  <c r="Z556" i="2"/>
  <c r="AF556" i="2"/>
  <c r="AG556" i="2"/>
  <c r="K557" i="2"/>
  <c r="L557" i="2" s="1"/>
  <c r="W557" i="2"/>
  <c r="X557" i="2"/>
  <c r="Y557" i="2"/>
  <c r="Z557" i="2"/>
  <c r="AN557" i="2" s="1"/>
  <c r="AF557" i="2"/>
  <c r="AG557" i="2"/>
  <c r="K558" i="2"/>
  <c r="L558" i="2" s="1"/>
  <c r="W558" i="2"/>
  <c r="X558" i="2"/>
  <c r="Y558" i="2"/>
  <c r="Z558" i="2"/>
  <c r="AF558" i="2"/>
  <c r="AG558" i="2"/>
  <c r="K559" i="2"/>
  <c r="L559" i="2" s="1"/>
  <c r="W559" i="2"/>
  <c r="X559" i="2"/>
  <c r="Y559" i="2"/>
  <c r="Z559" i="2"/>
  <c r="AF559" i="2"/>
  <c r="AG559" i="2"/>
  <c r="K560" i="2"/>
  <c r="L560" i="2" s="1"/>
  <c r="W560" i="2"/>
  <c r="X560" i="2"/>
  <c r="Y560" i="2"/>
  <c r="Z560" i="2"/>
  <c r="AF560" i="2"/>
  <c r="AG560" i="2"/>
  <c r="K561" i="2"/>
  <c r="L561" i="2" s="1"/>
  <c r="W561" i="2"/>
  <c r="X561" i="2"/>
  <c r="Y561" i="2"/>
  <c r="Z561" i="2"/>
  <c r="AF561" i="2"/>
  <c r="AG561" i="2"/>
  <c r="K562" i="2"/>
  <c r="L562" i="2" s="1"/>
  <c r="W562" i="2"/>
  <c r="X562" i="2"/>
  <c r="Y562" i="2"/>
  <c r="Z562" i="2"/>
  <c r="AN562" i="2" s="1"/>
  <c r="AF562" i="2"/>
  <c r="AG562" i="2"/>
  <c r="K563" i="2"/>
  <c r="L563" i="2" s="1"/>
  <c r="W563" i="2"/>
  <c r="X563" i="2"/>
  <c r="Y563" i="2"/>
  <c r="Z563" i="2"/>
  <c r="AF563" i="2"/>
  <c r="AG563" i="2"/>
  <c r="K564" i="2"/>
  <c r="L564" i="2" s="1"/>
  <c r="W564" i="2"/>
  <c r="X564" i="2"/>
  <c r="Y564" i="2"/>
  <c r="Z564" i="2"/>
  <c r="AN564" i="2" s="1"/>
  <c r="AF564" i="2"/>
  <c r="AG564" i="2"/>
  <c r="K565" i="2"/>
  <c r="L565" i="2" s="1"/>
  <c r="W565" i="2"/>
  <c r="X565" i="2"/>
  <c r="Y565" i="2"/>
  <c r="Z565" i="2"/>
  <c r="AN565" i="2" s="1"/>
  <c r="AF565" i="2"/>
  <c r="AG565" i="2"/>
  <c r="K566" i="2"/>
  <c r="L566" i="2" s="1"/>
  <c r="W566" i="2"/>
  <c r="X566" i="2"/>
  <c r="Y566" i="2"/>
  <c r="Z566" i="2"/>
  <c r="AN566" i="2" s="1"/>
  <c r="AF566" i="2"/>
  <c r="AG566" i="2"/>
  <c r="K567" i="2"/>
  <c r="L567" i="2" s="1"/>
  <c r="W567" i="2"/>
  <c r="X567" i="2"/>
  <c r="Y567" i="2"/>
  <c r="Z567" i="2"/>
  <c r="AN567" i="2" s="1"/>
  <c r="AF567" i="2"/>
  <c r="AG567" i="2"/>
  <c r="K568" i="2"/>
  <c r="L568" i="2" s="1"/>
  <c r="W568" i="2"/>
  <c r="X568" i="2"/>
  <c r="Y568" i="2"/>
  <c r="Z568" i="2"/>
  <c r="AN568" i="2" s="1"/>
  <c r="AF568" i="2"/>
  <c r="AG568" i="2"/>
  <c r="K569" i="2"/>
  <c r="L569" i="2" s="1"/>
  <c r="W569" i="2"/>
  <c r="X569" i="2"/>
  <c r="Y569" i="2"/>
  <c r="Z569" i="2"/>
  <c r="AN569" i="2" s="1"/>
  <c r="AF569" i="2"/>
  <c r="AG569" i="2"/>
  <c r="K570" i="2"/>
  <c r="L570" i="2" s="1"/>
  <c r="W570" i="2"/>
  <c r="X570" i="2"/>
  <c r="Y570" i="2"/>
  <c r="Z570" i="2"/>
  <c r="AN570" i="2" s="1"/>
  <c r="AF570" i="2"/>
  <c r="AG570" i="2"/>
  <c r="K571" i="2"/>
  <c r="L571" i="2" s="1"/>
  <c r="W571" i="2"/>
  <c r="X571" i="2"/>
  <c r="Y571" i="2"/>
  <c r="Z571" i="2"/>
  <c r="AN571" i="2" s="1"/>
  <c r="AF571" i="2"/>
  <c r="AG571" i="2"/>
  <c r="K572" i="2"/>
  <c r="L572" i="2" s="1"/>
  <c r="W572" i="2"/>
  <c r="X572" i="2"/>
  <c r="Y572" i="2"/>
  <c r="Z572" i="2"/>
  <c r="AN572" i="2" s="1"/>
  <c r="AF572" i="2"/>
  <c r="AG572" i="2"/>
  <c r="K573" i="2"/>
  <c r="L573" i="2" s="1"/>
  <c r="W573" i="2"/>
  <c r="X573" i="2"/>
  <c r="Y573" i="2"/>
  <c r="Z573" i="2"/>
  <c r="AF573" i="2"/>
  <c r="AG573" i="2"/>
  <c r="K574" i="2"/>
  <c r="L574" i="2" s="1"/>
  <c r="W574" i="2"/>
  <c r="X574" i="2"/>
  <c r="Y574" i="2"/>
  <c r="Z574" i="2"/>
  <c r="AN574" i="2" s="1"/>
  <c r="AF574" i="2"/>
  <c r="AG574" i="2"/>
  <c r="K575" i="2"/>
  <c r="L575" i="2" s="1"/>
  <c r="W575" i="2"/>
  <c r="X575" i="2"/>
  <c r="Y575" i="2"/>
  <c r="Z575" i="2"/>
  <c r="AN575" i="2" s="1"/>
  <c r="AF575" i="2"/>
  <c r="AG575" i="2"/>
  <c r="K576" i="2"/>
  <c r="L576" i="2" s="1"/>
  <c r="W576" i="2"/>
  <c r="X576" i="2"/>
  <c r="Y576" i="2"/>
  <c r="Z576" i="2"/>
  <c r="AN576" i="2" s="1"/>
  <c r="AF576" i="2"/>
  <c r="AG576" i="2"/>
  <c r="K577" i="2"/>
  <c r="L577" i="2" s="1"/>
  <c r="W577" i="2"/>
  <c r="X577" i="2"/>
  <c r="Y577" i="2"/>
  <c r="Z577" i="2"/>
  <c r="AN577" i="2" s="1"/>
  <c r="AF577" i="2"/>
  <c r="AG577" i="2"/>
  <c r="K578" i="2"/>
  <c r="L578" i="2" s="1"/>
  <c r="W578" i="2"/>
  <c r="X578" i="2"/>
  <c r="Y578" i="2"/>
  <c r="Z578" i="2"/>
  <c r="AF578" i="2"/>
  <c r="AG578" i="2"/>
  <c r="K579" i="2"/>
  <c r="L579" i="2" s="1"/>
  <c r="W579" i="2"/>
  <c r="X579" i="2"/>
  <c r="Y579" i="2"/>
  <c r="Z579" i="2"/>
  <c r="AN579" i="2" s="1"/>
  <c r="AF579" i="2"/>
  <c r="AG579" i="2"/>
  <c r="K580" i="2"/>
  <c r="L580" i="2" s="1"/>
  <c r="W580" i="2"/>
  <c r="X580" i="2"/>
  <c r="Y580" i="2"/>
  <c r="Z580" i="2"/>
  <c r="AF580" i="2"/>
  <c r="AG580" i="2"/>
  <c r="K581" i="2"/>
  <c r="L581" i="2" s="1"/>
  <c r="W581" i="2"/>
  <c r="X581" i="2"/>
  <c r="Y581" i="2"/>
  <c r="Z581" i="2"/>
  <c r="AN581" i="2" s="1"/>
  <c r="AF581" i="2"/>
  <c r="AG581" i="2"/>
  <c r="K582" i="2"/>
  <c r="L582" i="2" s="1"/>
  <c r="W582" i="2"/>
  <c r="X582" i="2"/>
  <c r="Y582" i="2"/>
  <c r="Z582" i="2"/>
  <c r="AN582" i="2" s="1"/>
  <c r="AF582" i="2"/>
  <c r="AG582" i="2"/>
  <c r="K583" i="2"/>
  <c r="L583" i="2" s="1"/>
  <c r="W583" i="2"/>
  <c r="X583" i="2"/>
  <c r="Y583" i="2"/>
  <c r="Z583" i="2"/>
  <c r="AN583" i="2" s="1"/>
  <c r="AF583" i="2"/>
  <c r="AG583" i="2"/>
  <c r="K584" i="2"/>
  <c r="L584" i="2" s="1"/>
  <c r="W584" i="2"/>
  <c r="X584" i="2"/>
  <c r="Y584" i="2"/>
  <c r="Z584" i="2"/>
  <c r="AN584" i="2" s="1"/>
  <c r="AF584" i="2"/>
  <c r="AG584" i="2"/>
  <c r="K585" i="2"/>
  <c r="L585" i="2" s="1"/>
  <c r="W585" i="2"/>
  <c r="X585" i="2"/>
  <c r="Y585" i="2"/>
  <c r="Z585" i="2"/>
  <c r="AN585" i="2" s="1"/>
  <c r="AF585" i="2"/>
  <c r="AG585" i="2"/>
  <c r="K586" i="2"/>
  <c r="L586" i="2" s="1"/>
  <c r="W586" i="2"/>
  <c r="X586" i="2"/>
  <c r="Y586" i="2"/>
  <c r="Z586" i="2"/>
  <c r="AN586" i="2" s="1"/>
  <c r="AF586" i="2"/>
  <c r="AG586" i="2"/>
  <c r="K587" i="2"/>
  <c r="L587" i="2" s="1"/>
  <c r="W587" i="2"/>
  <c r="X587" i="2"/>
  <c r="Y587" i="2"/>
  <c r="Z587" i="2"/>
  <c r="AN587" i="2" s="1"/>
  <c r="AF587" i="2"/>
  <c r="AG587" i="2"/>
  <c r="K588" i="2"/>
  <c r="L588" i="2" s="1"/>
  <c r="W588" i="2"/>
  <c r="X588" i="2"/>
  <c r="Y588" i="2"/>
  <c r="Z588" i="2"/>
  <c r="AF588" i="2"/>
  <c r="AG588" i="2"/>
  <c r="K589" i="2"/>
  <c r="L589" i="2" s="1"/>
  <c r="W589" i="2"/>
  <c r="X589" i="2"/>
  <c r="Y589" i="2"/>
  <c r="Z589" i="2"/>
  <c r="AF589" i="2"/>
  <c r="AG589" i="2"/>
  <c r="K590" i="2"/>
  <c r="L590" i="2" s="1"/>
  <c r="W590" i="2"/>
  <c r="X590" i="2"/>
  <c r="Y590" i="2"/>
  <c r="Z590" i="2"/>
  <c r="AF590" i="2"/>
  <c r="AG590" i="2"/>
  <c r="K591" i="2"/>
  <c r="L591" i="2" s="1"/>
  <c r="W591" i="2"/>
  <c r="X591" i="2"/>
  <c r="Y591" i="2"/>
  <c r="Z591" i="2"/>
  <c r="AN591" i="2" s="1"/>
  <c r="AF591" i="2"/>
  <c r="AG591" i="2"/>
  <c r="K592" i="2"/>
  <c r="L592" i="2" s="1"/>
  <c r="W592" i="2"/>
  <c r="X592" i="2"/>
  <c r="Y592" i="2"/>
  <c r="Z592" i="2"/>
  <c r="AN592" i="2" s="1"/>
  <c r="AF592" i="2"/>
  <c r="AG592" i="2"/>
  <c r="K593" i="2"/>
  <c r="L593" i="2" s="1"/>
  <c r="W593" i="2"/>
  <c r="X593" i="2"/>
  <c r="Y593" i="2"/>
  <c r="Z593" i="2"/>
  <c r="AN593" i="2" s="1"/>
  <c r="AF593" i="2"/>
  <c r="AG593" i="2"/>
  <c r="K594" i="2"/>
  <c r="L594" i="2" s="1"/>
  <c r="W594" i="2"/>
  <c r="X594" i="2"/>
  <c r="Y594" i="2"/>
  <c r="Z594" i="2"/>
  <c r="AF594" i="2"/>
  <c r="AG594" i="2"/>
  <c r="K595" i="2"/>
  <c r="L595" i="2" s="1"/>
  <c r="W595" i="2"/>
  <c r="X595" i="2"/>
  <c r="Y595" i="2"/>
  <c r="Z595" i="2"/>
  <c r="AN595" i="2" s="1"/>
  <c r="AF595" i="2"/>
  <c r="AG595" i="2"/>
  <c r="K596" i="2"/>
  <c r="L596" i="2" s="1"/>
  <c r="W596" i="2"/>
  <c r="X596" i="2"/>
  <c r="Y596" i="2"/>
  <c r="Z596" i="2"/>
  <c r="AF596" i="2"/>
  <c r="AG596" i="2"/>
  <c r="K597" i="2"/>
  <c r="L597" i="2" s="1"/>
  <c r="W597" i="2"/>
  <c r="X597" i="2"/>
  <c r="Y597" i="2"/>
  <c r="Z597" i="2"/>
  <c r="AF597" i="2"/>
  <c r="AG597" i="2"/>
  <c r="K598" i="2"/>
  <c r="L598" i="2" s="1"/>
  <c r="W598" i="2"/>
  <c r="X598" i="2"/>
  <c r="Y598" i="2"/>
  <c r="Z598" i="2"/>
  <c r="AF598" i="2"/>
  <c r="AG598" i="2"/>
  <c r="K599" i="2"/>
  <c r="L599" i="2" s="1"/>
  <c r="W599" i="2"/>
  <c r="X599" i="2"/>
  <c r="Y599" i="2"/>
  <c r="Z599" i="2"/>
  <c r="AN599" i="2" s="1"/>
  <c r="AF599" i="2"/>
  <c r="AG599" i="2"/>
  <c r="K600" i="2"/>
  <c r="L600" i="2" s="1"/>
  <c r="W600" i="2"/>
  <c r="X600" i="2"/>
  <c r="Y600" i="2"/>
  <c r="Z600" i="2"/>
  <c r="AN600" i="2" s="1"/>
  <c r="AF600" i="2"/>
  <c r="AG600" i="2"/>
  <c r="K601" i="2"/>
  <c r="L601" i="2" s="1"/>
  <c r="W601" i="2"/>
  <c r="X601" i="2"/>
  <c r="Y601" i="2"/>
  <c r="Z601" i="2"/>
  <c r="AN601" i="2" s="1"/>
  <c r="AF601" i="2"/>
  <c r="AG601" i="2"/>
  <c r="K602" i="2"/>
  <c r="L602" i="2" s="1"/>
  <c r="W602" i="2"/>
  <c r="X602" i="2"/>
  <c r="Y602" i="2"/>
  <c r="Z602" i="2"/>
  <c r="AF602" i="2"/>
  <c r="AG602" i="2"/>
  <c r="K603" i="2"/>
  <c r="L603" i="2" s="1"/>
  <c r="W603" i="2"/>
  <c r="X603" i="2"/>
  <c r="Y603" i="2"/>
  <c r="Z603" i="2"/>
  <c r="AN603" i="2" s="1"/>
  <c r="AF603" i="2"/>
  <c r="AG603" i="2"/>
  <c r="K604" i="2"/>
  <c r="L604" i="2" s="1"/>
  <c r="W604" i="2"/>
  <c r="X604" i="2"/>
  <c r="Y604" i="2"/>
  <c r="Z604" i="2"/>
  <c r="AF604" i="2"/>
  <c r="AG604" i="2"/>
  <c r="K605" i="2"/>
  <c r="L605" i="2" s="1"/>
  <c r="W605" i="2"/>
  <c r="X605" i="2"/>
  <c r="Y605" i="2"/>
  <c r="Z605" i="2"/>
  <c r="AN605" i="2" s="1"/>
  <c r="AF605" i="2"/>
  <c r="AG605" i="2"/>
  <c r="K606" i="2"/>
  <c r="L606" i="2" s="1"/>
  <c r="W606" i="2"/>
  <c r="X606" i="2"/>
  <c r="Y606" i="2"/>
  <c r="Z606" i="2"/>
  <c r="AF606" i="2"/>
  <c r="AG606" i="2"/>
  <c r="K607" i="2"/>
  <c r="L607" i="2" s="1"/>
  <c r="W607" i="2"/>
  <c r="X607" i="2"/>
  <c r="Y607" i="2"/>
  <c r="Z607" i="2"/>
  <c r="AF607" i="2"/>
  <c r="AG607" i="2"/>
  <c r="K608" i="2"/>
  <c r="L608" i="2" s="1"/>
  <c r="W608" i="2"/>
  <c r="X608" i="2"/>
  <c r="Y608" i="2"/>
  <c r="Z608" i="2"/>
  <c r="AN608" i="2" s="1"/>
  <c r="AF608" i="2"/>
  <c r="AG608" i="2"/>
  <c r="K609" i="2"/>
  <c r="L609" i="2" s="1"/>
  <c r="W609" i="2"/>
  <c r="X609" i="2"/>
  <c r="Y609" i="2"/>
  <c r="Z609" i="2"/>
  <c r="AF609" i="2"/>
  <c r="AG609" i="2"/>
  <c r="K610" i="2"/>
  <c r="L610" i="2" s="1"/>
  <c r="W610" i="2"/>
  <c r="X610" i="2"/>
  <c r="Y610" i="2"/>
  <c r="Z610" i="2"/>
  <c r="AF610" i="2"/>
  <c r="AG610" i="2"/>
  <c r="K611" i="2"/>
  <c r="L611" i="2" s="1"/>
  <c r="W611" i="2"/>
  <c r="X611" i="2"/>
  <c r="Y611" i="2"/>
  <c r="Z611" i="2"/>
  <c r="AN611" i="2" s="1"/>
  <c r="AF611" i="2"/>
  <c r="AG611" i="2"/>
  <c r="K612" i="2"/>
  <c r="L612" i="2" s="1"/>
  <c r="W612" i="2"/>
  <c r="X612" i="2"/>
  <c r="Y612" i="2"/>
  <c r="Z612" i="2"/>
  <c r="AN612" i="2" s="1"/>
  <c r="AF612" i="2"/>
  <c r="AG612" i="2"/>
  <c r="K613" i="2"/>
  <c r="L613" i="2" s="1"/>
  <c r="W613" i="2"/>
  <c r="X613" i="2"/>
  <c r="Y613" i="2"/>
  <c r="Z613" i="2"/>
  <c r="AF613" i="2"/>
  <c r="AG613" i="2"/>
  <c r="K614" i="2"/>
  <c r="L614" i="2" s="1"/>
  <c r="W614" i="2"/>
  <c r="X614" i="2"/>
  <c r="Y614" i="2"/>
  <c r="Z614" i="2"/>
  <c r="AN614" i="2" s="1"/>
  <c r="AF614" i="2"/>
  <c r="AG614" i="2"/>
  <c r="K615" i="2"/>
  <c r="L615" i="2" s="1"/>
  <c r="W615" i="2"/>
  <c r="X615" i="2"/>
  <c r="Y615" i="2"/>
  <c r="Z615" i="2"/>
  <c r="AN615" i="2" s="1"/>
  <c r="AF615" i="2"/>
  <c r="AG615" i="2"/>
  <c r="K616" i="2"/>
  <c r="L616" i="2" s="1"/>
  <c r="W616" i="2"/>
  <c r="X616" i="2"/>
  <c r="Y616" i="2"/>
  <c r="Z616" i="2"/>
  <c r="AN616" i="2" s="1"/>
  <c r="AF616" i="2"/>
  <c r="AG616" i="2"/>
  <c r="K617" i="2"/>
  <c r="L617" i="2" s="1"/>
  <c r="W617" i="2"/>
  <c r="X617" i="2"/>
  <c r="Y617" i="2"/>
  <c r="Z617" i="2"/>
  <c r="AF617" i="2"/>
  <c r="AG617" i="2"/>
  <c r="K618" i="2"/>
  <c r="L618" i="2" s="1"/>
  <c r="W618" i="2"/>
  <c r="X618" i="2"/>
  <c r="Y618" i="2"/>
  <c r="Z618" i="2"/>
  <c r="AF618" i="2"/>
  <c r="AG618" i="2"/>
  <c r="K619" i="2"/>
  <c r="L619" i="2" s="1"/>
  <c r="W619" i="2"/>
  <c r="X619" i="2"/>
  <c r="Y619" i="2"/>
  <c r="Z619" i="2"/>
  <c r="AN619" i="2" s="1"/>
  <c r="AF619" i="2"/>
  <c r="AG619" i="2"/>
  <c r="K620" i="2"/>
  <c r="L620" i="2" s="1"/>
  <c r="W620" i="2"/>
  <c r="X620" i="2"/>
  <c r="Y620" i="2"/>
  <c r="Z620" i="2"/>
  <c r="AN620" i="2" s="1"/>
  <c r="AF620" i="2"/>
  <c r="AG620" i="2"/>
  <c r="K621" i="2"/>
  <c r="L621" i="2" s="1"/>
  <c r="W621" i="2"/>
  <c r="X621" i="2"/>
  <c r="Y621" i="2"/>
  <c r="Z621" i="2"/>
  <c r="AF621" i="2"/>
  <c r="AG621" i="2"/>
  <c r="K622" i="2"/>
  <c r="L622" i="2" s="1"/>
  <c r="W622" i="2"/>
  <c r="X622" i="2"/>
  <c r="Y622" i="2"/>
  <c r="Z622" i="2"/>
  <c r="AF622" i="2"/>
  <c r="AG622" i="2"/>
  <c r="K623" i="2"/>
  <c r="L623" i="2" s="1"/>
  <c r="W623" i="2"/>
  <c r="X623" i="2"/>
  <c r="Y623" i="2"/>
  <c r="Z623" i="2"/>
  <c r="AF623" i="2"/>
  <c r="AG623" i="2"/>
  <c r="K624" i="2"/>
  <c r="L624" i="2" s="1"/>
  <c r="W624" i="2"/>
  <c r="X624" i="2"/>
  <c r="Y624" i="2"/>
  <c r="Z624" i="2"/>
  <c r="AF624" i="2"/>
  <c r="AG624" i="2"/>
  <c r="K625" i="2"/>
  <c r="L625" i="2" s="1"/>
  <c r="W625" i="2"/>
  <c r="X625" i="2"/>
  <c r="Y625" i="2"/>
  <c r="Z625" i="2"/>
  <c r="AN625" i="2" s="1"/>
  <c r="AF625" i="2"/>
  <c r="AG625" i="2"/>
  <c r="K626" i="2"/>
  <c r="L626" i="2" s="1"/>
  <c r="W626" i="2"/>
  <c r="X626" i="2"/>
  <c r="Y626" i="2"/>
  <c r="Z626" i="2"/>
  <c r="AF626" i="2"/>
  <c r="AG626" i="2"/>
  <c r="K627" i="2"/>
  <c r="L627" i="2" s="1"/>
  <c r="W627" i="2"/>
  <c r="X627" i="2"/>
  <c r="Y627" i="2"/>
  <c r="Z627" i="2"/>
  <c r="AN627" i="2" s="1"/>
  <c r="AF627" i="2"/>
  <c r="AG627" i="2"/>
  <c r="K628" i="2"/>
  <c r="L628" i="2" s="1"/>
  <c r="W628" i="2"/>
  <c r="X628" i="2"/>
  <c r="Y628" i="2"/>
  <c r="Z628" i="2"/>
  <c r="AF628" i="2"/>
  <c r="AG628" i="2"/>
  <c r="K629" i="2"/>
  <c r="L629" i="2" s="1"/>
  <c r="W629" i="2"/>
  <c r="X629" i="2"/>
  <c r="Y629" i="2"/>
  <c r="Z629" i="2"/>
  <c r="AN629" i="2" s="1"/>
  <c r="AF629" i="2"/>
  <c r="AG629" i="2"/>
  <c r="K630" i="2"/>
  <c r="L630" i="2" s="1"/>
  <c r="W630" i="2"/>
  <c r="X630" i="2"/>
  <c r="Y630" i="2"/>
  <c r="Z630" i="2"/>
  <c r="AF630" i="2"/>
  <c r="AG630" i="2"/>
  <c r="K631" i="2"/>
  <c r="L631" i="2" s="1"/>
  <c r="W631" i="2"/>
  <c r="X631" i="2"/>
  <c r="Y631" i="2"/>
  <c r="Z631" i="2"/>
  <c r="AF631" i="2"/>
  <c r="AG631" i="2"/>
  <c r="K632" i="2"/>
  <c r="L632" i="2" s="1"/>
  <c r="W632" i="2"/>
  <c r="X632" i="2"/>
  <c r="Y632" i="2"/>
  <c r="Z632" i="2"/>
  <c r="AF632" i="2"/>
  <c r="AG632" i="2"/>
  <c r="K633" i="2"/>
  <c r="L633" i="2" s="1"/>
  <c r="W633" i="2"/>
  <c r="X633" i="2"/>
  <c r="Y633" i="2"/>
  <c r="Z633" i="2"/>
  <c r="AN633" i="2" s="1"/>
  <c r="AF633" i="2"/>
  <c r="AG633" i="2"/>
  <c r="K634" i="2"/>
  <c r="L634" i="2" s="1"/>
  <c r="W634" i="2"/>
  <c r="X634" i="2"/>
  <c r="Y634" i="2"/>
  <c r="Z634" i="2"/>
  <c r="AF634" i="2"/>
  <c r="AG634" i="2"/>
  <c r="K635" i="2"/>
  <c r="L635" i="2" s="1"/>
  <c r="W635" i="2"/>
  <c r="X635" i="2"/>
  <c r="Y635" i="2"/>
  <c r="Z635" i="2"/>
  <c r="AN635" i="2" s="1"/>
  <c r="AF635" i="2"/>
  <c r="AG635" i="2"/>
  <c r="L636" i="2"/>
  <c r="W636" i="2"/>
  <c r="X636" i="2"/>
  <c r="Y636" i="2"/>
  <c r="Z636" i="2"/>
  <c r="AF636" i="2"/>
  <c r="AG636" i="2"/>
  <c r="K637" i="2"/>
  <c r="L637" i="2" s="1"/>
  <c r="W637" i="2"/>
  <c r="X637" i="2"/>
  <c r="Y637" i="2"/>
  <c r="Z637" i="2"/>
  <c r="AN637" i="2" s="1"/>
  <c r="AF637" i="2"/>
  <c r="AG637" i="2"/>
  <c r="K638" i="2"/>
  <c r="L638" i="2" s="1"/>
  <c r="W638" i="2"/>
  <c r="X638" i="2"/>
  <c r="Y638" i="2"/>
  <c r="Z638" i="2"/>
  <c r="AF638" i="2"/>
  <c r="AG638" i="2"/>
  <c r="K639" i="2"/>
  <c r="L639" i="2" s="1"/>
  <c r="W639" i="2"/>
  <c r="X639" i="2"/>
  <c r="Y639" i="2"/>
  <c r="Z639" i="2"/>
  <c r="AN639" i="2" s="1"/>
  <c r="AF639" i="2"/>
  <c r="AG639" i="2"/>
  <c r="K640" i="2"/>
  <c r="L640" i="2" s="1"/>
  <c r="W640" i="2"/>
  <c r="X640" i="2"/>
  <c r="Y640" i="2"/>
  <c r="Z640" i="2"/>
  <c r="AF640" i="2"/>
  <c r="AG640" i="2"/>
  <c r="K641" i="2"/>
  <c r="L641" i="2" s="1"/>
  <c r="W641" i="2"/>
  <c r="X641" i="2"/>
  <c r="Y641" i="2"/>
  <c r="Z641" i="2"/>
  <c r="AN641" i="2" s="1"/>
  <c r="AF641" i="2"/>
  <c r="AG641" i="2"/>
  <c r="K642" i="2"/>
  <c r="L642" i="2" s="1"/>
  <c r="W642" i="2"/>
  <c r="X642" i="2"/>
  <c r="Y642" i="2"/>
  <c r="Z642" i="2"/>
  <c r="AF642" i="2"/>
  <c r="AG642" i="2"/>
  <c r="K643" i="2"/>
  <c r="L643" i="2" s="1"/>
  <c r="W643" i="2"/>
  <c r="X643" i="2"/>
  <c r="Y643" i="2"/>
  <c r="Z643" i="2"/>
  <c r="AN643" i="2" s="1"/>
  <c r="AF643" i="2"/>
  <c r="AG643" i="2"/>
  <c r="K644" i="2"/>
  <c r="L644" i="2" s="1"/>
  <c r="W644" i="2"/>
  <c r="X644" i="2"/>
  <c r="Y644" i="2"/>
  <c r="Z644" i="2"/>
  <c r="AF644" i="2"/>
  <c r="AG644" i="2"/>
  <c r="K645" i="2"/>
  <c r="L645" i="2" s="1"/>
  <c r="W645" i="2"/>
  <c r="X645" i="2"/>
  <c r="Y645" i="2"/>
  <c r="Z645" i="2"/>
  <c r="AN645" i="2" s="1"/>
  <c r="AF645" i="2"/>
  <c r="AG645" i="2"/>
  <c r="K646" i="2"/>
  <c r="L646" i="2" s="1"/>
  <c r="W646" i="2"/>
  <c r="X646" i="2"/>
  <c r="Y646" i="2"/>
  <c r="Z646" i="2"/>
  <c r="AF646" i="2"/>
  <c r="AG646" i="2"/>
  <c r="K647" i="2"/>
  <c r="L647" i="2" s="1"/>
  <c r="W647" i="2"/>
  <c r="X647" i="2"/>
  <c r="Y647" i="2"/>
  <c r="Z647" i="2"/>
  <c r="AN647" i="2" s="1"/>
  <c r="AF647" i="2"/>
  <c r="AG647" i="2"/>
  <c r="AO648" i="2" l="1"/>
  <c r="AM681" i="2"/>
  <c r="AO660" i="2"/>
  <c r="AJ672" i="2"/>
  <c r="AO657" i="2"/>
  <c r="AO650" i="2"/>
  <c r="AO654" i="2"/>
  <c r="AO673" i="2"/>
  <c r="AO658" i="2"/>
  <c r="AO662" i="2"/>
  <c r="AO651" i="2"/>
  <c r="AO661" i="2"/>
  <c r="AO656" i="2"/>
  <c r="AO671" i="2"/>
  <c r="AK672" i="2"/>
  <c r="AL672" i="2" s="1"/>
  <c r="AO672" i="2"/>
  <c r="AM677" i="2"/>
  <c r="AM675" i="2"/>
  <c r="AH671" i="2"/>
  <c r="AC671" i="2" s="1"/>
  <c r="AI672" i="2"/>
  <c r="AM664" i="2"/>
  <c r="AK671" i="2"/>
  <c r="AL671" i="2" s="1"/>
  <c r="AM676" i="2"/>
  <c r="AM674" i="2"/>
  <c r="AI671" i="2"/>
  <c r="AH673" i="2"/>
  <c r="AC673" i="2" s="1"/>
  <c r="AI673" i="2"/>
  <c r="AK673" i="2"/>
  <c r="AL673" i="2" s="1"/>
  <c r="AM680" i="2"/>
  <c r="AM679" i="2"/>
  <c r="AM678" i="2"/>
  <c r="AM669" i="2"/>
  <c r="AM663" i="2"/>
  <c r="AM670" i="2"/>
  <c r="AA204" i="2"/>
  <c r="AM668" i="2"/>
  <c r="AM666" i="2"/>
  <c r="AA262" i="2"/>
  <c r="AI657" i="2"/>
  <c r="AM667" i="2"/>
  <c r="AA380" i="2"/>
  <c r="AK657" i="2"/>
  <c r="AL657" i="2" s="1"/>
  <c r="AH657" i="2"/>
  <c r="AC657" i="2" s="1"/>
  <c r="AA383" i="2"/>
  <c r="AH658" i="2"/>
  <c r="AC658" i="2" s="1"/>
  <c r="AA158" i="2"/>
  <c r="AK649" i="2"/>
  <c r="AL649" i="2" s="1"/>
  <c r="AA609" i="2"/>
  <c r="AA622" i="2"/>
  <c r="AE251" i="2"/>
  <c r="AI251" i="2" s="1"/>
  <c r="AA406" i="2"/>
  <c r="AM665" i="2"/>
  <c r="AA4" i="2"/>
  <c r="AK652" i="2"/>
  <c r="AL652" i="2" s="1"/>
  <c r="AK662" i="2"/>
  <c r="AL662" i="2" s="1"/>
  <c r="AA591" i="2"/>
  <c r="AA400" i="2"/>
  <c r="AA391" i="2"/>
  <c r="AA384" i="2"/>
  <c r="AJ662" i="2"/>
  <c r="AA8" i="2"/>
  <c r="AA43" i="2"/>
  <c r="AK661" i="2"/>
  <c r="AL661" i="2" s="1"/>
  <c r="AH661" i="2"/>
  <c r="AC661" i="2" s="1"/>
  <c r="AA271" i="2"/>
  <c r="AA255" i="2"/>
  <c r="AA617" i="2"/>
  <c r="AA559" i="2"/>
  <c r="AA160" i="2"/>
  <c r="AA563" i="2"/>
  <c r="AI661" i="2"/>
  <c r="AA6" i="2"/>
  <c r="AH662" i="2"/>
  <c r="AC662" i="2" s="1"/>
  <c r="AA287" i="2"/>
  <c r="AK658" i="2"/>
  <c r="AL658" i="2" s="1"/>
  <c r="AA643" i="2"/>
  <c r="AA558" i="2"/>
  <c r="AA279" i="2"/>
  <c r="AA202" i="2"/>
  <c r="AA142" i="2"/>
  <c r="AA638" i="2"/>
  <c r="AA604" i="2"/>
  <c r="AA378" i="2"/>
  <c r="AA573" i="2"/>
  <c r="AA168" i="2"/>
  <c r="AA626" i="2"/>
  <c r="AA269" i="2"/>
  <c r="AA253" i="2"/>
  <c r="AA237" i="2"/>
  <c r="AA109" i="2"/>
  <c r="AA585" i="2"/>
  <c r="AA395" i="2"/>
  <c r="AA275" i="2"/>
  <c r="AA257" i="2"/>
  <c r="AA149" i="2"/>
  <c r="AA588" i="2"/>
  <c r="AA267" i="2"/>
  <c r="AA623" i="2"/>
  <c r="AA260" i="2"/>
  <c r="AA228" i="2"/>
  <c r="AA36" i="2"/>
  <c r="AE322" i="2"/>
  <c r="AJ322" i="2" s="1"/>
  <c r="AE638" i="2"/>
  <c r="AI638" i="2" s="1"/>
  <c r="AE622" i="2"/>
  <c r="AI622" i="2" s="1"/>
  <c r="AE462" i="2"/>
  <c r="AJ462" i="2" s="1"/>
  <c r="AE318" i="2"/>
  <c r="AH318" i="2" s="1"/>
  <c r="AE302" i="2"/>
  <c r="AE142" i="2"/>
  <c r="AH142" i="2" s="1"/>
  <c r="AE30" i="2"/>
  <c r="AJ30" i="2" s="1"/>
  <c r="AA398" i="2"/>
  <c r="AA283" i="2"/>
  <c r="AE285" i="2"/>
  <c r="AJ285" i="2" s="1"/>
  <c r="AE45" i="2"/>
  <c r="AJ45" i="2" s="1"/>
  <c r="AE604" i="2"/>
  <c r="AI604" i="2" s="1"/>
  <c r="AE300" i="2"/>
  <c r="AO300" i="2" s="1"/>
  <c r="AE12" i="2"/>
  <c r="AO12" i="2" s="1"/>
  <c r="AE625" i="2"/>
  <c r="AH625" i="2" s="1"/>
  <c r="AC625" i="2" s="1"/>
  <c r="AA146" i="2"/>
  <c r="AA139" i="2"/>
  <c r="AA128" i="2"/>
  <c r="AA630" i="2"/>
  <c r="AA242" i="2"/>
  <c r="AA565" i="2"/>
  <c r="AA491" i="2"/>
  <c r="AN269" i="2"/>
  <c r="AA258" i="2"/>
  <c r="AA217" i="2"/>
  <c r="AA208" i="2"/>
  <c r="AA25" i="2"/>
  <c r="AE573" i="2"/>
  <c r="AI573" i="2" s="1"/>
  <c r="AE493" i="2"/>
  <c r="AI493" i="2" s="1"/>
  <c r="AE333" i="2"/>
  <c r="AH333" i="2" s="1"/>
  <c r="AE237" i="2"/>
  <c r="AI237" i="2" s="1"/>
  <c r="AE524" i="2"/>
  <c r="AJ524" i="2" s="1"/>
  <c r="AE331" i="2"/>
  <c r="AO331" i="2" s="1"/>
  <c r="AA587" i="2"/>
  <c r="AA289" i="2"/>
  <c r="AA229" i="2"/>
  <c r="AE590" i="2"/>
  <c r="AJ590" i="2" s="1"/>
  <c r="AE382" i="2"/>
  <c r="AI382" i="2" s="1"/>
  <c r="AE221" i="2"/>
  <c r="AJ221" i="2" s="1"/>
  <c r="AA92" i="2"/>
  <c r="AE397" i="2"/>
  <c r="AH397" i="2" s="1"/>
  <c r="AC397" i="2" s="1"/>
  <c r="AE481" i="2"/>
  <c r="AJ481" i="2" s="1"/>
  <c r="AN563" i="2"/>
  <c r="AN242" i="2"/>
  <c r="AA373" i="2"/>
  <c r="AA382" i="2"/>
  <c r="AA265" i="2"/>
  <c r="AE158" i="2"/>
  <c r="AH158" i="2" s="1"/>
  <c r="AE110" i="2"/>
  <c r="AH110" i="2" s="1"/>
  <c r="AE253" i="2"/>
  <c r="AH253" i="2" s="1"/>
  <c r="AC253" i="2" s="1"/>
  <c r="AE574" i="2"/>
  <c r="AH574" i="2" s="1"/>
  <c r="AC574" i="2" s="1"/>
  <c r="AE478" i="2"/>
  <c r="AJ478" i="2" s="1"/>
  <c r="AE222" i="2"/>
  <c r="AJ222" i="2" s="1"/>
  <c r="AE269" i="2"/>
  <c r="AH269" i="2" s="1"/>
  <c r="AC269" i="2" s="1"/>
  <c r="AA62" i="2"/>
  <c r="AE156" i="2"/>
  <c r="AA100" i="2"/>
  <c r="AA66" i="2"/>
  <c r="AA577" i="2"/>
  <c r="AA627" i="2"/>
  <c r="AA56" i="2"/>
  <c r="AA58" i="2"/>
  <c r="AE526" i="2"/>
  <c r="AI526" i="2" s="1"/>
  <c r="AE430" i="2"/>
  <c r="AH430" i="2" s="1"/>
  <c r="AC430" i="2" s="1"/>
  <c r="AE206" i="2"/>
  <c r="AH206" i="2" s="1"/>
  <c r="AC206" i="2" s="1"/>
  <c r="AE94" i="2"/>
  <c r="AI94" i="2" s="1"/>
  <c r="AA639" i="2"/>
  <c r="AA569" i="2"/>
  <c r="AA645" i="2"/>
  <c r="AA551" i="2"/>
  <c r="AN202" i="2"/>
  <c r="AA635" i="2"/>
  <c r="AE321" i="2"/>
  <c r="AO321" i="2" s="1"/>
  <c r="AE173" i="2"/>
  <c r="AO173" i="2" s="1"/>
  <c r="AE418" i="2"/>
  <c r="AH418" i="2" s="1"/>
  <c r="AC418" i="2" s="1"/>
  <c r="AA116" i="2"/>
  <c r="AE92" i="2"/>
  <c r="AO92" i="2" s="1"/>
  <c r="AN617" i="2"/>
  <c r="AA553" i="2"/>
  <c r="AA369" i="2"/>
  <c r="AE209" i="2"/>
  <c r="AI209" i="2" s="1"/>
  <c r="AA198" i="2"/>
  <c r="AJ658" i="2"/>
  <c r="AA612" i="2"/>
  <c r="AE414" i="2"/>
  <c r="AH414" i="2" s="1"/>
  <c r="AC414" i="2" s="1"/>
  <c r="AE140" i="2"/>
  <c r="AI140" i="2" s="1"/>
  <c r="AN267" i="2"/>
  <c r="AA256" i="2"/>
  <c r="AA238" i="2"/>
  <c r="AA200" i="2"/>
  <c r="AA31" i="2"/>
  <c r="AE557" i="2"/>
  <c r="AH557" i="2" s="1"/>
  <c r="AC557" i="2" s="1"/>
  <c r="AE542" i="2"/>
  <c r="AH542" i="2" s="1"/>
  <c r="AC542" i="2" s="1"/>
  <c r="AE637" i="2"/>
  <c r="AA602" i="2"/>
  <c r="AA598" i="2"/>
  <c r="AE523" i="2"/>
  <c r="AH523" i="2" s="1"/>
  <c r="AC523" i="2" s="1"/>
  <c r="AE643" i="2"/>
  <c r="AH643" i="2" s="1"/>
  <c r="AC643" i="2" s="1"/>
  <c r="AE579" i="2"/>
  <c r="AJ579" i="2" s="1"/>
  <c r="AE547" i="2"/>
  <c r="AI547" i="2" s="1"/>
  <c r="AE515" i="2"/>
  <c r="AH515" i="2" s="1"/>
  <c r="AC515" i="2" s="1"/>
  <c r="AE419" i="2"/>
  <c r="AE403" i="2"/>
  <c r="AE387" i="2"/>
  <c r="AI387" i="2" s="1"/>
  <c r="AE371" i="2"/>
  <c r="AJ371" i="2" s="1"/>
  <c r="AE355" i="2"/>
  <c r="AI355" i="2" s="1"/>
  <c r="AE339" i="2"/>
  <c r="AH339" i="2" s="1"/>
  <c r="AE259" i="2"/>
  <c r="AH259" i="2" s="1"/>
  <c r="AC259" i="2" s="1"/>
  <c r="AE195" i="2"/>
  <c r="AH195" i="2" s="1"/>
  <c r="AC195" i="2" s="1"/>
  <c r="AE147" i="2"/>
  <c r="AJ147" i="2" s="1"/>
  <c r="AE115" i="2"/>
  <c r="AH115" i="2" s="1"/>
  <c r="AC115" i="2" s="1"/>
  <c r="AE99" i="2"/>
  <c r="AH99" i="2" s="1"/>
  <c r="AC99" i="2" s="1"/>
  <c r="AE67" i="2"/>
  <c r="AO67" i="2" s="1"/>
  <c r="AE19" i="2"/>
  <c r="AI19" i="2" s="1"/>
  <c r="AE509" i="2"/>
  <c r="AI509" i="2" s="1"/>
  <c r="AE460" i="2"/>
  <c r="AJ460" i="2" s="1"/>
  <c r="AE267" i="2"/>
  <c r="AI267" i="2" s="1"/>
  <c r="AA225" i="2"/>
  <c r="AE642" i="2"/>
  <c r="AI642" i="2" s="1"/>
  <c r="AE514" i="2"/>
  <c r="AH514" i="2" s="1"/>
  <c r="AC514" i="2" s="1"/>
  <c r="AE482" i="2"/>
  <c r="AH482" i="2" s="1"/>
  <c r="AC482" i="2" s="1"/>
  <c r="AE354" i="2"/>
  <c r="AO354" i="2" s="1"/>
  <c r="AE210" i="2"/>
  <c r="AH210" i="2" s="1"/>
  <c r="AC210" i="2" s="1"/>
  <c r="AE162" i="2"/>
  <c r="AH162" i="2" s="1"/>
  <c r="AC162" i="2" s="1"/>
  <c r="AE130" i="2"/>
  <c r="AJ130" i="2" s="1"/>
  <c r="AE66" i="2"/>
  <c r="AI66" i="2" s="1"/>
  <c r="AE445" i="2"/>
  <c r="AO445" i="2" s="1"/>
  <c r="AE412" i="2"/>
  <c r="AI412" i="2" s="1"/>
  <c r="AE268" i="2"/>
  <c r="AJ268" i="2" s="1"/>
  <c r="AE577" i="2"/>
  <c r="AH577" i="2" s="1"/>
  <c r="AE529" i="2"/>
  <c r="AJ529" i="2" s="1"/>
  <c r="AE465" i="2"/>
  <c r="AH465" i="2" s="1"/>
  <c r="AC465" i="2" s="1"/>
  <c r="AE449" i="2"/>
  <c r="AI449" i="2" s="1"/>
  <c r="AE417" i="2"/>
  <c r="AE401" i="2"/>
  <c r="AH401" i="2" s="1"/>
  <c r="AC401" i="2" s="1"/>
  <c r="AE369" i="2"/>
  <c r="AJ369" i="2" s="1"/>
  <c r="AE353" i="2"/>
  <c r="AO353" i="2" s="1"/>
  <c r="AE289" i="2"/>
  <c r="AI289" i="2" s="1"/>
  <c r="AE273" i="2"/>
  <c r="AI273" i="2" s="1"/>
  <c r="AE257" i="2"/>
  <c r="AI257" i="2" s="1"/>
  <c r="AE193" i="2"/>
  <c r="AE161" i="2"/>
  <c r="AH161" i="2" s="1"/>
  <c r="AC161" i="2" s="1"/>
  <c r="AE145" i="2"/>
  <c r="AI145" i="2" s="1"/>
  <c r="AE97" i="2"/>
  <c r="AI97" i="2" s="1"/>
  <c r="AA194" i="2"/>
  <c r="AA111" i="2"/>
  <c r="AE640" i="2"/>
  <c r="AI640" i="2" s="1"/>
  <c r="AE592" i="2"/>
  <c r="AJ592" i="2" s="1"/>
  <c r="AE576" i="2"/>
  <c r="AJ576" i="2" s="1"/>
  <c r="AE528" i="2"/>
  <c r="AH528" i="2" s="1"/>
  <c r="AC528" i="2" s="1"/>
  <c r="AE496" i="2"/>
  <c r="AJ496" i="2" s="1"/>
  <c r="AE480" i="2"/>
  <c r="AI480" i="2" s="1"/>
  <c r="AE464" i="2"/>
  <c r="AI464" i="2" s="1"/>
  <c r="AE352" i="2"/>
  <c r="AH352" i="2" s="1"/>
  <c r="AC352" i="2" s="1"/>
  <c r="AE320" i="2"/>
  <c r="AH320" i="2" s="1"/>
  <c r="AC320" i="2" s="1"/>
  <c r="AE304" i="2"/>
  <c r="AO304" i="2" s="1"/>
  <c r="AE240" i="2"/>
  <c r="AJ240" i="2" s="1"/>
  <c r="AE224" i="2"/>
  <c r="AJ224" i="2" s="1"/>
  <c r="AE176" i="2"/>
  <c r="AE160" i="2"/>
  <c r="AH160" i="2" s="1"/>
  <c r="AC160" i="2" s="1"/>
  <c r="AE128" i="2"/>
  <c r="AE96" i="2"/>
  <c r="AH96" i="2" s="1"/>
  <c r="AA254" i="2"/>
  <c r="AA196" i="2"/>
  <c r="AA137" i="2"/>
  <c r="AE607" i="2"/>
  <c r="AE559" i="2"/>
  <c r="AJ559" i="2" s="1"/>
  <c r="AE495" i="2"/>
  <c r="AJ495" i="2" s="1"/>
  <c r="AE447" i="2"/>
  <c r="AJ447" i="2" s="1"/>
  <c r="AE415" i="2"/>
  <c r="AE351" i="2"/>
  <c r="AH351" i="2" s="1"/>
  <c r="AC351" i="2" s="1"/>
  <c r="AE335" i="2"/>
  <c r="AH335" i="2" s="1"/>
  <c r="AE271" i="2"/>
  <c r="AH271" i="2" s="1"/>
  <c r="AC271" i="2" s="1"/>
  <c r="AE239" i="2"/>
  <c r="AI239" i="2" s="1"/>
  <c r="AE191" i="2"/>
  <c r="AI191" i="2" s="1"/>
  <c r="AE127" i="2"/>
  <c r="AJ127" i="2" s="1"/>
  <c r="AE63" i="2"/>
  <c r="AO63" i="2" s="1"/>
  <c r="AE15" i="2"/>
  <c r="AJ15" i="2" s="1"/>
  <c r="AE227" i="2"/>
  <c r="AI227" i="2" s="1"/>
  <c r="AE530" i="2"/>
  <c r="AH530" i="2" s="1"/>
  <c r="AC530" i="2" s="1"/>
  <c r="AE274" i="2"/>
  <c r="AJ274" i="2" s="1"/>
  <c r="AE545" i="2"/>
  <c r="AH545" i="2" s="1"/>
  <c r="AC545" i="2" s="1"/>
  <c r="AE400" i="2"/>
  <c r="AE323" i="2"/>
  <c r="AO323" i="2" s="1"/>
  <c r="AE575" i="2"/>
  <c r="AJ575" i="2" s="1"/>
  <c r="AE463" i="2"/>
  <c r="AI463" i="2" s="1"/>
  <c r="AI649" i="2"/>
  <c r="AE578" i="2"/>
  <c r="AH578" i="2" s="1"/>
  <c r="AC578" i="2" s="1"/>
  <c r="AE494" i="2"/>
  <c r="AH494" i="2" s="1"/>
  <c r="AC494" i="2" s="1"/>
  <c r="AE254" i="2"/>
  <c r="AE174" i="2"/>
  <c r="AJ174" i="2" s="1"/>
  <c r="AE78" i="2"/>
  <c r="AO78" i="2" s="1"/>
  <c r="AE62" i="2"/>
  <c r="AJ62" i="2" s="1"/>
  <c r="AE461" i="2"/>
  <c r="AJ461" i="2" s="1"/>
  <c r="AE93" i="2"/>
  <c r="AJ93" i="2" s="1"/>
  <c r="AE540" i="2"/>
  <c r="AH540" i="2" s="1"/>
  <c r="AC540" i="2" s="1"/>
  <c r="AE444" i="2"/>
  <c r="AJ444" i="2" s="1"/>
  <c r="AE316" i="2"/>
  <c r="AO316" i="2" s="1"/>
  <c r="AE220" i="2"/>
  <c r="AH220" i="2" s="1"/>
  <c r="AE188" i="2"/>
  <c r="AJ188" i="2" s="1"/>
  <c r="AE60" i="2"/>
  <c r="AH60" i="2" s="1"/>
  <c r="AC60" i="2" s="1"/>
  <c r="AE338" i="2"/>
  <c r="AJ338" i="2" s="1"/>
  <c r="AE275" i="2"/>
  <c r="AH275" i="2" s="1"/>
  <c r="AC275" i="2" s="1"/>
  <c r="AE47" i="2"/>
  <c r="AH47" i="2" s="1"/>
  <c r="AE635" i="2"/>
  <c r="AH635" i="2" s="1"/>
  <c r="AC635" i="2" s="1"/>
  <c r="AE619" i="2"/>
  <c r="AO619" i="2" s="1"/>
  <c r="AE603" i="2"/>
  <c r="AO603" i="2" s="1"/>
  <c r="AE587" i="2"/>
  <c r="AH587" i="2" s="1"/>
  <c r="AE571" i="2"/>
  <c r="AH571" i="2" s="1"/>
  <c r="AC571" i="2" s="1"/>
  <c r="AE555" i="2"/>
  <c r="AO555" i="2" s="1"/>
  <c r="AE539" i="2"/>
  <c r="AO539" i="2" s="1"/>
  <c r="AE507" i="2"/>
  <c r="AI507" i="2" s="1"/>
  <c r="AE491" i="2"/>
  <c r="AH491" i="2" s="1"/>
  <c r="AC491" i="2" s="1"/>
  <c r="AE475" i="2"/>
  <c r="AE459" i="2"/>
  <c r="AE427" i="2"/>
  <c r="AJ427" i="2" s="1"/>
  <c r="AE411" i="2"/>
  <c r="AE395" i="2"/>
  <c r="AI395" i="2" s="1"/>
  <c r="AE379" i="2"/>
  <c r="AJ379" i="2" s="1"/>
  <c r="AE363" i="2"/>
  <c r="AH363" i="2" s="1"/>
  <c r="AC363" i="2" s="1"/>
  <c r="AE347" i="2"/>
  <c r="AO347" i="2" s="1"/>
  <c r="AE315" i="2"/>
  <c r="AE299" i="2"/>
  <c r="AJ299" i="2" s="1"/>
  <c r="AE283" i="2"/>
  <c r="AI283" i="2" s="1"/>
  <c r="AE235" i="2"/>
  <c r="AH235" i="2" s="1"/>
  <c r="AC235" i="2" s="1"/>
  <c r="AE219" i="2"/>
  <c r="AJ219" i="2" s="1"/>
  <c r="AE203" i="2"/>
  <c r="AJ203" i="2" s="1"/>
  <c r="AE171" i="2"/>
  <c r="AJ171" i="2" s="1"/>
  <c r="AE155" i="2"/>
  <c r="AH155" i="2" s="1"/>
  <c r="AC155" i="2" s="1"/>
  <c r="AE107" i="2"/>
  <c r="AI107" i="2" s="1"/>
  <c r="AE91" i="2"/>
  <c r="AJ91" i="2" s="1"/>
  <c r="AE75" i="2"/>
  <c r="AE43" i="2"/>
  <c r="AH43" i="2" s="1"/>
  <c r="AC43" i="2" s="1"/>
  <c r="AE27" i="2"/>
  <c r="AI27" i="2" s="1"/>
  <c r="AE11" i="2"/>
  <c r="AJ11" i="2" s="1"/>
  <c r="AE451" i="2"/>
  <c r="AO451" i="2" s="1"/>
  <c r="AE291" i="2"/>
  <c r="AH291" i="2" s="1"/>
  <c r="AE466" i="2"/>
  <c r="AI466" i="2" s="1"/>
  <c r="AE497" i="2"/>
  <c r="AO497" i="2" s="1"/>
  <c r="AE113" i="2"/>
  <c r="AO113" i="2" s="1"/>
  <c r="AE416" i="2"/>
  <c r="AI416" i="2" s="1"/>
  <c r="AE639" i="2"/>
  <c r="AJ639" i="2" s="1"/>
  <c r="AE383" i="2"/>
  <c r="AH383" i="2" s="1"/>
  <c r="AC383" i="2" s="1"/>
  <c r="AE31" i="2"/>
  <c r="AJ31" i="2" s="1"/>
  <c r="AE258" i="2"/>
  <c r="AJ258" i="2" s="1"/>
  <c r="AE606" i="2"/>
  <c r="AI606" i="2" s="1"/>
  <c r="AE446" i="2"/>
  <c r="AI446" i="2" s="1"/>
  <c r="AE366" i="2"/>
  <c r="AH366" i="2" s="1"/>
  <c r="AC366" i="2" s="1"/>
  <c r="AE270" i="2"/>
  <c r="AJ270" i="2" s="1"/>
  <c r="AE589" i="2"/>
  <c r="AE477" i="2"/>
  <c r="AE381" i="2"/>
  <c r="AH381" i="2" s="1"/>
  <c r="AC381" i="2" s="1"/>
  <c r="AE77" i="2"/>
  <c r="AH77" i="2" s="1"/>
  <c r="AC77" i="2" s="1"/>
  <c r="AE13" i="2"/>
  <c r="AJ13" i="2" s="1"/>
  <c r="AE588" i="2"/>
  <c r="AI588" i="2" s="1"/>
  <c r="AE492" i="2"/>
  <c r="AJ492" i="2" s="1"/>
  <c r="AA594" i="2"/>
  <c r="AE51" i="2"/>
  <c r="AH51" i="2" s="1"/>
  <c r="AE49" i="2"/>
  <c r="AH49" i="2" s="1"/>
  <c r="AE634" i="2"/>
  <c r="AI634" i="2" s="1"/>
  <c r="AE538" i="2"/>
  <c r="AH538" i="2" s="1"/>
  <c r="AC538" i="2" s="1"/>
  <c r="AE506" i="2"/>
  <c r="AI506" i="2" s="1"/>
  <c r="AE330" i="2"/>
  <c r="AO330" i="2" s="1"/>
  <c r="AE282" i="2"/>
  <c r="AE266" i="2"/>
  <c r="AE250" i="2"/>
  <c r="AH250" i="2" s="1"/>
  <c r="AC250" i="2" s="1"/>
  <c r="AE234" i="2"/>
  <c r="AE170" i="2"/>
  <c r="AH170" i="2" s="1"/>
  <c r="AC170" i="2" s="1"/>
  <c r="AE122" i="2"/>
  <c r="AJ122" i="2" s="1"/>
  <c r="AE74" i="2"/>
  <c r="AH74" i="2" s="1"/>
  <c r="AE58" i="2"/>
  <c r="AH58" i="2" s="1"/>
  <c r="AC58" i="2" s="1"/>
  <c r="AE10" i="2"/>
  <c r="AH10" i="2" s="1"/>
  <c r="AC10" i="2" s="1"/>
  <c r="AE337" i="2"/>
  <c r="AO337" i="2" s="1"/>
  <c r="AE241" i="2"/>
  <c r="AI241" i="2" s="1"/>
  <c r="AE33" i="2"/>
  <c r="AO33" i="2" s="1"/>
  <c r="AE483" i="2"/>
  <c r="AH483" i="2" s="1"/>
  <c r="AC483" i="2" s="1"/>
  <c r="AE163" i="2"/>
  <c r="AI163" i="2" s="1"/>
  <c r="AE80" i="2"/>
  <c r="AH80" i="2" s="1"/>
  <c r="AE159" i="2"/>
  <c r="AJ159" i="2" s="1"/>
  <c r="AE307" i="2"/>
  <c r="AI307" i="2" s="1"/>
  <c r="AE290" i="2"/>
  <c r="AE558" i="2"/>
  <c r="AH558" i="2" s="1"/>
  <c r="AC558" i="2" s="1"/>
  <c r="AE334" i="2"/>
  <c r="AH334" i="2" s="1"/>
  <c r="AC334" i="2" s="1"/>
  <c r="AE238" i="2"/>
  <c r="AI238" i="2" s="1"/>
  <c r="AE190" i="2"/>
  <c r="AI190" i="2" s="1"/>
  <c r="AE126" i="2"/>
  <c r="AE46" i="2"/>
  <c r="AI46" i="2" s="1"/>
  <c r="AE301" i="2"/>
  <c r="AI301" i="2" s="1"/>
  <c r="AE157" i="2"/>
  <c r="AH157" i="2" s="1"/>
  <c r="AC157" i="2" s="1"/>
  <c r="AE620" i="2"/>
  <c r="AI620" i="2" s="1"/>
  <c r="AE364" i="2"/>
  <c r="AJ364" i="2" s="1"/>
  <c r="AE236" i="2"/>
  <c r="AJ236" i="2" s="1"/>
  <c r="AJ649" i="2"/>
  <c r="AA561" i="2"/>
  <c r="AE513" i="2"/>
  <c r="AI513" i="2" s="1"/>
  <c r="AA264" i="2"/>
  <c r="AA162" i="2"/>
  <c r="AE553" i="2"/>
  <c r="AO553" i="2" s="1"/>
  <c r="AE521" i="2"/>
  <c r="AI521" i="2" s="1"/>
  <c r="AE345" i="2"/>
  <c r="AH345" i="2" s="1"/>
  <c r="AE297" i="2"/>
  <c r="AJ297" i="2" s="1"/>
  <c r="AE153" i="2"/>
  <c r="AJ153" i="2" s="1"/>
  <c r="AE105" i="2"/>
  <c r="AJ105" i="2" s="1"/>
  <c r="AE25" i="2"/>
  <c r="AH25" i="2" s="1"/>
  <c r="AC25" i="2" s="1"/>
  <c r="AK648" i="2"/>
  <c r="AL648" i="2" s="1"/>
  <c r="AE499" i="2"/>
  <c r="AH499" i="2" s="1"/>
  <c r="AC499" i="2" s="1"/>
  <c r="AE243" i="2"/>
  <c r="AI243" i="2" s="1"/>
  <c r="AE560" i="2"/>
  <c r="AJ560" i="2" s="1"/>
  <c r="AE272" i="2"/>
  <c r="AH272" i="2" s="1"/>
  <c r="AC272" i="2" s="1"/>
  <c r="AE431" i="2"/>
  <c r="AH431" i="2" s="1"/>
  <c r="AC431" i="2" s="1"/>
  <c r="AE303" i="2"/>
  <c r="AJ303" i="2" s="1"/>
  <c r="AE207" i="2"/>
  <c r="AJ207" i="2" s="1"/>
  <c r="AE111" i="2"/>
  <c r="AH111" i="2" s="1"/>
  <c r="AC111" i="2" s="1"/>
  <c r="AE510" i="2"/>
  <c r="AE621" i="2"/>
  <c r="AJ621" i="2" s="1"/>
  <c r="AE413" i="2"/>
  <c r="AE189" i="2"/>
  <c r="AO189" i="2" s="1"/>
  <c r="AE636" i="2"/>
  <c r="AI636" i="2" s="1"/>
  <c r="AE380" i="2"/>
  <c r="AA173" i="2"/>
  <c r="AE34" i="2"/>
  <c r="AH34" i="2" s="1"/>
  <c r="AE179" i="2"/>
  <c r="AO179" i="2" s="1"/>
  <c r="AE98" i="2"/>
  <c r="AJ98" i="2" s="1"/>
  <c r="AE641" i="2"/>
  <c r="AJ641" i="2" s="1"/>
  <c r="AE385" i="2"/>
  <c r="AI385" i="2" s="1"/>
  <c r="AE512" i="2"/>
  <c r="AE623" i="2"/>
  <c r="AE349" i="2"/>
  <c r="AI349" i="2" s="1"/>
  <c r="AE141" i="2"/>
  <c r="AI141" i="2" s="1"/>
  <c r="AE29" i="2"/>
  <c r="AJ29" i="2" s="1"/>
  <c r="AE332" i="2"/>
  <c r="AO332" i="2" s="1"/>
  <c r="AE252" i="2"/>
  <c r="AJ252" i="2" s="1"/>
  <c r="AE204" i="2"/>
  <c r="AJ204" i="2" s="1"/>
  <c r="AE124" i="2"/>
  <c r="AI124" i="2" s="1"/>
  <c r="AE44" i="2"/>
  <c r="AH44" i="2" s="1"/>
  <c r="AE626" i="2"/>
  <c r="AE306" i="2"/>
  <c r="AH648" i="2"/>
  <c r="AC648" i="2" s="1"/>
  <c r="AE211" i="2"/>
  <c r="AI211" i="2" s="1"/>
  <c r="AE48" i="2"/>
  <c r="AI48" i="2" s="1"/>
  <c r="AE305" i="2"/>
  <c r="AI305" i="2" s="1"/>
  <c r="AE14" i="2"/>
  <c r="AH14" i="2" s="1"/>
  <c r="AE429" i="2"/>
  <c r="AO429" i="2" s="1"/>
  <c r="AE317" i="2"/>
  <c r="AH317" i="2" s="1"/>
  <c r="AC317" i="2" s="1"/>
  <c r="AE205" i="2"/>
  <c r="AO205" i="2" s="1"/>
  <c r="AE109" i="2"/>
  <c r="AJ109" i="2" s="1"/>
  <c r="AE508" i="2"/>
  <c r="AJ508" i="2" s="1"/>
  <c r="AE284" i="2"/>
  <c r="AJ284" i="2" s="1"/>
  <c r="AA477" i="2"/>
  <c r="AA291" i="2"/>
  <c r="AA223" i="2"/>
  <c r="AA166" i="2"/>
  <c r="AI648" i="2"/>
  <c r="AK653" i="2"/>
  <c r="AL653" i="2" s="1"/>
  <c r="AA57" i="2"/>
  <c r="AE398" i="2"/>
  <c r="AI398" i="2" s="1"/>
  <c r="AE541" i="2"/>
  <c r="AH541" i="2" s="1"/>
  <c r="AC541" i="2" s="1"/>
  <c r="AE365" i="2"/>
  <c r="AH365" i="2" s="1"/>
  <c r="AC365" i="2" s="1"/>
  <c r="AE76" i="2"/>
  <c r="AH76" i="2" s="1"/>
  <c r="AE255" i="2"/>
  <c r="AE479" i="2"/>
  <c r="AI479" i="2" s="1"/>
  <c r="AE384" i="2"/>
  <c r="AN380" i="2"/>
  <c r="AA370" i="2"/>
  <c r="AE544" i="2"/>
  <c r="AH544" i="2" s="1"/>
  <c r="AC544" i="2" s="1"/>
  <c r="AE511" i="2"/>
  <c r="AI511" i="2" s="1"/>
  <c r="AN407" i="2"/>
  <c r="AN343" i="2"/>
  <c r="AA199" i="2"/>
  <c r="AE95" i="2"/>
  <c r="AJ95" i="2" s="1"/>
  <c r="AK656" i="2"/>
  <c r="AL656" i="2" s="1"/>
  <c r="AA562" i="2"/>
  <c r="AA350" i="2"/>
  <c r="AE288" i="2"/>
  <c r="AJ288" i="2" s="1"/>
  <c r="AA65" i="2"/>
  <c r="AE605" i="2"/>
  <c r="AO605" i="2" s="1"/>
  <c r="AE61" i="2"/>
  <c r="AI61" i="2" s="1"/>
  <c r="AE32" i="2"/>
  <c r="AJ32" i="2" s="1"/>
  <c r="AE572" i="2"/>
  <c r="AI572" i="2" s="1"/>
  <c r="AE348" i="2"/>
  <c r="AH348" i="2" s="1"/>
  <c r="AE443" i="2"/>
  <c r="AI443" i="2" s="1"/>
  <c r="AA102" i="2"/>
  <c r="AA600" i="2"/>
  <c r="AA548" i="2"/>
  <c r="AA407" i="2"/>
  <c r="AA392" i="2"/>
  <c r="AA319" i="2"/>
  <c r="AA310" i="2"/>
  <c r="AE144" i="2"/>
  <c r="AI144" i="2" s="1"/>
  <c r="AE543" i="2"/>
  <c r="AJ543" i="2" s="1"/>
  <c r="AE256" i="2"/>
  <c r="AH256" i="2" s="1"/>
  <c r="AC256" i="2" s="1"/>
  <c r="AE286" i="2"/>
  <c r="AE125" i="2"/>
  <c r="AH125" i="2" s="1"/>
  <c r="AC125" i="2" s="1"/>
  <c r="AE123" i="2"/>
  <c r="AJ123" i="2" s="1"/>
  <c r="AE368" i="2"/>
  <c r="AJ368" i="2" s="1"/>
  <c r="AE556" i="2"/>
  <c r="AI556" i="2" s="1"/>
  <c r="AA554" i="2"/>
  <c r="AA550" i="2"/>
  <c r="AE319" i="2"/>
  <c r="AH319" i="2" s="1"/>
  <c r="AC319" i="2" s="1"/>
  <c r="AA214" i="2"/>
  <c r="AN214" i="2"/>
  <c r="AN146" i="2"/>
  <c r="AE611" i="2"/>
  <c r="AH611" i="2" s="1"/>
  <c r="AC611" i="2" s="1"/>
  <c r="AE531" i="2"/>
  <c r="AI531" i="2" s="1"/>
  <c r="AE435" i="2"/>
  <c r="AO435" i="2" s="1"/>
  <c r="AE131" i="2"/>
  <c r="AH131" i="2" s="1"/>
  <c r="AC131" i="2" s="1"/>
  <c r="AE35" i="2"/>
  <c r="AH35" i="2" s="1"/>
  <c r="AE350" i="2"/>
  <c r="AO350" i="2" s="1"/>
  <c r="AE65" i="2"/>
  <c r="AI65" i="2" s="1"/>
  <c r="AA309" i="2"/>
  <c r="AN309" i="2"/>
  <c r="AE428" i="2"/>
  <c r="AJ428" i="2" s="1"/>
  <c r="AE28" i="2"/>
  <c r="AH28" i="2" s="1"/>
  <c r="AE139" i="2"/>
  <c r="AJ139" i="2" s="1"/>
  <c r="AE59" i="2"/>
  <c r="AO59" i="2" s="1"/>
  <c r="AE624" i="2"/>
  <c r="AI624" i="2" s="1"/>
  <c r="AA362" i="2"/>
  <c r="AE287" i="2"/>
  <c r="AA485" i="2"/>
  <c r="AE108" i="2"/>
  <c r="AO108" i="2" s="1"/>
  <c r="AE16" i="2"/>
  <c r="AH16" i="2" s="1"/>
  <c r="AE594" i="2"/>
  <c r="AE546" i="2"/>
  <c r="AI546" i="2" s="1"/>
  <c r="AE498" i="2"/>
  <c r="AO498" i="2" s="1"/>
  <c r="AE402" i="2"/>
  <c r="AH402" i="2" s="1"/>
  <c r="AE386" i="2"/>
  <c r="AH386" i="2" s="1"/>
  <c r="AE242" i="2"/>
  <c r="AI242" i="2" s="1"/>
  <c r="AE226" i="2"/>
  <c r="AJ226" i="2" s="1"/>
  <c r="AE178" i="2"/>
  <c r="AO178" i="2" s="1"/>
  <c r="AE146" i="2"/>
  <c r="AJ146" i="2" s="1"/>
  <c r="AE82" i="2"/>
  <c r="AO82" i="2" s="1"/>
  <c r="AE18" i="2"/>
  <c r="AH18" i="2" s="1"/>
  <c r="AA61" i="2"/>
  <c r="AE396" i="2"/>
  <c r="AI396" i="2" s="1"/>
  <c r="AE172" i="2"/>
  <c r="AJ172" i="2" s="1"/>
  <c r="AE187" i="2"/>
  <c r="AO187" i="2" s="1"/>
  <c r="AN378" i="2"/>
  <c r="AE476" i="2"/>
  <c r="AJ476" i="2" s="1"/>
  <c r="AN383" i="2"/>
  <c r="AE336" i="2"/>
  <c r="AH336" i="2" s="1"/>
  <c r="AC336" i="2" s="1"/>
  <c r="AA121" i="2"/>
  <c r="AE609" i="2"/>
  <c r="AI609" i="2" s="1"/>
  <c r="AE433" i="2"/>
  <c r="AI433" i="2" s="1"/>
  <c r="AE129" i="2"/>
  <c r="AH129" i="2" s="1"/>
  <c r="AC129" i="2" s="1"/>
  <c r="AE17" i="2"/>
  <c r="AH17" i="2" s="1"/>
  <c r="AC17" i="2" s="1"/>
  <c r="AE570" i="2"/>
  <c r="AE474" i="2"/>
  <c r="AI474" i="2" s="1"/>
  <c r="AE218" i="2"/>
  <c r="AJ218" i="2" s="1"/>
  <c r="AE154" i="2"/>
  <c r="AH154" i="2" s="1"/>
  <c r="AC154" i="2" s="1"/>
  <c r="AE608" i="2"/>
  <c r="AJ608" i="2" s="1"/>
  <c r="AE617" i="2"/>
  <c r="AE441" i="2"/>
  <c r="AI441" i="2" s="1"/>
  <c r="AA593" i="2"/>
  <c r="AA589" i="2"/>
  <c r="AA575" i="2"/>
  <c r="AN561" i="2"/>
  <c r="AA557" i="2"/>
  <c r="AA493" i="2"/>
  <c r="AE434" i="2"/>
  <c r="AH434" i="2" s="1"/>
  <c r="AC434" i="2" s="1"/>
  <c r="AA377" i="2"/>
  <c r="AA375" i="2"/>
  <c r="AA259" i="2"/>
  <c r="AA232" i="2"/>
  <c r="AA219" i="2"/>
  <c r="AN208" i="2"/>
  <c r="AE177" i="2"/>
  <c r="AJ177" i="2" s="1"/>
  <c r="AA143" i="2"/>
  <c r="AN128" i="2"/>
  <c r="AE112" i="2"/>
  <c r="AI112" i="2" s="1"/>
  <c r="AA70" i="2"/>
  <c r="AA21" i="2"/>
  <c r="AE600" i="2"/>
  <c r="AI600" i="2" s="1"/>
  <c r="AE584" i="2"/>
  <c r="AJ584" i="2" s="1"/>
  <c r="AE568" i="2"/>
  <c r="AI568" i="2" s="1"/>
  <c r="AE520" i="2"/>
  <c r="AI520" i="2" s="1"/>
  <c r="AE472" i="2"/>
  <c r="AJ472" i="2" s="1"/>
  <c r="AE408" i="2"/>
  <c r="AI408" i="2" s="1"/>
  <c r="AE376" i="2"/>
  <c r="AH376" i="2" s="1"/>
  <c r="AC376" i="2" s="1"/>
  <c r="AE360" i="2"/>
  <c r="AJ360" i="2" s="1"/>
  <c r="AE280" i="2"/>
  <c r="AE232" i="2"/>
  <c r="AE216" i="2"/>
  <c r="AJ216" i="2" s="1"/>
  <c r="AE168" i="2"/>
  <c r="AE152" i="2"/>
  <c r="AO152" i="2" s="1"/>
  <c r="AE136" i="2"/>
  <c r="AH136" i="2" s="1"/>
  <c r="AC136" i="2" s="1"/>
  <c r="AE88" i="2"/>
  <c r="AH88" i="2" s="1"/>
  <c r="AI650" i="2"/>
  <c r="AE602" i="2"/>
  <c r="AJ602" i="2" s="1"/>
  <c r="AE378" i="2"/>
  <c r="AI378" i="2" s="1"/>
  <c r="AE362" i="2"/>
  <c r="AI362" i="2" s="1"/>
  <c r="AE505" i="2"/>
  <c r="AJ505" i="2" s="1"/>
  <c r="AE57" i="2"/>
  <c r="AI57" i="2" s="1"/>
  <c r="AE467" i="2"/>
  <c r="AI467" i="2" s="1"/>
  <c r="AE192" i="2"/>
  <c r="AJ192" i="2" s="1"/>
  <c r="AE143" i="2"/>
  <c r="AI143" i="2" s="1"/>
  <c r="AE114" i="2"/>
  <c r="AI114" i="2" s="1"/>
  <c r="AE79" i="2"/>
  <c r="AJ79" i="2" s="1"/>
  <c r="AE50" i="2"/>
  <c r="AH50" i="2" s="1"/>
  <c r="AC50" i="2" s="1"/>
  <c r="AE615" i="2"/>
  <c r="AO615" i="2" s="1"/>
  <c r="AE535" i="2"/>
  <c r="AJ535" i="2" s="1"/>
  <c r="AE503" i="2"/>
  <c r="AJ503" i="2" s="1"/>
  <c r="AE455" i="2"/>
  <c r="AO455" i="2" s="1"/>
  <c r="AE439" i="2"/>
  <c r="AJ439" i="2" s="1"/>
  <c r="AE391" i="2"/>
  <c r="AJ391" i="2" s="1"/>
  <c r="AE343" i="2"/>
  <c r="AH343" i="2" s="1"/>
  <c r="AE327" i="2"/>
  <c r="AH327" i="2" s="1"/>
  <c r="AE295" i="2"/>
  <c r="AJ295" i="2" s="1"/>
  <c r="AE199" i="2"/>
  <c r="AO199" i="2" s="1"/>
  <c r="AE183" i="2"/>
  <c r="AE119" i="2"/>
  <c r="AH119" i="2" s="1"/>
  <c r="AE103" i="2"/>
  <c r="AI103" i="2" s="1"/>
  <c r="AE71" i="2"/>
  <c r="AO71" i="2" s="1"/>
  <c r="AE55" i="2"/>
  <c r="AH55" i="2" s="1"/>
  <c r="AE39" i="2"/>
  <c r="AO39" i="2" s="1"/>
  <c r="AE7" i="2"/>
  <c r="AJ7" i="2" s="1"/>
  <c r="AE586" i="2"/>
  <c r="AO586" i="2" s="1"/>
  <c r="AE522" i="2"/>
  <c r="AI522" i="2" s="1"/>
  <c r="AE138" i="2"/>
  <c r="AE457" i="2"/>
  <c r="AH457" i="2" s="1"/>
  <c r="AC457" i="2" s="1"/>
  <c r="AE329" i="2"/>
  <c r="AH329" i="2" s="1"/>
  <c r="AE185" i="2"/>
  <c r="AO185" i="2" s="1"/>
  <c r="AE89" i="2"/>
  <c r="AH89" i="2" s="1"/>
  <c r="AC89" i="2" s="1"/>
  <c r="AE41" i="2"/>
  <c r="AI41" i="2" s="1"/>
  <c r="AJ653" i="2"/>
  <c r="AE595" i="2"/>
  <c r="AH595" i="2" s="1"/>
  <c r="AE593" i="2"/>
  <c r="AI593" i="2" s="1"/>
  <c r="AA399" i="2"/>
  <c r="AE194" i="2"/>
  <c r="AH194" i="2" s="1"/>
  <c r="AC194" i="2" s="1"/>
  <c r="AA126" i="2"/>
  <c r="AA118" i="2"/>
  <c r="AA94" i="2"/>
  <c r="AE81" i="2"/>
  <c r="AE646" i="2"/>
  <c r="AH646" i="2" s="1"/>
  <c r="AC646" i="2" s="1"/>
  <c r="AE598" i="2"/>
  <c r="AI598" i="2" s="1"/>
  <c r="AE566" i="2"/>
  <c r="AH566" i="2" s="1"/>
  <c r="AC566" i="2" s="1"/>
  <c r="AE550" i="2"/>
  <c r="AH550" i="2" s="1"/>
  <c r="AC550" i="2" s="1"/>
  <c r="AE518" i="2"/>
  <c r="AJ518" i="2" s="1"/>
  <c r="AE358" i="2"/>
  <c r="AI358" i="2" s="1"/>
  <c r="AE278" i="2"/>
  <c r="AJ278" i="2" s="1"/>
  <c r="AE230" i="2"/>
  <c r="AJ230" i="2" s="1"/>
  <c r="AE166" i="2"/>
  <c r="AJ166" i="2" s="1"/>
  <c r="AE150" i="2"/>
  <c r="AJ150" i="2" s="1"/>
  <c r="AE134" i="2"/>
  <c r="AJ134" i="2" s="1"/>
  <c r="AE86" i="2"/>
  <c r="AI86" i="2" s="1"/>
  <c r="AE432" i="2"/>
  <c r="AH432" i="2" s="1"/>
  <c r="AC432" i="2" s="1"/>
  <c r="AE175" i="2"/>
  <c r="AE409" i="2"/>
  <c r="AJ409" i="2" s="1"/>
  <c r="AE201" i="2"/>
  <c r="AO201" i="2" s="1"/>
  <c r="AE121" i="2"/>
  <c r="AO121" i="2" s="1"/>
  <c r="AE73" i="2"/>
  <c r="AI73" i="2" s="1"/>
  <c r="AE9" i="2"/>
  <c r="AJ9" i="2" s="1"/>
  <c r="AK650" i="2"/>
  <c r="AL650" i="2" s="1"/>
  <c r="AE610" i="2"/>
  <c r="AI610" i="2" s="1"/>
  <c r="AE591" i="2"/>
  <c r="AJ591" i="2" s="1"/>
  <c r="AE525" i="2"/>
  <c r="AH525" i="2" s="1"/>
  <c r="AC525" i="2" s="1"/>
  <c r="AE83" i="2"/>
  <c r="AI83" i="2" s="1"/>
  <c r="AE613" i="2"/>
  <c r="AI613" i="2" s="1"/>
  <c r="AE533" i="2"/>
  <c r="AI533" i="2" s="1"/>
  <c r="AE501" i="2"/>
  <c r="AJ501" i="2" s="1"/>
  <c r="AE453" i="2"/>
  <c r="AE437" i="2"/>
  <c r="AE389" i="2"/>
  <c r="AI389" i="2" s="1"/>
  <c r="AE373" i="2"/>
  <c r="AI373" i="2" s="1"/>
  <c r="AE341" i="2"/>
  <c r="AH341" i="2" s="1"/>
  <c r="AE325" i="2"/>
  <c r="AH325" i="2" s="1"/>
  <c r="AE309" i="2"/>
  <c r="AE293" i="2"/>
  <c r="AJ293" i="2" s="1"/>
  <c r="AE261" i="2"/>
  <c r="AH261" i="2" s="1"/>
  <c r="AC261" i="2" s="1"/>
  <c r="AE245" i="2"/>
  <c r="AH245" i="2" s="1"/>
  <c r="AE197" i="2"/>
  <c r="AO197" i="2" s="1"/>
  <c r="AE181" i="2"/>
  <c r="AJ181" i="2" s="1"/>
  <c r="AE117" i="2"/>
  <c r="AJ117" i="2" s="1"/>
  <c r="AE101" i="2"/>
  <c r="AH101" i="2" s="1"/>
  <c r="AC101" i="2" s="1"/>
  <c r="AE69" i="2"/>
  <c r="AI69" i="2" s="1"/>
  <c r="AE53" i="2"/>
  <c r="AJ53" i="2" s="1"/>
  <c r="AE37" i="2"/>
  <c r="AE5" i="2"/>
  <c r="AE537" i="2"/>
  <c r="AH537" i="2" s="1"/>
  <c r="AC537" i="2" s="1"/>
  <c r="AE563" i="2"/>
  <c r="AI563" i="2" s="1"/>
  <c r="AE561" i="2"/>
  <c r="AE527" i="2"/>
  <c r="AH527" i="2" s="1"/>
  <c r="AC527" i="2" s="1"/>
  <c r="AE450" i="2"/>
  <c r="AO450" i="2" s="1"/>
  <c r="AE448" i="2"/>
  <c r="AH448" i="2" s="1"/>
  <c r="AC448" i="2" s="1"/>
  <c r="AE399" i="2"/>
  <c r="AJ399" i="2" s="1"/>
  <c r="AE367" i="2"/>
  <c r="AJ367" i="2" s="1"/>
  <c r="AA361" i="2"/>
  <c r="AE225" i="2"/>
  <c r="AJ225" i="2" s="1"/>
  <c r="AE223" i="2"/>
  <c r="AE208" i="2"/>
  <c r="AH208" i="2" s="1"/>
  <c r="AC208" i="2" s="1"/>
  <c r="AA172" i="2"/>
  <c r="AA138" i="2"/>
  <c r="AA132" i="2"/>
  <c r="AA74" i="2"/>
  <c r="AA37" i="2"/>
  <c r="AE644" i="2"/>
  <c r="AJ644" i="2" s="1"/>
  <c r="AE596" i="2"/>
  <c r="AE564" i="2"/>
  <c r="AI564" i="2" s="1"/>
  <c r="AE548" i="2"/>
  <c r="AI548" i="2" s="1"/>
  <c r="AE516" i="2"/>
  <c r="AI516" i="2" s="1"/>
  <c r="AE484" i="2"/>
  <c r="AI484" i="2" s="1"/>
  <c r="AE356" i="2"/>
  <c r="AJ356" i="2" s="1"/>
  <c r="AE276" i="2"/>
  <c r="AJ276" i="2" s="1"/>
  <c r="AE228" i="2"/>
  <c r="AJ228" i="2" s="1"/>
  <c r="AE164" i="2"/>
  <c r="AI164" i="2" s="1"/>
  <c r="AE148" i="2"/>
  <c r="AH148" i="2" s="1"/>
  <c r="AC148" i="2" s="1"/>
  <c r="AE132" i="2"/>
  <c r="AI132" i="2" s="1"/>
  <c r="AE100" i="2"/>
  <c r="AJ100" i="2" s="1"/>
  <c r="AE84" i="2"/>
  <c r="AJ84" i="2" s="1"/>
  <c r="AA616" i="2"/>
  <c r="AA28" i="2"/>
  <c r="AA135" i="2"/>
  <c r="AA318" i="2"/>
  <c r="AN318" i="2"/>
  <c r="AO318" i="2" s="1"/>
  <c r="AE426" i="2"/>
  <c r="AI426" i="2" s="1"/>
  <c r="AE346" i="2"/>
  <c r="AO346" i="2" s="1"/>
  <c r="AE298" i="2"/>
  <c r="AJ298" i="2" s="1"/>
  <c r="AE202" i="2"/>
  <c r="AH202" i="2" s="1"/>
  <c r="AC202" i="2" s="1"/>
  <c r="AE106" i="2"/>
  <c r="AH106" i="2" s="1"/>
  <c r="AC106" i="2" s="1"/>
  <c r="AE26" i="2"/>
  <c r="AI26" i="2" s="1"/>
  <c r="AE627" i="2"/>
  <c r="AH627" i="2" s="1"/>
  <c r="AC627" i="2" s="1"/>
  <c r="AA357" i="2"/>
  <c r="AA233" i="2"/>
  <c r="AA151" i="2"/>
  <c r="AN151" i="2"/>
  <c r="AE633" i="2"/>
  <c r="AO633" i="2" s="1"/>
  <c r="AE601" i="2"/>
  <c r="AH601" i="2" s="1"/>
  <c r="AC601" i="2" s="1"/>
  <c r="AE585" i="2"/>
  <c r="AO585" i="2" s="1"/>
  <c r="AE569" i="2"/>
  <c r="AO569" i="2" s="1"/>
  <c r="AE489" i="2"/>
  <c r="AE473" i="2"/>
  <c r="AH473" i="2" s="1"/>
  <c r="AC473" i="2" s="1"/>
  <c r="AE425" i="2"/>
  <c r="AI425" i="2" s="1"/>
  <c r="AE393" i="2"/>
  <c r="AH393" i="2" s="1"/>
  <c r="AC393" i="2" s="1"/>
  <c r="AE377" i="2"/>
  <c r="AJ377" i="2" s="1"/>
  <c r="AE361" i="2"/>
  <c r="AI361" i="2" s="1"/>
  <c r="AE313" i="2"/>
  <c r="AJ313" i="2" s="1"/>
  <c r="AE281" i="2"/>
  <c r="AH281" i="2" s="1"/>
  <c r="AC281" i="2" s="1"/>
  <c r="AE265" i="2"/>
  <c r="AH265" i="2" s="1"/>
  <c r="AC265" i="2" s="1"/>
  <c r="AE249" i="2"/>
  <c r="AE233" i="2"/>
  <c r="AO233" i="2" s="1"/>
  <c r="AE217" i="2"/>
  <c r="AH217" i="2" s="1"/>
  <c r="AC217" i="2" s="1"/>
  <c r="AE169" i="2"/>
  <c r="AO169" i="2" s="1"/>
  <c r="AE137" i="2"/>
  <c r="AO137" i="2" s="1"/>
  <c r="AE370" i="2"/>
  <c r="AI370" i="2" s="1"/>
  <c r="AN556" i="2"/>
  <c r="AA601" i="2"/>
  <c r="AA129" i="2"/>
  <c r="AA26" i="2"/>
  <c r="AE618" i="2"/>
  <c r="AI618" i="2" s="1"/>
  <c r="AE410" i="2"/>
  <c r="AH410" i="2" s="1"/>
  <c r="AE42" i="2"/>
  <c r="AJ42" i="2" s="1"/>
  <c r="AN580" i="2"/>
  <c r="AA580" i="2"/>
  <c r="AA322" i="2"/>
  <c r="AA320" i="2"/>
  <c r="AE632" i="2"/>
  <c r="AE616" i="2"/>
  <c r="AI616" i="2" s="1"/>
  <c r="AE552" i="2"/>
  <c r="AO552" i="2" s="1"/>
  <c r="AE536" i="2"/>
  <c r="AH536" i="2" s="1"/>
  <c r="AC536" i="2" s="1"/>
  <c r="AE504" i="2"/>
  <c r="AE488" i="2"/>
  <c r="AI488" i="2" s="1"/>
  <c r="AE456" i="2"/>
  <c r="AJ456" i="2" s="1"/>
  <c r="AE440" i="2"/>
  <c r="AH440" i="2" s="1"/>
  <c r="AC440" i="2" s="1"/>
  <c r="AE424" i="2"/>
  <c r="AI424" i="2" s="1"/>
  <c r="AE392" i="2"/>
  <c r="AI392" i="2" s="1"/>
  <c r="AE344" i="2"/>
  <c r="AH344" i="2" s="1"/>
  <c r="AC344" i="2" s="1"/>
  <c r="AE328" i="2"/>
  <c r="AH328" i="2" s="1"/>
  <c r="AC328" i="2" s="1"/>
  <c r="AE312" i="2"/>
  <c r="AJ312" i="2" s="1"/>
  <c r="AE296" i="2"/>
  <c r="AJ296" i="2" s="1"/>
  <c r="AE264" i="2"/>
  <c r="AI264" i="2" s="1"/>
  <c r="AE248" i="2"/>
  <c r="AH248" i="2" s="1"/>
  <c r="AE200" i="2"/>
  <c r="AJ200" i="2" s="1"/>
  <c r="AE184" i="2"/>
  <c r="AJ184" i="2" s="1"/>
  <c r="AE120" i="2"/>
  <c r="AJ120" i="2" s="1"/>
  <c r="AE104" i="2"/>
  <c r="AJ104" i="2" s="1"/>
  <c r="AE72" i="2"/>
  <c r="AJ72" i="2" s="1"/>
  <c r="AE56" i="2"/>
  <c r="AI56" i="2" s="1"/>
  <c r="AE40" i="2"/>
  <c r="AO40" i="2" s="1"/>
  <c r="AE24" i="2"/>
  <c r="AO24" i="2" s="1"/>
  <c r="AE8" i="2"/>
  <c r="AI8" i="2" s="1"/>
  <c r="AA346" i="2"/>
  <c r="AA556" i="2"/>
  <c r="AA390" i="2"/>
  <c r="AA599" i="2"/>
  <c r="AA583" i="2"/>
  <c r="AN607" i="2"/>
  <c r="AN573" i="2"/>
  <c r="AE490" i="2"/>
  <c r="AH490" i="2" s="1"/>
  <c r="AE394" i="2"/>
  <c r="AH394" i="2" s="1"/>
  <c r="AN381" i="2"/>
  <c r="AO381" i="2" s="1"/>
  <c r="AA324" i="2"/>
  <c r="AE647" i="2"/>
  <c r="AI647" i="2" s="1"/>
  <c r="AE631" i="2"/>
  <c r="AJ631" i="2" s="1"/>
  <c r="AE599" i="2"/>
  <c r="AO599" i="2" s="1"/>
  <c r="AE583" i="2"/>
  <c r="AO583" i="2" s="1"/>
  <c r="AE567" i="2"/>
  <c r="AO567" i="2" s="1"/>
  <c r="AE551" i="2"/>
  <c r="AE519" i="2"/>
  <c r="AI519" i="2" s="1"/>
  <c r="AE487" i="2"/>
  <c r="AJ487" i="2" s="1"/>
  <c r="AE471" i="2"/>
  <c r="AI471" i="2" s="1"/>
  <c r="AE423" i="2"/>
  <c r="AJ423" i="2" s="1"/>
  <c r="AE407" i="2"/>
  <c r="AI407" i="2" s="1"/>
  <c r="AE375" i="2"/>
  <c r="AJ375" i="2" s="1"/>
  <c r="AE359" i="2"/>
  <c r="AH359" i="2" s="1"/>
  <c r="AC359" i="2" s="1"/>
  <c r="AE311" i="2"/>
  <c r="AJ311" i="2" s="1"/>
  <c r="AE279" i="2"/>
  <c r="AH279" i="2" s="1"/>
  <c r="AC279" i="2" s="1"/>
  <c r="AE263" i="2"/>
  <c r="AJ263" i="2" s="1"/>
  <c r="AE247" i="2"/>
  <c r="AJ247" i="2" s="1"/>
  <c r="AE231" i="2"/>
  <c r="AI231" i="2" s="1"/>
  <c r="AE215" i="2"/>
  <c r="AH215" i="2" s="1"/>
  <c r="AC215" i="2" s="1"/>
  <c r="AE167" i="2"/>
  <c r="AH167" i="2" s="1"/>
  <c r="AC167" i="2" s="1"/>
  <c r="AE151" i="2"/>
  <c r="AJ151" i="2" s="1"/>
  <c r="AE135" i="2"/>
  <c r="AH135" i="2" s="1"/>
  <c r="AE87" i="2"/>
  <c r="AJ87" i="2" s="1"/>
  <c r="AE23" i="2"/>
  <c r="AH23" i="2" s="1"/>
  <c r="AC23" i="2" s="1"/>
  <c r="AN558" i="2"/>
  <c r="AA631" i="2"/>
  <c r="AN631" i="2"/>
  <c r="AA620" i="2"/>
  <c r="AE64" i="2"/>
  <c r="AI64" i="2" s="1"/>
  <c r="AA571" i="2"/>
  <c r="AE442" i="2"/>
  <c r="AJ442" i="2" s="1"/>
  <c r="AE314" i="2"/>
  <c r="AI314" i="2" s="1"/>
  <c r="AO570" i="2"/>
  <c r="AN551" i="2"/>
  <c r="AA381" i="2"/>
  <c r="AN379" i="2"/>
  <c r="AO114" i="2"/>
  <c r="AE630" i="2"/>
  <c r="AE614" i="2"/>
  <c r="AI614" i="2" s="1"/>
  <c r="AE582" i="2"/>
  <c r="AJ582" i="2" s="1"/>
  <c r="AE534" i="2"/>
  <c r="AH534" i="2" s="1"/>
  <c r="AC534" i="2" s="1"/>
  <c r="AE502" i="2"/>
  <c r="AH502" i="2" s="1"/>
  <c r="AC502" i="2" s="1"/>
  <c r="AE486" i="2"/>
  <c r="AJ486" i="2" s="1"/>
  <c r="AE470" i="2"/>
  <c r="AH470" i="2" s="1"/>
  <c r="AC470" i="2" s="1"/>
  <c r="AE454" i="2"/>
  <c r="AI454" i="2" s="1"/>
  <c r="AE438" i="2"/>
  <c r="AI438" i="2" s="1"/>
  <c r="AE422" i="2"/>
  <c r="AH422" i="2" s="1"/>
  <c r="AC422" i="2" s="1"/>
  <c r="AE406" i="2"/>
  <c r="AH406" i="2" s="1"/>
  <c r="AC406" i="2" s="1"/>
  <c r="AE390" i="2"/>
  <c r="AE374" i="2"/>
  <c r="AH374" i="2" s="1"/>
  <c r="AC374" i="2" s="1"/>
  <c r="AE342" i="2"/>
  <c r="AH342" i="2" s="1"/>
  <c r="AC342" i="2" s="1"/>
  <c r="AE326" i="2"/>
  <c r="AI326" i="2" s="1"/>
  <c r="AE310" i="2"/>
  <c r="AH310" i="2" s="1"/>
  <c r="AC310" i="2" s="1"/>
  <c r="AE294" i="2"/>
  <c r="AJ294" i="2" s="1"/>
  <c r="AE262" i="2"/>
  <c r="AJ262" i="2" s="1"/>
  <c r="AE246" i="2"/>
  <c r="AJ246" i="2" s="1"/>
  <c r="AE214" i="2"/>
  <c r="AI214" i="2" s="1"/>
  <c r="AE198" i="2"/>
  <c r="AH198" i="2" s="1"/>
  <c r="AC198" i="2" s="1"/>
  <c r="AE182" i="2"/>
  <c r="AI182" i="2" s="1"/>
  <c r="AE118" i="2"/>
  <c r="AI118" i="2" s="1"/>
  <c r="AE102" i="2"/>
  <c r="AJ102" i="2" s="1"/>
  <c r="AE70" i="2"/>
  <c r="AO70" i="2" s="1"/>
  <c r="AE54" i="2"/>
  <c r="AI54" i="2" s="1"/>
  <c r="AE38" i="2"/>
  <c r="AJ38" i="2" s="1"/>
  <c r="AE22" i="2"/>
  <c r="AJ22" i="2" s="1"/>
  <c r="AE6" i="2"/>
  <c r="AI6" i="2" s="1"/>
  <c r="AI660" i="2"/>
  <c r="AN560" i="2"/>
  <c r="AA560" i="2"/>
  <c r="AA388" i="2"/>
  <c r="AN398" i="2"/>
  <c r="AO398" i="2" s="1"/>
  <c r="AA605" i="2"/>
  <c r="AA475" i="2"/>
  <c r="AN475" i="2"/>
  <c r="AA312" i="2"/>
  <c r="AN312" i="2"/>
  <c r="AA607" i="2"/>
  <c r="AN367" i="2"/>
  <c r="AA367" i="2"/>
  <c r="AI653" i="2"/>
  <c r="AH653" i="2"/>
  <c r="AC653" i="2" s="1"/>
  <c r="AE554" i="2"/>
  <c r="AO554" i="2" s="1"/>
  <c r="AE458" i="2"/>
  <c r="AH458" i="2" s="1"/>
  <c r="AC458" i="2" s="1"/>
  <c r="AE186" i="2"/>
  <c r="AI186" i="2" s="1"/>
  <c r="AE90" i="2"/>
  <c r="AI90" i="2" s="1"/>
  <c r="AN578" i="2"/>
  <c r="AA634" i="2"/>
  <c r="AA608" i="2"/>
  <c r="AA606" i="2"/>
  <c r="AA574" i="2"/>
  <c r="AA379" i="2"/>
  <c r="AA311" i="2"/>
  <c r="AA159" i="2"/>
  <c r="AA155" i="2"/>
  <c r="AA124" i="2"/>
  <c r="AN124" i="2"/>
  <c r="AA122" i="2"/>
  <c r="AA106" i="2"/>
  <c r="AE645" i="2"/>
  <c r="AJ645" i="2" s="1"/>
  <c r="AE629" i="2"/>
  <c r="AJ629" i="2" s="1"/>
  <c r="AE597" i="2"/>
  <c r="AI597" i="2" s="1"/>
  <c r="AE581" i="2"/>
  <c r="AH581" i="2" s="1"/>
  <c r="AE565" i="2"/>
  <c r="AO565" i="2" s="1"/>
  <c r="AE549" i="2"/>
  <c r="AH549" i="2" s="1"/>
  <c r="AC549" i="2" s="1"/>
  <c r="AE517" i="2"/>
  <c r="AJ517" i="2" s="1"/>
  <c r="AE485" i="2"/>
  <c r="AH485" i="2" s="1"/>
  <c r="AC485" i="2" s="1"/>
  <c r="AE469" i="2"/>
  <c r="AH469" i="2" s="1"/>
  <c r="AC469" i="2" s="1"/>
  <c r="AE421" i="2"/>
  <c r="AE405" i="2"/>
  <c r="AI405" i="2" s="1"/>
  <c r="AE357" i="2"/>
  <c r="AJ357" i="2" s="1"/>
  <c r="AE277" i="2"/>
  <c r="AH277" i="2" s="1"/>
  <c r="AE229" i="2"/>
  <c r="AJ229" i="2" s="1"/>
  <c r="AE213" i="2"/>
  <c r="AI213" i="2" s="1"/>
  <c r="AE165" i="2"/>
  <c r="AJ165" i="2" s="1"/>
  <c r="AE149" i="2"/>
  <c r="AH149" i="2" s="1"/>
  <c r="AC149" i="2" s="1"/>
  <c r="AE133" i="2"/>
  <c r="AJ133" i="2" s="1"/>
  <c r="AE85" i="2"/>
  <c r="AJ85" i="2" s="1"/>
  <c r="AE21" i="2"/>
  <c r="AJ21" i="2" s="1"/>
  <c r="AE562" i="2"/>
  <c r="AJ562" i="2" s="1"/>
  <c r="AA603" i="2"/>
  <c r="AA647" i="2"/>
  <c r="AA610" i="2"/>
  <c r="AA489" i="2"/>
  <c r="AN390" i="2"/>
  <c r="AN384" i="2"/>
  <c r="AA368" i="2"/>
  <c r="AE628" i="2"/>
  <c r="AJ628" i="2" s="1"/>
  <c r="AE612" i="2"/>
  <c r="AO612" i="2" s="1"/>
  <c r="AE580" i="2"/>
  <c r="AH580" i="2" s="1"/>
  <c r="AC580" i="2" s="1"/>
  <c r="AE532" i="2"/>
  <c r="AO532" i="2" s="1"/>
  <c r="AE500" i="2"/>
  <c r="AH500" i="2" s="1"/>
  <c r="AC500" i="2" s="1"/>
  <c r="AE468" i="2"/>
  <c r="AJ468" i="2" s="1"/>
  <c r="AE452" i="2"/>
  <c r="AI452" i="2" s="1"/>
  <c r="AE436" i="2"/>
  <c r="AJ436" i="2" s="1"/>
  <c r="AE420" i="2"/>
  <c r="AJ420" i="2" s="1"/>
  <c r="AE404" i="2"/>
  <c r="AI404" i="2" s="1"/>
  <c r="AE388" i="2"/>
  <c r="AJ388" i="2" s="1"/>
  <c r="AE372" i="2"/>
  <c r="AH372" i="2" s="1"/>
  <c r="AC372" i="2" s="1"/>
  <c r="AE340" i="2"/>
  <c r="AI340" i="2" s="1"/>
  <c r="AE324" i="2"/>
  <c r="AH324" i="2" s="1"/>
  <c r="AC324" i="2" s="1"/>
  <c r="AE308" i="2"/>
  <c r="AI308" i="2" s="1"/>
  <c r="AE292" i="2"/>
  <c r="AJ292" i="2" s="1"/>
  <c r="AE260" i="2"/>
  <c r="AH260" i="2" s="1"/>
  <c r="AC260" i="2" s="1"/>
  <c r="AE244" i="2"/>
  <c r="AI244" i="2" s="1"/>
  <c r="AE212" i="2"/>
  <c r="AH212" i="2" s="1"/>
  <c r="AC212" i="2" s="1"/>
  <c r="AE196" i="2"/>
  <c r="AO196" i="2" s="1"/>
  <c r="AE180" i="2"/>
  <c r="AJ180" i="2" s="1"/>
  <c r="AE116" i="2"/>
  <c r="AI116" i="2" s="1"/>
  <c r="AE68" i="2"/>
  <c r="AI68" i="2" s="1"/>
  <c r="AE52" i="2"/>
  <c r="AH52" i="2" s="1"/>
  <c r="AC52" i="2" s="1"/>
  <c r="AE36" i="2"/>
  <c r="AH36" i="2" s="1"/>
  <c r="AE20" i="2"/>
  <c r="AJ20" i="2" s="1"/>
  <c r="AE4" i="2"/>
  <c r="AJ4" i="2" s="1"/>
  <c r="AA642" i="2"/>
  <c r="AN623" i="2"/>
  <c r="AA266" i="2"/>
  <c r="AA183" i="2"/>
  <c r="AA152" i="2"/>
  <c r="AN609" i="2"/>
  <c r="AN232" i="2"/>
  <c r="AN142" i="2"/>
  <c r="AN126" i="2"/>
  <c r="AN31" i="2"/>
  <c r="AJ650" i="2"/>
  <c r="AA646" i="2"/>
  <c r="AA621" i="2"/>
  <c r="AA619" i="2"/>
  <c r="AA592" i="2"/>
  <c r="AA590" i="2"/>
  <c r="AA371" i="2"/>
  <c r="AA252" i="2"/>
  <c r="AA203" i="2"/>
  <c r="AA119" i="2"/>
  <c r="AA73" i="2"/>
  <c r="AA53" i="2"/>
  <c r="AA613" i="2"/>
  <c r="AA611" i="2"/>
  <c r="AA261" i="2"/>
  <c r="AH649" i="2"/>
  <c r="AC649" i="2" s="1"/>
  <c r="AA408" i="2"/>
  <c r="AA263" i="2"/>
  <c r="AA236" i="2"/>
  <c r="AA27" i="2"/>
  <c r="AH654" i="2"/>
  <c r="AC654" i="2" s="1"/>
  <c r="AK654" i="2"/>
  <c r="AL654" i="2" s="1"/>
  <c r="AI656" i="2"/>
  <c r="AJ654" i="2"/>
  <c r="AH656" i="2"/>
  <c r="AC656" i="2" s="1"/>
  <c r="AJ652" i="2"/>
  <c r="AI652" i="2"/>
  <c r="AH652" i="2"/>
  <c r="AC652" i="2" s="1"/>
  <c r="AH651" i="2"/>
  <c r="AC651" i="2" s="1"/>
  <c r="AK651" i="2"/>
  <c r="AL651" i="2" s="1"/>
  <c r="AJ651" i="2"/>
  <c r="AJ660" i="2"/>
  <c r="AK660" i="2"/>
  <c r="AL660" i="2" s="1"/>
  <c r="AH659" i="2"/>
  <c r="AC659" i="2" s="1"/>
  <c r="AI659" i="2"/>
  <c r="AJ659" i="2"/>
  <c r="AK659" i="2"/>
  <c r="AL659" i="2" s="1"/>
  <c r="AH655" i="2"/>
  <c r="AC655" i="2" s="1"/>
  <c r="AI655" i="2"/>
  <c r="AJ655" i="2"/>
  <c r="AK655" i="2"/>
  <c r="AL655" i="2" s="1"/>
  <c r="AA88" i="2"/>
  <c r="AA330" i="2"/>
  <c r="AO635" i="2"/>
  <c r="AA363" i="2"/>
  <c r="AA356" i="2"/>
  <c r="AA637" i="2"/>
  <c r="AA376" i="2"/>
  <c r="AA354" i="2"/>
  <c r="AN291" i="2"/>
  <c r="AO291" i="2" s="1"/>
  <c r="AN289" i="2"/>
  <c r="AN287" i="2"/>
  <c r="AN279" i="2"/>
  <c r="AN183" i="2"/>
  <c r="AA147" i="2"/>
  <c r="AN139" i="2"/>
  <c r="AA69" i="2"/>
  <c r="AN8" i="2"/>
  <c r="AA615" i="2"/>
  <c r="AA347" i="2"/>
  <c r="AA582" i="2"/>
  <c r="AO637" i="2"/>
  <c r="AA633" i="2"/>
  <c r="AA396" i="2"/>
  <c r="AA345" i="2"/>
  <c r="AA50" i="2"/>
  <c r="AO645" i="2"/>
  <c r="AO643" i="2"/>
  <c r="AA641" i="2"/>
  <c r="AN590" i="2"/>
  <c r="AN477" i="2"/>
  <c r="AA187" i="2"/>
  <c r="AA42" i="2"/>
  <c r="AA32" i="2"/>
  <c r="AA76" i="2"/>
  <c r="AA90" i="2"/>
  <c r="AA86" i="2"/>
  <c r="AA82" i="2"/>
  <c r="AA78" i="2"/>
  <c r="AA353" i="2"/>
  <c r="AA114" i="2"/>
  <c r="AA629" i="2"/>
  <c r="AA48" i="2"/>
  <c r="AN588" i="2"/>
  <c r="AA578" i="2"/>
  <c r="AN559" i="2"/>
  <c r="AN493" i="2"/>
  <c r="AO493" i="2" s="1"/>
  <c r="AN491" i="2"/>
  <c r="AN489" i="2"/>
  <c r="AN485" i="2"/>
  <c r="AO485" i="2" s="1"/>
  <c r="AN225" i="2"/>
  <c r="AN122" i="2"/>
  <c r="AA115" i="2"/>
  <c r="AN6" i="2"/>
  <c r="AA96" i="2"/>
  <c r="AA595" i="2"/>
  <c r="AA184" i="2"/>
  <c r="AA176" i="2"/>
  <c r="AA105" i="2"/>
  <c r="AA338" i="2"/>
  <c r="AA555" i="2"/>
  <c r="AA123" i="2"/>
  <c r="AA625" i="2"/>
  <c r="AN166" i="2"/>
  <c r="AN111" i="2"/>
  <c r="AN4" i="2"/>
  <c r="AA344" i="2"/>
  <c r="AA98" i="2"/>
  <c r="AA107" i="2"/>
  <c r="AA84" i="2"/>
  <c r="AA404" i="2"/>
  <c r="AA178" i="2"/>
  <c r="AA328" i="2"/>
  <c r="AN597" i="2"/>
  <c r="AA614" i="2"/>
  <c r="AA549" i="2"/>
  <c r="AN416" i="2"/>
  <c r="AA364" i="2"/>
  <c r="AA359" i="2"/>
  <c r="AA348" i="2"/>
  <c r="AA316" i="2"/>
  <c r="AA195" i="2"/>
  <c r="AA191" i="2"/>
  <c r="AA150" i="2"/>
  <c r="AN107" i="2"/>
  <c r="AA104" i="2"/>
  <c r="AA55" i="2"/>
  <c r="AA18" i="2"/>
  <c r="AA16" i="2"/>
  <c r="AA14" i="2"/>
  <c r="AA12" i="2"/>
  <c r="AA10" i="2"/>
  <c r="AA597" i="2"/>
  <c r="AA231" i="2"/>
  <c r="AA581" i="2"/>
  <c r="AA80" i="2"/>
  <c r="AA586" i="2"/>
  <c r="AA340" i="2"/>
  <c r="AA579" i="2"/>
  <c r="AA567" i="2"/>
  <c r="AA351" i="2"/>
  <c r="AA334" i="2"/>
  <c r="AA188" i="2"/>
  <c r="AA365" i="2"/>
  <c r="AA332" i="2"/>
  <c r="AA192" i="2"/>
  <c r="AO627" i="2"/>
  <c r="AA103" i="2"/>
  <c r="AA112" i="2"/>
  <c r="AA52" i="2"/>
  <c r="AA564" i="2"/>
  <c r="AN404" i="2"/>
  <c r="AN400" i="2"/>
  <c r="AN204" i="2"/>
  <c r="AN43" i="2"/>
  <c r="AA568" i="2"/>
  <c r="AA349" i="2"/>
  <c r="AA644" i="2"/>
  <c r="AA636" i="2"/>
  <c r="AA628" i="2"/>
  <c r="AA596" i="2"/>
  <c r="AA374" i="2"/>
  <c r="AA352" i="2"/>
  <c r="AA336" i="2"/>
  <c r="AA317" i="2"/>
  <c r="AA570" i="2"/>
  <c r="AA326" i="2"/>
  <c r="AA355" i="2"/>
  <c r="AA120" i="2"/>
  <c r="AA342" i="2"/>
  <c r="AA372" i="2"/>
  <c r="AA640" i="2"/>
  <c r="AA632" i="2"/>
  <c r="AA624" i="2"/>
  <c r="AA618" i="2"/>
  <c r="AA566" i="2"/>
  <c r="AA552" i="2"/>
  <c r="AA479" i="2"/>
  <c r="AA411" i="2"/>
  <c r="AA405" i="2"/>
  <c r="AA230" i="2"/>
  <c r="AA163" i="2"/>
  <c r="AA366" i="2"/>
  <c r="AA315" i="2"/>
  <c r="AA281" i="2"/>
  <c r="AA41" i="2"/>
  <c r="AA20" i="2"/>
  <c r="AA483" i="2"/>
  <c r="AA473" i="2"/>
  <c r="AA389" i="2"/>
  <c r="AA308" i="2"/>
  <c r="AA221" i="2"/>
  <c r="AA220" i="2"/>
  <c r="AA190" i="2"/>
  <c r="AA167" i="2"/>
  <c r="AA108" i="2"/>
  <c r="AA54" i="2"/>
  <c r="AA487" i="2"/>
  <c r="AA403" i="2"/>
  <c r="AA101" i="2"/>
  <c r="AA481" i="2"/>
  <c r="AA397" i="2"/>
  <c r="AA387" i="2"/>
  <c r="AA307" i="2"/>
  <c r="AA285" i="2"/>
  <c r="AA186" i="2"/>
  <c r="AA133" i="2"/>
  <c r="AA30" i="2"/>
  <c r="AA273" i="2"/>
  <c r="AA33" i="2"/>
  <c r="AA29" i="2"/>
  <c r="AA241" i="2"/>
  <c r="AA240" i="2"/>
  <c r="AA224" i="2"/>
  <c r="AA218" i="2"/>
  <c r="AA212" i="2"/>
  <c r="AA165" i="2"/>
  <c r="AA154" i="2"/>
  <c r="AA125" i="2"/>
  <c r="AA24" i="2"/>
  <c r="AA210" i="2"/>
  <c r="AA161" i="2"/>
  <c r="AA157" i="2"/>
  <c r="AA134" i="2"/>
  <c r="AA39" i="2"/>
  <c r="AA23" i="2"/>
  <c r="AA277" i="2"/>
  <c r="AA234" i="2"/>
  <c r="AA206" i="2"/>
  <c r="AA131" i="2"/>
  <c r="AA127" i="2"/>
  <c r="AA251" i="2"/>
  <c r="AA250" i="2"/>
  <c r="AA249" i="2"/>
  <c r="AA248" i="2"/>
  <c r="AA247" i="2"/>
  <c r="AA246" i="2"/>
  <c r="AA245" i="2"/>
  <c r="AA244" i="2"/>
  <c r="AA243" i="2"/>
  <c r="AA226" i="2"/>
  <c r="AA222" i="2"/>
  <c r="AA216" i="2"/>
  <c r="AA156" i="2"/>
  <c r="AA130" i="2"/>
  <c r="AA46" i="2"/>
  <c r="AN610" i="2"/>
  <c r="AN589" i="2"/>
  <c r="AN646" i="2"/>
  <c r="AN642" i="2"/>
  <c r="AN638" i="2"/>
  <c r="AN636" i="2"/>
  <c r="AN634" i="2"/>
  <c r="AN632" i="2"/>
  <c r="AN628" i="2"/>
  <c r="AN626" i="2"/>
  <c r="AN624" i="2"/>
  <c r="AO624" i="2" s="1"/>
  <c r="AN622" i="2"/>
  <c r="AN613" i="2"/>
  <c r="AO613" i="2" s="1"/>
  <c r="AN644" i="2"/>
  <c r="AN640" i="2"/>
  <c r="AN630" i="2"/>
  <c r="AN606" i="2"/>
  <c r="AN598" i="2"/>
  <c r="AA584" i="2"/>
  <c r="AN618" i="2"/>
  <c r="AN604" i="2"/>
  <c r="AO604" i="2" s="1"/>
  <c r="AN596" i="2"/>
  <c r="AN621" i="2"/>
  <c r="AN602" i="2"/>
  <c r="AN594" i="2"/>
  <c r="AA576" i="2"/>
  <c r="AA572" i="2"/>
  <c r="AA544" i="2"/>
  <c r="AA536" i="2"/>
  <c r="AA528" i="2"/>
  <c r="AA505" i="2"/>
  <c r="AA497" i="2"/>
  <c r="AA467" i="2"/>
  <c r="AN467" i="2"/>
  <c r="AA543" i="2"/>
  <c r="AA535" i="2"/>
  <c r="AA527" i="2"/>
  <c r="AA524" i="2"/>
  <c r="AA520" i="2"/>
  <c r="AA516" i="2"/>
  <c r="AA512" i="2"/>
  <c r="AA508" i="2"/>
  <c r="AA502" i="2"/>
  <c r="AA494" i="2"/>
  <c r="AN490" i="2"/>
  <c r="AA490" i="2"/>
  <c r="AN486" i="2"/>
  <c r="AA486" i="2"/>
  <c r="AN482" i="2"/>
  <c r="AA482" i="2"/>
  <c r="AN478" i="2"/>
  <c r="AA478" i="2"/>
  <c r="AN474" i="2"/>
  <c r="AA474" i="2"/>
  <c r="AA542" i="2"/>
  <c r="AA534" i="2"/>
  <c r="AA526" i="2"/>
  <c r="AN524" i="2"/>
  <c r="AN520" i="2"/>
  <c r="AN516" i="2"/>
  <c r="AN512" i="2"/>
  <c r="AN508" i="2"/>
  <c r="AA499" i="2"/>
  <c r="AA459" i="2"/>
  <c r="AN459" i="2"/>
  <c r="AA541" i="2"/>
  <c r="AA533" i="2"/>
  <c r="AA525" i="2"/>
  <c r="AA521" i="2"/>
  <c r="AA517" i="2"/>
  <c r="AA513" i="2"/>
  <c r="AA509" i="2"/>
  <c r="AA506" i="2"/>
  <c r="AA504" i="2"/>
  <c r="AA496" i="2"/>
  <c r="AA540" i="2"/>
  <c r="AA532" i="2"/>
  <c r="AN521" i="2"/>
  <c r="AN517" i="2"/>
  <c r="AN513" i="2"/>
  <c r="AN509" i="2"/>
  <c r="AA501" i="2"/>
  <c r="AA547" i="2"/>
  <c r="AA539" i="2"/>
  <c r="AA531" i="2"/>
  <c r="AA522" i="2"/>
  <c r="AA518" i="2"/>
  <c r="AA514" i="2"/>
  <c r="AA510" i="2"/>
  <c r="AN502" i="2"/>
  <c r="AA498" i="2"/>
  <c r="AN494" i="2"/>
  <c r="AO494" i="2" s="1"/>
  <c r="AN492" i="2"/>
  <c r="AA492" i="2"/>
  <c r="AN488" i="2"/>
  <c r="AA488" i="2"/>
  <c r="AN484" i="2"/>
  <c r="AA484" i="2"/>
  <c r="AN480" i="2"/>
  <c r="AA480" i="2"/>
  <c r="AN476" i="2"/>
  <c r="AA476" i="2"/>
  <c r="AA546" i="2"/>
  <c r="AN544" i="2"/>
  <c r="AA538" i="2"/>
  <c r="AN536" i="2"/>
  <c r="AA530" i="2"/>
  <c r="AN528" i="2"/>
  <c r="AO528" i="2" s="1"/>
  <c r="AN522" i="2"/>
  <c r="AN518" i="2"/>
  <c r="AN514" i="2"/>
  <c r="AN510" i="2"/>
  <c r="AN506" i="2"/>
  <c r="AA503" i="2"/>
  <c r="AN499" i="2"/>
  <c r="AA495" i="2"/>
  <c r="AA545" i="2"/>
  <c r="AA537" i="2"/>
  <c r="AA529" i="2"/>
  <c r="AA523" i="2"/>
  <c r="AA519" i="2"/>
  <c r="AA515" i="2"/>
  <c r="AO515" i="2"/>
  <c r="AA511" i="2"/>
  <c r="AA507" i="2"/>
  <c r="AN504" i="2"/>
  <c r="AA500" i="2"/>
  <c r="AN496" i="2"/>
  <c r="AA468" i="2"/>
  <c r="AA460" i="2"/>
  <c r="AA452" i="2"/>
  <c r="AA444" i="2"/>
  <c r="AA436" i="2"/>
  <c r="AA428" i="2"/>
  <c r="AA453" i="2"/>
  <c r="AO453" i="2"/>
  <c r="AA445" i="2"/>
  <c r="AA437" i="2"/>
  <c r="AO437" i="2"/>
  <c r="AA429" i="2"/>
  <c r="AA419" i="2"/>
  <c r="AN419" i="2"/>
  <c r="AA413" i="2"/>
  <c r="AN413" i="2"/>
  <c r="AA466" i="2"/>
  <c r="AA458" i="2"/>
  <c r="AA454" i="2"/>
  <c r="AA446" i="2"/>
  <c r="AA438" i="2"/>
  <c r="AA430" i="2"/>
  <c r="AA417" i="2"/>
  <c r="AN417" i="2"/>
  <c r="AA465" i="2"/>
  <c r="AA457" i="2"/>
  <c r="AA455" i="2"/>
  <c r="AA447" i="2"/>
  <c r="AA439" i="2"/>
  <c r="AA431" i="2"/>
  <c r="AA423" i="2"/>
  <c r="AA415" i="2"/>
  <c r="AN415" i="2"/>
  <c r="AA472" i="2"/>
  <c r="AA464" i="2"/>
  <c r="AA456" i="2"/>
  <c r="AA448" i="2"/>
  <c r="AA440" i="2"/>
  <c r="AO432" i="2"/>
  <c r="AA432" i="2"/>
  <c r="AA424" i="2"/>
  <c r="AA410" i="2"/>
  <c r="AA471" i="2"/>
  <c r="AA463" i="2"/>
  <c r="AA449" i="2"/>
  <c r="AA441" i="2"/>
  <c r="AA433" i="2"/>
  <c r="AA425" i="2"/>
  <c r="AN408" i="2"/>
  <c r="AA470" i="2"/>
  <c r="AA462" i="2"/>
  <c r="AA450" i="2"/>
  <c r="AO442" i="2"/>
  <c r="AA442" i="2"/>
  <c r="AA434" i="2"/>
  <c r="AA426" i="2"/>
  <c r="AA409" i="2"/>
  <c r="AN409" i="2"/>
  <c r="AA402" i="2"/>
  <c r="AA394" i="2"/>
  <c r="AA386" i="2"/>
  <c r="AA469" i="2"/>
  <c r="AA461" i="2"/>
  <c r="AA451" i="2"/>
  <c r="AA443" i="2"/>
  <c r="AA435" i="2"/>
  <c r="AA427" i="2"/>
  <c r="AA421" i="2"/>
  <c r="AN421" i="2"/>
  <c r="AA401" i="2"/>
  <c r="AN401" i="2"/>
  <c r="AA393" i="2"/>
  <c r="AN393" i="2"/>
  <c r="AA385" i="2"/>
  <c r="AN385" i="2"/>
  <c r="AO385" i="2" s="1"/>
  <c r="AA360" i="2"/>
  <c r="AA358" i="2"/>
  <c r="AA341" i="2"/>
  <c r="AA325" i="2"/>
  <c r="AA343" i="2"/>
  <c r="AA327" i="2"/>
  <c r="AA314" i="2"/>
  <c r="AN314" i="2"/>
  <c r="AA329" i="2"/>
  <c r="AA422" i="2"/>
  <c r="AA420" i="2"/>
  <c r="AA418" i="2"/>
  <c r="AA416" i="2"/>
  <c r="AA414" i="2"/>
  <c r="AA412" i="2"/>
  <c r="AN405" i="2"/>
  <c r="AN397" i="2"/>
  <c r="AN389" i="2"/>
  <c r="AA331" i="2"/>
  <c r="AN411" i="2"/>
  <c r="AA333" i="2"/>
  <c r="AN403" i="2"/>
  <c r="AN395" i="2"/>
  <c r="AN387" i="2"/>
  <c r="AA335" i="2"/>
  <c r="AA337" i="2"/>
  <c r="AA321" i="2"/>
  <c r="AA339" i="2"/>
  <c r="AA323" i="2"/>
  <c r="AN284" i="2"/>
  <c r="AA284" i="2"/>
  <c r="AN319" i="2"/>
  <c r="AN278" i="2"/>
  <c r="AA278" i="2"/>
  <c r="AA313" i="2"/>
  <c r="AA305" i="2"/>
  <c r="AA301" i="2"/>
  <c r="AA298" i="2"/>
  <c r="AA296" i="2"/>
  <c r="AA294" i="2"/>
  <c r="AA292" i="2"/>
  <c r="AN288" i="2"/>
  <c r="AA288" i="2"/>
  <c r="AN272" i="2"/>
  <c r="AA272" i="2"/>
  <c r="AN315" i="2"/>
  <c r="AA306" i="2"/>
  <c r="AA302" i="2"/>
  <c r="AN282" i="2"/>
  <c r="AA282" i="2"/>
  <c r="AN276" i="2"/>
  <c r="AA276" i="2"/>
  <c r="AN311" i="2"/>
  <c r="AN306" i="2"/>
  <c r="AN302" i="2"/>
  <c r="AN294" i="2"/>
  <c r="AN292" i="2"/>
  <c r="AN286" i="2"/>
  <c r="AA286" i="2"/>
  <c r="AN270" i="2"/>
  <c r="AA270" i="2"/>
  <c r="AO308" i="2"/>
  <c r="AA303" i="2"/>
  <c r="AA299" i="2"/>
  <c r="AN280" i="2"/>
  <c r="AA280" i="2"/>
  <c r="AA304" i="2"/>
  <c r="AA300" i="2"/>
  <c r="AA297" i="2"/>
  <c r="AA295" i="2"/>
  <c r="AA293" i="2"/>
  <c r="AN290" i="2"/>
  <c r="AA290" i="2"/>
  <c r="AN274" i="2"/>
  <c r="AA274" i="2"/>
  <c r="AN268" i="2"/>
  <c r="AA268" i="2"/>
  <c r="AN213" i="2"/>
  <c r="AA213" i="2"/>
  <c r="AN241" i="2"/>
  <c r="AN240" i="2"/>
  <c r="AO230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O251" i="2" s="1"/>
  <c r="AN250" i="2"/>
  <c r="AN249" i="2"/>
  <c r="AN248" i="2"/>
  <c r="AN247" i="2"/>
  <c r="AN246" i="2"/>
  <c r="AN245" i="2"/>
  <c r="AN244" i="2"/>
  <c r="AN243" i="2"/>
  <c r="AN237" i="2"/>
  <c r="AO237" i="2" s="1"/>
  <c r="AN236" i="2"/>
  <c r="AN215" i="2"/>
  <c r="AA215" i="2"/>
  <c r="AN228" i="2"/>
  <c r="AN223" i="2"/>
  <c r="AO223" i="2" s="1"/>
  <c r="AN220" i="2"/>
  <c r="AN239" i="2"/>
  <c r="AA239" i="2"/>
  <c r="AN238" i="2"/>
  <c r="AO238" i="2" s="1"/>
  <c r="AA235" i="2"/>
  <c r="AN234" i="2"/>
  <c r="AN229" i="2"/>
  <c r="AA227" i="2"/>
  <c r="AN226" i="2"/>
  <c r="AN221" i="2"/>
  <c r="AN219" i="2"/>
  <c r="AN217" i="2"/>
  <c r="AA205" i="2"/>
  <c r="AA201" i="2"/>
  <c r="AA197" i="2"/>
  <c r="AA193" i="2"/>
  <c r="AA189" i="2"/>
  <c r="AA185" i="2"/>
  <c r="AN184" i="2"/>
  <c r="AN164" i="2"/>
  <c r="AO164" i="2" s="1"/>
  <c r="AA164" i="2"/>
  <c r="AA211" i="2"/>
  <c r="AA209" i="2"/>
  <c r="AA207" i="2"/>
  <c r="AA177" i="2"/>
  <c r="AN177" i="2"/>
  <c r="AA174" i="2"/>
  <c r="AN172" i="2"/>
  <c r="AA180" i="2"/>
  <c r="AN180" i="2"/>
  <c r="AN174" i="2"/>
  <c r="AA175" i="2"/>
  <c r="AN175" i="2"/>
  <c r="AA181" i="2"/>
  <c r="AO193" i="2"/>
  <c r="AN181" i="2"/>
  <c r="AA182" i="2"/>
  <c r="AO170" i="2"/>
  <c r="AA179" i="2"/>
  <c r="AO176" i="2"/>
  <c r="AN168" i="2"/>
  <c r="AA169" i="2"/>
  <c r="AA153" i="2"/>
  <c r="AA171" i="2"/>
  <c r="AN162" i="2"/>
  <c r="AN160" i="2"/>
  <c r="AN158" i="2"/>
  <c r="AN156" i="2"/>
  <c r="AN154" i="2"/>
  <c r="AA140" i="2"/>
  <c r="AN140" i="2"/>
  <c r="AA170" i="2"/>
  <c r="AA148" i="2"/>
  <c r="AN148" i="2"/>
  <c r="AA145" i="2"/>
  <c r="AN145" i="2"/>
  <c r="AA144" i="2"/>
  <c r="AA141" i="2"/>
  <c r="AN136" i="2"/>
  <c r="AA136" i="2"/>
  <c r="AN127" i="2"/>
  <c r="AA113" i="2"/>
  <c r="AN134" i="2"/>
  <c r="AA110" i="2"/>
  <c r="AN131" i="2"/>
  <c r="AN138" i="2"/>
  <c r="AN130" i="2"/>
  <c r="AO130" i="2" s="1"/>
  <c r="AA117" i="2"/>
  <c r="AA75" i="2"/>
  <c r="AN75" i="2"/>
  <c r="AN109" i="2"/>
  <c r="AA60" i="2"/>
  <c r="AN60" i="2"/>
  <c r="AA49" i="2"/>
  <c r="AN49" i="2"/>
  <c r="AA72" i="2"/>
  <c r="AA99" i="2"/>
  <c r="AN99" i="2"/>
  <c r="AA97" i="2"/>
  <c r="AN97" i="2"/>
  <c r="AA93" i="2"/>
  <c r="AN93" i="2"/>
  <c r="AA89" i="2"/>
  <c r="AN89" i="2"/>
  <c r="AA85" i="2"/>
  <c r="AN85" i="2"/>
  <c r="AA77" i="2"/>
  <c r="AN77" i="2"/>
  <c r="AO77" i="2" s="1"/>
  <c r="AA83" i="2"/>
  <c r="AN83" i="2"/>
  <c r="AA79" i="2"/>
  <c r="AN79" i="2"/>
  <c r="AA68" i="2"/>
  <c r="AN68" i="2"/>
  <c r="AA81" i="2"/>
  <c r="AN81" i="2"/>
  <c r="AA95" i="2"/>
  <c r="AN95" i="2"/>
  <c r="AA91" i="2"/>
  <c r="AN91" i="2"/>
  <c r="AA87" i="2"/>
  <c r="AN87" i="2"/>
  <c r="AA64" i="2"/>
  <c r="AN64" i="2"/>
  <c r="AA71" i="2"/>
  <c r="AA67" i="2"/>
  <c r="AA63" i="2"/>
  <c r="AA59" i="2"/>
  <c r="AA51" i="2"/>
  <c r="AA40" i="2"/>
  <c r="AA47" i="2"/>
  <c r="AN47" i="2"/>
  <c r="AA35" i="2"/>
  <c r="AN35" i="2"/>
  <c r="AA45" i="2"/>
  <c r="AN38" i="2"/>
  <c r="AA38" i="2"/>
  <c r="AA34" i="2"/>
  <c r="AN34" i="2"/>
  <c r="AA19" i="2"/>
  <c r="AN19" i="2"/>
  <c r="AN22" i="2"/>
  <c r="AA22" i="2"/>
  <c r="AA44" i="2"/>
  <c r="AN37" i="2"/>
  <c r="AO37" i="2" s="1"/>
  <c r="AN21" i="2"/>
  <c r="AN41" i="2"/>
  <c r="AN25" i="2"/>
  <c r="AA17" i="2"/>
  <c r="AN17" i="2"/>
  <c r="AN32" i="2"/>
  <c r="AA15" i="2"/>
  <c r="AN15" i="2"/>
  <c r="AA13" i="2"/>
  <c r="AN13" i="2"/>
  <c r="AA11" i="2"/>
  <c r="AN11" i="2"/>
  <c r="AA5" i="2"/>
  <c r="AN5" i="2"/>
  <c r="AA9" i="2"/>
  <c r="AN9" i="2"/>
  <c r="AA7" i="2"/>
  <c r="AN7" i="2"/>
  <c r="AO447" i="2" l="1"/>
  <c r="AO244" i="2"/>
  <c r="AO618" i="2"/>
  <c r="AO124" i="2"/>
  <c r="AO148" i="2"/>
  <c r="AO467" i="2"/>
  <c r="AO310" i="2"/>
  <c r="AO486" i="2"/>
  <c r="AO606" i="2"/>
  <c r="AO593" i="2"/>
  <c r="AO289" i="2"/>
  <c r="AO302" i="2"/>
  <c r="AO329" i="2"/>
  <c r="AO476" i="2"/>
  <c r="AO527" i="2"/>
  <c r="AO559" i="2"/>
  <c r="AO138" i="2"/>
  <c r="AO452" i="2"/>
  <c r="AO576" i="2"/>
  <c r="AO535" i="2"/>
  <c r="AO274" i="2"/>
  <c r="AO290" i="2"/>
  <c r="AO602" i="2"/>
  <c r="AO140" i="2"/>
  <c r="AO382" i="2"/>
  <c r="AO184" i="2"/>
  <c r="AO634" i="2"/>
  <c r="AO66" i="2"/>
  <c r="AO590" i="2"/>
  <c r="AO141" i="2"/>
  <c r="AO222" i="2"/>
  <c r="AO475" i="2"/>
  <c r="AO111" i="2"/>
  <c r="AO584" i="2"/>
  <c r="AO294" i="2"/>
  <c r="AO392" i="2"/>
  <c r="AO632" i="2"/>
  <c r="AO391" i="2"/>
  <c r="AO607" i="2"/>
  <c r="AO81" i="2"/>
  <c r="AO154" i="2"/>
  <c r="AO239" i="2"/>
  <c r="AO483" i="2"/>
  <c r="AO543" i="2"/>
  <c r="AO608" i="2"/>
  <c r="AO43" i="2"/>
  <c r="AO414" i="2"/>
  <c r="AO240" i="2"/>
  <c r="AO419" i="2"/>
  <c r="AO280" i="2"/>
  <c r="AO147" i="2"/>
  <c r="AO265" i="2"/>
  <c r="AO422" i="2"/>
  <c r="AO266" i="2"/>
  <c r="AO213" i="2"/>
  <c r="AO115" i="2"/>
  <c r="AO461" i="2"/>
  <c r="AO444" i="2"/>
  <c r="AO68" i="2"/>
  <c r="AO622" i="2"/>
  <c r="AO29" i="2"/>
  <c r="AO268" i="2"/>
  <c r="AO417" i="2"/>
  <c r="AO85" i="2"/>
  <c r="AO254" i="2"/>
  <c r="AO454" i="2"/>
  <c r="AO64" i="2"/>
  <c r="AO87" i="2"/>
  <c r="AO117" i="2"/>
  <c r="AO424" i="2"/>
  <c r="AO245" i="2"/>
  <c r="AO272" i="2"/>
  <c r="AO478" i="2"/>
  <c r="AO83" i="2"/>
  <c r="AO217" i="2"/>
  <c r="AO303" i="2"/>
  <c r="AO288" i="2"/>
  <c r="AO491" i="2"/>
  <c r="AO120" i="2"/>
  <c r="AO573" i="2"/>
  <c r="AO31" i="2"/>
  <c r="AO16" i="2"/>
  <c r="AO252" i="2"/>
  <c r="AO271" i="2"/>
  <c r="AO298" i="2"/>
  <c r="AO405" i="2"/>
  <c r="AO472" i="2"/>
  <c r="AO413" i="2"/>
  <c r="AO126" i="2"/>
  <c r="AO9" i="2"/>
  <c r="AO101" i="2"/>
  <c r="AO150" i="2"/>
  <c r="AO253" i="2"/>
  <c r="AO286" i="2"/>
  <c r="AO646" i="2"/>
  <c r="AO142" i="2"/>
  <c r="AO533" i="2"/>
  <c r="AO470" i="2"/>
  <c r="AO55" i="2"/>
  <c r="AO596" i="2"/>
  <c r="AO610" i="2"/>
  <c r="AO356" i="2"/>
  <c r="AO425" i="2"/>
  <c r="AO257" i="2"/>
  <c r="AO519" i="2"/>
  <c r="AO341" i="2"/>
  <c r="AO46" i="2"/>
  <c r="AO469" i="2"/>
  <c r="AO182" i="2"/>
  <c r="AO215" i="2"/>
  <c r="AO262" i="2"/>
  <c r="AO545" i="2"/>
  <c r="AO404" i="2"/>
  <c r="AO597" i="2"/>
  <c r="AO105" i="2"/>
  <c r="AO623" i="2"/>
  <c r="AO558" i="2"/>
  <c r="AO258" i="2"/>
  <c r="AO284" i="2"/>
  <c r="AO449" i="2"/>
  <c r="AO261" i="2"/>
  <c r="AO484" i="2"/>
  <c r="AO20" i="2"/>
  <c r="AO236" i="2"/>
  <c r="AO465" i="2"/>
  <c r="AO542" i="2"/>
  <c r="AO560" i="2"/>
  <c r="AO8" i="2"/>
  <c r="AO30" i="2"/>
  <c r="AO276" i="2"/>
  <c r="AO60" i="2"/>
  <c r="AO287" i="2"/>
  <c r="AO277" i="2"/>
  <c r="AO536" i="2"/>
  <c r="AO582" i="2"/>
  <c r="AO529" i="2"/>
  <c r="AO275" i="2"/>
  <c r="AO433" i="2"/>
  <c r="AO418" i="2"/>
  <c r="AO551" i="2"/>
  <c r="AO32" i="2"/>
  <c r="AO49" i="2"/>
  <c r="AO247" i="2"/>
  <c r="AO241" i="2"/>
  <c r="AO285" i="2"/>
  <c r="AO389" i="2"/>
  <c r="AO462" i="2"/>
  <c r="AO537" i="2"/>
  <c r="AO510" i="2"/>
  <c r="AO4" i="2"/>
  <c r="AO93" i="2"/>
  <c r="AO415" i="2"/>
  <c r="AO481" i="2"/>
  <c r="AO509" i="2"/>
  <c r="AO589" i="2"/>
  <c r="AO352" i="2"/>
  <c r="AO384" i="2"/>
  <c r="AO370" i="2"/>
  <c r="AO339" i="2"/>
  <c r="AO172" i="2"/>
  <c r="AO434" i="2"/>
  <c r="AO611" i="2"/>
  <c r="AO477" i="2"/>
  <c r="AO390" i="2"/>
  <c r="AO383" i="2"/>
  <c r="AK380" i="2"/>
  <c r="AL380" i="2" s="1"/>
  <c r="AO45" i="2"/>
  <c r="AO51" i="2"/>
  <c r="AO219" i="2"/>
  <c r="AO250" i="2"/>
  <c r="AO227" i="2"/>
  <c r="AO463" i="2"/>
  <c r="AO487" i="2"/>
  <c r="AO312" i="2"/>
  <c r="AO379" i="2"/>
  <c r="AO106" i="2"/>
  <c r="AO109" i="2"/>
  <c r="AO640" i="2"/>
  <c r="AO327" i="2"/>
  <c r="AO620" i="2"/>
  <c r="AO639" i="2"/>
  <c r="AO11" i="2"/>
  <c r="AO15" i="2"/>
  <c r="AO19" i="2"/>
  <c r="AO175" i="2"/>
  <c r="AO273" i="2"/>
  <c r="AO534" i="2"/>
  <c r="AO396" i="2"/>
  <c r="AO362" i="2"/>
  <c r="AO180" i="2"/>
  <c r="AO283" i="2"/>
  <c r="AK162" i="2"/>
  <c r="AL162" i="2" s="1"/>
  <c r="AO363" i="2"/>
  <c r="AO628" i="2"/>
  <c r="AO380" i="2"/>
  <c r="AO234" i="2"/>
  <c r="AO438" i="2"/>
  <c r="AO5" i="2"/>
  <c r="AO36" i="2"/>
  <c r="AO41" i="2"/>
  <c r="AO22" i="2"/>
  <c r="AO131" i="2"/>
  <c r="AO162" i="2"/>
  <c r="AO264" i="2"/>
  <c r="AO421" i="2"/>
  <c r="AO471" i="2"/>
  <c r="AO518" i="2"/>
  <c r="AO540" i="2"/>
  <c r="AO525" i="2"/>
  <c r="AO508" i="2"/>
  <c r="AO557" i="2"/>
  <c r="AO139" i="2"/>
  <c r="AO188" i="2"/>
  <c r="AO232" i="2"/>
  <c r="AK128" i="2"/>
  <c r="AL128" i="2" s="1"/>
  <c r="AO75" i="2"/>
  <c r="AO387" i="2"/>
  <c r="AO427" i="2"/>
  <c r="AO460" i="2"/>
  <c r="AO492" i="2"/>
  <c r="AO513" i="2"/>
  <c r="AO516" i="2"/>
  <c r="AO135" i="2"/>
  <c r="AO629" i="2"/>
  <c r="AO601" i="2"/>
  <c r="AO34" i="2"/>
  <c r="AO47" i="2"/>
  <c r="AO95" i="2"/>
  <c r="AO79" i="2"/>
  <c r="AO89" i="2"/>
  <c r="AO72" i="2"/>
  <c r="AO211" i="2"/>
  <c r="AO177" i="2"/>
  <c r="AO221" i="2"/>
  <c r="AO243" i="2"/>
  <c r="AO259" i="2"/>
  <c r="AO306" i="2"/>
  <c r="AO395" i="2"/>
  <c r="AO426" i="2"/>
  <c r="AO420" i="2"/>
  <c r="AO456" i="2"/>
  <c r="AO428" i="2"/>
  <c r="AO504" i="2"/>
  <c r="AO499" i="2"/>
  <c r="AO517" i="2"/>
  <c r="AO490" i="2"/>
  <c r="AO594" i="2"/>
  <c r="AO372" i="2"/>
  <c r="AO355" i="2"/>
  <c r="AO200" i="2"/>
  <c r="AO18" i="2"/>
  <c r="AO313" i="2"/>
  <c r="AO102" i="2"/>
  <c r="AO279" i="2"/>
  <c r="AO641" i="2"/>
  <c r="AO609" i="2"/>
  <c r="AK368" i="2"/>
  <c r="AL368" i="2" s="1"/>
  <c r="AO365" i="2"/>
  <c r="AO69" i="2"/>
  <c r="AO500" i="2"/>
  <c r="AO260" i="2"/>
  <c r="AO311" i="2"/>
  <c r="AO393" i="2"/>
  <c r="AO458" i="2"/>
  <c r="AO479" i="2"/>
  <c r="AO507" i="2"/>
  <c r="AO530" i="2"/>
  <c r="AO521" i="2"/>
  <c r="AO524" i="2"/>
  <c r="AO598" i="2"/>
  <c r="AO388" i="2"/>
  <c r="AO103" i="2"/>
  <c r="AO358" i="2"/>
  <c r="AO578" i="2"/>
  <c r="AO367" i="2"/>
  <c r="AO368" i="2"/>
  <c r="AO592" i="2"/>
  <c r="AO547" i="2"/>
  <c r="AO621" i="2"/>
  <c r="AO630" i="2"/>
  <c r="AO562" i="2"/>
  <c r="AO192" i="2"/>
  <c r="AO489" i="2"/>
  <c r="AO647" i="2"/>
  <c r="AO364" i="2"/>
  <c r="AO366" i="2"/>
  <c r="AO572" i="2"/>
  <c r="AO17" i="2"/>
  <c r="AO235" i="2"/>
  <c r="AO299" i="2"/>
  <c r="AO301" i="2"/>
  <c r="AO403" i="2"/>
  <c r="AO448" i="2"/>
  <c r="AO496" i="2"/>
  <c r="AO506" i="2"/>
  <c r="AO642" i="2"/>
  <c r="AO374" i="2"/>
  <c r="AO186" i="2"/>
  <c r="AO360" i="2"/>
  <c r="AO25" i="2"/>
  <c r="AO38" i="2"/>
  <c r="AO112" i="2"/>
  <c r="AO136" i="2"/>
  <c r="AO174" i="2"/>
  <c r="AO282" i="2"/>
  <c r="AO411" i="2"/>
  <c r="AO401" i="2"/>
  <c r="AO468" i="2"/>
  <c r="AO459" i="2"/>
  <c r="AO626" i="2"/>
  <c r="AO400" i="2"/>
  <c r="AO143" i="2"/>
  <c r="AO128" i="2"/>
  <c r="AO119" i="2"/>
  <c r="AO423" i="2"/>
  <c r="AO246" i="2"/>
  <c r="AO408" i="2"/>
  <c r="AO431" i="2"/>
  <c r="AO457" i="2"/>
  <c r="AO473" i="2"/>
  <c r="AO526" i="2"/>
  <c r="AO166" i="2"/>
  <c r="AO625" i="2"/>
  <c r="AO325" i="2"/>
  <c r="AO57" i="2"/>
  <c r="AO84" i="2"/>
  <c r="AO464" i="2"/>
  <c r="AO523" i="2"/>
  <c r="AO522" i="2"/>
  <c r="AO546" i="2"/>
  <c r="AO488" i="2"/>
  <c r="AO501" i="2"/>
  <c r="AO10" i="2"/>
  <c r="AO588" i="2"/>
  <c r="AO183" i="2"/>
  <c r="AO345" i="2"/>
  <c r="AO340" i="2"/>
  <c r="AO474" i="2"/>
  <c r="AO371" i="2"/>
  <c r="AO21" i="2"/>
  <c r="AO255" i="2"/>
  <c r="AO28" i="2"/>
  <c r="AO35" i="2"/>
  <c r="AO134" i="2"/>
  <c r="AO145" i="2"/>
  <c r="AO207" i="2"/>
  <c r="AO231" i="2"/>
  <c r="AO248" i="2"/>
  <c r="AO256" i="2"/>
  <c r="AO281" i="2"/>
  <c r="AO307" i="2"/>
  <c r="AO296" i="2"/>
  <c r="AO397" i="2"/>
  <c r="AO439" i="2"/>
  <c r="AO446" i="2"/>
  <c r="AO482" i="2"/>
  <c r="AO406" i="2"/>
  <c r="AO317" i="2"/>
  <c r="AO100" i="2"/>
  <c r="AO263" i="2"/>
  <c r="AO91" i="2"/>
  <c r="AO144" i="2"/>
  <c r="AO209" i="2"/>
  <c r="AO249" i="2"/>
  <c r="AO293" i="2"/>
  <c r="AO270" i="2"/>
  <c r="AO319" i="2"/>
  <c r="AO314" i="2"/>
  <c r="AO440" i="2"/>
  <c r="AO511" i="2"/>
  <c r="AO503" i="2"/>
  <c r="AO512" i="2"/>
  <c r="AO636" i="2"/>
  <c r="AO416" i="2"/>
  <c r="AO14" i="2"/>
  <c r="AO581" i="2"/>
  <c r="AO357" i="2"/>
  <c r="AO62" i="2"/>
  <c r="AO631" i="2"/>
  <c r="AO224" i="2"/>
  <c r="AO574" i="2"/>
  <c r="AO229" i="2"/>
  <c r="AO228" i="2"/>
  <c r="AO297" i="2"/>
  <c r="AO466" i="2"/>
  <c r="AO531" i="2"/>
  <c r="AO149" i="2"/>
  <c r="AO309" i="2"/>
  <c r="AO267" i="2"/>
  <c r="AO202" i="2"/>
  <c r="AO42" i="2"/>
  <c r="AO194" i="2"/>
  <c r="AO386" i="2"/>
  <c r="AO65" i="2"/>
  <c r="AO48" i="2"/>
  <c r="AO320" i="2"/>
  <c r="AO600" i="2"/>
  <c r="AO335" i="2"/>
  <c r="AO206" i="2"/>
  <c r="AO614" i="2"/>
  <c r="AO125" i="2"/>
  <c r="AO163" i="2"/>
  <c r="AO348" i="2"/>
  <c r="AO549" i="2"/>
  <c r="AO292" i="2"/>
  <c r="AO436" i="2"/>
  <c r="AO480" i="2"/>
  <c r="AO107" i="2"/>
  <c r="AO225" i="2"/>
  <c r="AO151" i="2"/>
  <c r="AO208" i="2"/>
  <c r="AO146" i="2"/>
  <c r="AO617" i="2"/>
  <c r="AO269" i="2"/>
  <c r="AO50" i="2"/>
  <c r="AO210" i="2"/>
  <c r="AO394" i="2"/>
  <c r="AO73" i="2"/>
  <c r="AO577" i="2"/>
  <c r="AO56" i="2"/>
  <c r="AO328" i="2"/>
  <c r="AO616" i="2"/>
  <c r="AO351" i="2"/>
  <c r="AO54" i="2"/>
  <c r="AO326" i="2"/>
  <c r="AO203" i="2"/>
  <c r="AO133" i="2"/>
  <c r="AO548" i="2"/>
  <c r="AO156" i="2"/>
  <c r="AO305" i="2"/>
  <c r="AO441" i="2"/>
  <c r="AO514" i="2"/>
  <c r="AO538" i="2"/>
  <c r="AO644" i="2"/>
  <c r="AO6" i="2"/>
  <c r="AO377" i="2"/>
  <c r="AO214" i="2"/>
  <c r="AM672" i="2"/>
  <c r="AO58" i="2"/>
  <c r="AO218" i="2"/>
  <c r="AO402" i="2"/>
  <c r="AO80" i="2"/>
  <c r="AO336" i="2"/>
  <c r="AO23" i="2"/>
  <c r="AO359" i="2"/>
  <c r="AO334" i="2"/>
  <c r="AO595" i="2"/>
  <c r="AO157" i="2"/>
  <c r="AO579" i="2"/>
  <c r="AO116" i="2"/>
  <c r="AO564" i="2"/>
  <c r="AO97" i="2"/>
  <c r="AO13" i="2"/>
  <c r="AO158" i="2"/>
  <c r="AO181" i="2"/>
  <c r="AO443" i="2"/>
  <c r="AO412" i="2"/>
  <c r="AO495" i="2"/>
  <c r="AO544" i="2"/>
  <c r="AO502" i="2"/>
  <c r="AO541" i="2"/>
  <c r="AO520" i="2"/>
  <c r="AO118" i="2"/>
  <c r="AO561" i="2"/>
  <c r="AO132" i="2"/>
  <c r="AO242" i="2"/>
  <c r="AO74" i="2"/>
  <c r="AO322" i="2"/>
  <c r="AO410" i="2"/>
  <c r="AO153" i="2"/>
  <c r="AO171" i="2"/>
  <c r="AO88" i="2"/>
  <c r="AO344" i="2"/>
  <c r="AO123" i="2"/>
  <c r="AO399" i="2"/>
  <c r="AO86" i="2"/>
  <c r="AO342" i="2"/>
  <c r="AO165" i="2"/>
  <c r="AO212" i="2"/>
  <c r="AO26" i="2"/>
  <c r="AO99" i="2"/>
  <c r="AO127" i="2"/>
  <c r="AO160" i="2"/>
  <c r="AO638" i="2"/>
  <c r="AO556" i="2"/>
  <c r="AO343" i="2"/>
  <c r="AO361" i="2"/>
  <c r="AO563" i="2"/>
  <c r="AO161" i="2"/>
  <c r="AO96" i="2"/>
  <c r="AO376" i="2"/>
  <c r="AO155" i="2"/>
  <c r="AO159" i="2"/>
  <c r="AO575" i="2"/>
  <c r="AO94" i="2"/>
  <c r="AO333" i="2"/>
  <c r="AO44" i="2"/>
  <c r="AO27" i="2"/>
  <c r="AO198" i="2"/>
  <c r="AO168" i="2"/>
  <c r="AO315" i="2"/>
  <c r="AO129" i="2"/>
  <c r="AO375" i="2"/>
  <c r="AO580" i="2"/>
  <c r="AO369" i="2"/>
  <c r="AO407" i="2"/>
  <c r="AO90" i="2"/>
  <c r="AO338" i="2"/>
  <c r="AO571" i="2"/>
  <c r="AO104" i="2"/>
  <c r="AO167" i="2"/>
  <c r="AO110" i="2"/>
  <c r="AO550" i="2"/>
  <c r="AO53" i="2"/>
  <c r="AO349" i="2"/>
  <c r="AO52" i="2"/>
  <c r="AO324" i="2"/>
  <c r="AO7" i="2"/>
  <c r="AO226" i="2"/>
  <c r="AO220" i="2"/>
  <c r="AO295" i="2"/>
  <c r="AO278" i="2"/>
  <c r="AO409" i="2"/>
  <c r="AO430" i="2"/>
  <c r="AO505" i="2"/>
  <c r="AO204" i="2"/>
  <c r="AO122" i="2"/>
  <c r="AO378" i="2"/>
  <c r="AO98" i="2"/>
  <c r="AO216" i="2"/>
  <c r="AO568" i="2"/>
  <c r="AO195" i="2"/>
  <c r="AO191" i="2"/>
  <c r="AO591" i="2"/>
  <c r="AO190" i="2"/>
  <c r="AO566" i="2"/>
  <c r="AO61" i="2"/>
  <c r="AO373" i="2"/>
  <c r="AO76" i="2"/>
  <c r="AO587" i="2"/>
  <c r="AM671" i="2"/>
  <c r="AM673" i="2"/>
  <c r="AH622" i="2"/>
  <c r="AC622" i="2" s="1"/>
  <c r="AJ573" i="2"/>
  <c r="AI210" i="2"/>
  <c r="AH604" i="2"/>
  <c r="AC604" i="2" s="1"/>
  <c r="AH573" i="2"/>
  <c r="AC573" i="2" s="1"/>
  <c r="AJ145" i="2"/>
  <c r="AH118" i="2"/>
  <c r="AC118" i="2" s="1"/>
  <c r="AM657" i="2"/>
  <c r="AK45" i="2"/>
  <c r="AL45" i="2" s="1"/>
  <c r="AI481" i="2"/>
  <c r="AH481" i="2"/>
  <c r="AC481" i="2" s="1"/>
  <c r="AJ625" i="2"/>
  <c r="AM662" i="2"/>
  <c r="AI322" i="2"/>
  <c r="AH373" i="2"/>
  <c r="AC373" i="2" s="1"/>
  <c r="AI344" i="2"/>
  <c r="AI285" i="2"/>
  <c r="AI559" i="2"/>
  <c r="AK158" i="2"/>
  <c r="AL158" i="2" s="1"/>
  <c r="AJ378" i="2"/>
  <c r="AK584" i="2"/>
  <c r="AL584" i="2" s="1"/>
  <c r="AI625" i="2"/>
  <c r="AJ604" i="2"/>
  <c r="AJ430" i="2"/>
  <c r="AI482" i="2"/>
  <c r="AI161" i="2"/>
  <c r="AK523" i="2"/>
  <c r="AL523" i="2" s="1"/>
  <c r="AH638" i="2"/>
  <c r="AC638" i="2" s="1"/>
  <c r="AK161" i="2"/>
  <c r="AL161" i="2" s="1"/>
  <c r="AJ622" i="2"/>
  <c r="AH322" i="2"/>
  <c r="AC322" i="2" s="1"/>
  <c r="AJ638" i="2"/>
  <c r="AK626" i="2"/>
  <c r="AL626" i="2" s="1"/>
  <c r="AH128" i="2"/>
  <c r="AC128" i="2" s="1"/>
  <c r="AJ210" i="2"/>
  <c r="AH584" i="2"/>
  <c r="AC584" i="2" s="1"/>
  <c r="AK625" i="2"/>
  <c r="AL625" i="2" s="1"/>
  <c r="AK638" i="2"/>
  <c r="AL638" i="2" s="1"/>
  <c r="AK622" i="2"/>
  <c r="AL622" i="2" s="1"/>
  <c r="AK481" i="2"/>
  <c r="AL481" i="2" s="1"/>
  <c r="AH478" i="2"/>
  <c r="AC478" i="2" s="1"/>
  <c r="AH493" i="2"/>
  <c r="AC493" i="2" s="1"/>
  <c r="AH45" i="2"/>
  <c r="AC45" i="2" s="1"/>
  <c r="AJ557" i="2"/>
  <c r="AI639" i="2"/>
  <c r="AI10" i="2"/>
  <c r="AM661" i="2"/>
  <c r="AI557" i="2"/>
  <c r="AI45" i="2"/>
  <c r="AK400" i="2"/>
  <c r="AL400" i="2" s="1"/>
  <c r="AI15" i="2"/>
  <c r="AH258" i="2"/>
  <c r="AC258" i="2" s="1"/>
  <c r="AH639" i="2"/>
  <c r="AC639" i="2" s="1"/>
  <c r="AH268" i="2"/>
  <c r="AC268" i="2" s="1"/>
  <c r="AH610" i="2"/>
  <c r="AC610" i="2" s="1"/>
  <c r="AI21" i="2"/>
  <c r="AJ128" i="2"/>
  <c r="AK46" i="2"/>
  <c r="AL46" i="2" s="1"/>
  <c r="AK559" i="2"/>
  <c r="AL559" i="2" s="1"/>
  <c r="AH400" i="2"/>
  <c r="AC400" i="2" s="1"/>
  <c r="AH19" i="2"/>
  <c r="AC19" i="2" s="1"/>
  <c r="AI128" i="2"/>
  <c r="AJ610" i="2"/>
  <c r="AH145" i="2"/>
  <c r="AC145" i="2" s="1"/>
  <c r="AJ237" i="2"/>
  <c r="AK295" i="2"/>
  <c r="AL295" i="2" s="1"/>
  <c r="AJ634" i="2"/>
  <c r="AK604" i="2"/>
  <c r="AL604" i="2" s="1"/>
  <c r="AH93" i="2"/>
  <c r="AC93" i="2" s="1"/>
  <c r="AH237" i="2"/>
  <c r="AC237" i="2" s="1"/>
  <c r="AI258" i="2"/>
  <c r="AK610" i="2"/>
  <c r="AL610" i="2" s="1"/>
  <c r="AK168" i="2"/>
  <c r="AL168" i="2" s="1"/>
  <c r="AM658" i="2"/>
  <c r="AJ470" i="2"/>
  <c r="AI491" i="2"/>
  <c r="AK124" i="2"/>
  <c r="AL124" i="2" s="1"/>
  <c r="AM653" i="2"/>
  <c r="AK155" i="2"/>
  <c r="AL155" i="2" s="1"/>
  <c r="AI470" i="2"/>
  <c r="AK322" i="2"/>
  <c r="AL322" i="2" s="1"/>
  <c r="AM648" i="2"/>
  <c r="AK573" i="2"/>
  <c r="AL573" i="2" s="1"/>
  <c r="AK470" i="2"/>
  <c r="AL470" i="2" s="1"/>
  <c r="AJ485" i="2"/>
  <c r="AH404" i="2"/>
  <c r="AC404" i="2" s="1"/>
  <c r="AI485" i="2"/>
  <c r="AI562" i="2"/>
  <c r="AK198" i="2"/>
  <c r="AL198" i="2" s="1"/>
  <c r="AK378" i="2"/>
  <c r="AL378" i="2" s="1"/>
  <c r="AJ626" i="2"/>
  <c r="AI142" i="2"/>
  <c r="AK227" i="2"/>
  <c r="AL227" i="2" s="1"/>
  <c r="AK263" i="2"/>
  <c r="AL263" i="2" s="1"/>
  <c r="AJ10" i="2"/>
  <c r="AK153" i="2"/>
  <c r="AL153" i="2" s="1"/>
  <c r="AK166" i="2"/>
  <c r="AL166" i="2" s="1"/>
  <c r="AJ383" i="2"/>
  <c r="AI590" i="2"/>
  <c r="AK639" i="2"/>
  <c r="AL639" i="2" s="1"/>
  <c r="AK140" i="2"/>
  <c r="AL140" i="2" s="1"/>
  <c r="AH274" i="2"/>
  <c r="AC274" i="2" s="1"/>
  <c r="AI574" i="2"/>
  <c r="AI462" i="2"/>
  <c r="AI17" i="2"/>
  <c r="AI129" i="2"/>
  <c r="AI166" i="2"/>
  <c r="AH242" i="2"/>
  <c r="AC242" i="2" s="1"/>
  <c r="AJ344" i="2"/>
  <c r="AH520" i="2"/>
  <c r="AC520" i="2" s="1"/>
  <c r="AH227" i="2"/>
  <c r="AC227" i="2" s="1"/>
  <c r="AK579" i="2"/>
  <c r="AL579" i="2" s="1"/>
  <c r="AK551" i="2"/>
  <c r="AL551" i="2" s="1"/>
  <c r="AK132" i="2"/>
  <c r="AL132" i="2" s="1"/>
  <c r="AI626" i="2"/>
  <c r="AJ574" i="2"/>
  <c r="AI58" i="2"/>
  <c r="AI93" i="2"/>
  <c r="AJ142" i="2"/>
  <c r="AK209" i="2"/>
  <c r="AL209" i="2" s="1"/>
  <c r="AI235" i="2"/>
  <c r="AH392" i="2"/>
  <c r="AC392" i="2" s="1"/>
  <c r="AJ361" i="2"/>
  <c r="AK643" i="2"/>
  <c r="AL643" i="2" s="1"/>
  <c r="AH46" i="2"/>
  <c r="AC46" i="2" s="1"/>
  <c r="AH462" i="2"/>
  <c r="AC462" i="2" s="1"/>
  <c r="AI478" i="2"/>
  <c r="AK223" i="2"/>
  <c r="AL223" i="2" s="1"/>
  <c r="AI529" i="2"/>
  <c r="AH529" i="2"/>
  <c r="AC529" i="2" s="1"/>
  <c r="AC142" i="2"/>
  <c r="AK377" i="2"/>
  <c r="AL377" i="2" s="1"/>
  <c r="AH579" i="2"/>
  <c r="AC579" i="2" s="1"/>
  <c r="AJ643" i="2"/>
  <c r="AJ19" i="2"/>
  <c r="AK574" i="2"/>
  <c r="AL574" i="2" s="1"/>
  <c r="AK443" i="2"/>
  <c r="AL443" i="2" s="1"/>
  <c r="AH140" i="2"/>
  <c r="AC140" i="2" s="1"/>
  <c r="AK235" i="2"/>
  <c r="AL235" i="2" s="1"/>
  <c r="AI252" i="2"/>
  <c r="AH301" i="2"/>
  <c r="AC301" i="2" s="1"/>
  <c r="AH295" i="2"/>
  <c r="AC295" i="2" s="1"/>
  <c r="AJ414" i="2"/>
  <c r="AK478" i="2"/>
  <c r="AL478" i="2" s="1"/>
  <c r="AJ523" i="2"/>
  <c r="AI643" i="2"/>
  <c r="AK636" i="2"/>
  <c r="AL636" i="2" s="1"/>
  <c r="AJ227" i="2"/>
  <c r="AK58" i="2"/>
  <c r="AL58" i="2" s="1"/>
  <c r="AK142" i="2"/>
  <c r="AL142" i="2" s="1"/>
  <c r="AK208" i="2"/>
  <c r="AL208" i="2" s="1"/>
  <c r="AH263" i="2"/>
  <c r="AC263" i="2" s="1"/>
  <c r="AJ301" i="2"/>
  <c r="AK269" i="2"/>
  <c r="AL269" i="2" s="1"/>
  <c r="AK461" i="2"/>
  <c r="AL461" i="2" s="1"/>
  <c r="AI414" i="2"/>
  <c r="AK576" i="2"/>
  <c r="AL576" i="2" s="1"/>
  <c r="AI523" i="2"/>
  <c r="AJ46" i="2"/>
  <c r="AK54" i="2"/>
  <c r="AL54" i="2" s="1"/>
  <c r="AJ235" i="2"/>
  <c r="AK565" i="2"/>
  <c r="AL565" i="2" s="1"/>
  <c r="AH590" i="2"/>
  <c r="AC590" i="2" s="1"/>
  <c r="AH509" i="2"/>
  <c r="AC509" i="2" s="1"/>
  <c r="AK414" i="2"/>
  <c r="AL414" i="2" s="1"/>
  <c r="AJ208" i="2"/>
  <c r="AJ269" i="2"/>
  <c r="AK462" i="2"/>
  <c r="AL462" i="2" s="1"/>
  <c r="AI579" i="2"/>
  <c r="AK25" i="2"/>
  <c r="AL25" i="2" s="1"/>
  <c r="AI105" i="2"/>
  <c r="AI208" i="2"/>
  <c r="AI269" i="2"/>
  <c r="AK31" i="2"/>
  <c r="AL31" i="2" s="1"/>
  <c r="AJ530" i="2"/>
  <c r="AJ58" i="2"/>
  <c r="AI25" i="2"/>
  <c r="AJ124" i="2"/>
  <c r="AI223" i="2"/>
  <c r="AK515" i="2"/>
  <c r="AL515" i="2" s="1"/>
  <c r="AK509" i="2"/>
  <c r="AL509" i="2" s="1"/>
  <c r="AK590" i="2"/>
  <c r="AL590" i="2" s="1"/>
  <c r="AH15" i="2"/>
  <c r="AC15" i="2" s="1"/>
  <c r="AK30" i="2"/>
  <c r="AL30" i="2" s="1"/>
  <c r="AK173" i="2"/>
  <c r="AL173" i="2" s="1"/>
  <c r="AH153" i="2"/>
  <c r="AC153" i="2" s="1"/>
  <c r="AK460" i="2"/>
  <c r="AL460" i="2" s="1"/>
  <c r="AH124" i="2"/>
  <c r="AC124" i="2" s="1"/>
  <c r="AH204" i="2"/>
  <c r="AC204" i="2" s="1"/>
  <c r="AK15" i="2"/>
  <c r="AL15" i="2" s="1"/>
  <c r="AJ17" i="2"/>
  <c r="AI62" i="2"/>
  <c r="AI383" i="2"/>
  <c r="AJ380" i="2"/>
  <c r="AI174" i="2"/>
  <c r="AK589" i="2"/>
  <c r="AL589" i="2" s="1"/>
  <c r="AJ549" i="2"/>
  <c r="AH412" i="2"/>
  <c r="AC412" i="2" s="1"/>
  <c r="AI430" i="2"/>
  <c r="AK145" i="2"/>
  <c r="AL145" i="2" s="1"/>
  <c r="AI127" i="2"/>
  <c r="AJ635" i="2"/>
  <c r="AH562" i="2"/>
  <c r="AC562" i="2" s="1"/>
  <c r="AJ161" i="2"/>
  <c r="AJ239" i="2"/>
  <c r="AK412" i="2"/>
  <c r="AL412" i="2" s="1"/>
  <c r="AJ484" i="2"/>
  <c r="AK239" i="2"/>
  <c r="AL239" i="2" s="1"/>
  <c r="AJ206" i="2"/>
  <c r="AJ97" i="2"/>
  <c r="AI524" i="2"/>
  <c r="AK237" i="2"/>
  <c r="AL237" i="2" s="1"/>
  <c r="AJ209" i="2"/>
  <c r="AJ493" i="2"/>
  <c r="AJ534" i="2"/>
  <c r="AI635" i="2"/>
  <c r="AI158" i="2"/>
  <c r="AK33" i="2"/>
  <c r="AL33" i="2" s="1"/>
  <c r="AK256" i="2"/>
  <c r="AL256" i="2" s="1"/>
  <c r="AH239" i="2"/>
  <c r="AC239" i="2" s="1"/>
  <c r="AJ256" i="2"/>
  <c r="AH116" i="2"/>
  <c r="AC116" i="2" s="1"/>
  <c r="AH209" i="2"/>
  <c r="AC209" i="2" s="1"/>
  <c r="AK475" i="2"/>
  <c r="AL475" i="2" s="1"/>
  <c r="AK66" i="2"/>
  <c r="AL66" i="2" s="1"/>
  <c r="AK180" i="2"/>
  <c r="AL180" i="2" s="1"/>
  <c r="AJ160" i="2"/>
  <c r="AI261" i="2"/>
  <c r="AH524" i="2"/>
  <c r="AC524" i="2" s="1"/>
  <c r="AK212" i="2"/>
  <c r="AL212" i="2" s="1"/>
  <c r="AJ452" i="2"/>
  <c r="AK191" i="2"/>
  <c r="AL191" i="2" s="1"/>
  <c r="AJ191" i="2"/>
  <c r="AI468" i="2"/>
  <c r="AK115" i="2"/>
  <c r="AL115" i="2" s="1"/>
  <c r="AJ64" i="2"/>
  <c r="AK430" i="2"/>
  <c r="AL430" i="2" s="1"/>
  <c r="AH127" i="2"/>
  <c r="AC127" i="2" s="1"/>
  <c r="AJ412" i="2"/>
  <c r="AH564" i="2"/>
  <c r="AC564" i="2" s="1"/>
  <c r="AH109" i="2"/>
  <c r="AC109" i="2" s="1"/>
  <c r="AH97" i="2"/>
  <c r="AC97" i="2" s="1"/>
  <c r="AK127" i="2"/>
  <c r="AL127" i="2" s="1"/>
  <c r="AK562" i="2"/>
  <c r="AL562" i="2" s="1"/>
  <c r="AH180" i="2"/>
  <c r="AC180" i="2" s="1"/>
  <c r="AH452" i="2"/>
  <c r="AC452" i="2" s="1"/>
  <c r="AJ99" i="2"/>
  <c r="AJ158" i="2"/>
  <c r="AJ261" i="2"/>
  <c r="AJ66" i="2"/>
  <c r="AC158" i="2"/>
  <c r="AI207" i="2"/>
  <c r="AK291" i="2"/>
  <c r="AL291" i="2" s="1"/>
  <c r="AI582" i="2"/>
  <c r="AH66" i="2"/>
  <c r="AC66" i="2" s="1"/>
  <c r="AI517" i="2"/>
  <c r="AH621" i="2"/>
  <c r="AC621" i="2" s="1"/>
  <c r="AH56" i="2"/>
  <c r="AC56" i="2" s="1"/>
  <c r="AH94" i="2"/>
  <c r="AC94" i="2" s="1"/>
  <c r="AK524" i="2"/>
  <c r="AL524" i="2" s="1"/>
  <c r="AK97" i="2"/>
  <c r="AL97" i="2" s="1"/>
  <c r="AJ257" i="2"/>
  <c r="AH172" i="2"/>
  <c r="AC172" i="2" s="1"/>
  <c r="AI206" i="2"/>
  <c r="AJ94" i="2"/>
  <c r="AJ170" i="2"/>
  <c r="AI180" i="2"/>
  <c r="AJ291" i="2"/>
  <c r="AK160" i="2"/>
  <c r="AL160" i="2" s="1"/>
  <c r="AH486" i="2"/>
  <c r="AC486" i="2" s="1"/>
  <c r="AI198" i="2"/>
  <c r="AI160" i="2"/>
  <c r="AH21" i="2"/>
  <c r="AC21" i="2" s="1"/>
  <c r="AI256" i="2"/>
  <c r="AH191" i="2"/>
  <c r="AC191" i="2" s="1"/>
  <c r="AK94" i="2"/>
  <c r="AL94" i="2" s="1"/>
  <c r="AK257" i="2"/>
  <c r="AL257" i="2" s="1"/>
  <c r="AK320" i="2"/>
  <c r="AL320" i="2" s="1"/>
  <c r="AK206" i="2"/>
  <c r="AL206" i="2" s="1"/>
  <c r="AK116" i="2"/>
  <c r="AL116" i="2" s="1"/>
  <c r="AI170" i="2"/>
  <c r="AK493" i="2"/>
  <c r="AL493" i="2" s="1"/>
  <c r="AH257" i="2"/>
  <c r="AC257" i="2" s="1"/>
  <c r="AK271" i="2"/>
  <c r="AL271" i="2" s="1"/>
  <c r="AK338" i="2"/>
  <c r="AL338" i="2" s="1"/>
  <c r="AK259" i="2"/>
  <c r="AL259" i="2" s="1"/>
  <c r="AJ320" i="2"/>
  <c r="AH559" i="2"/>
  <c r="AC559" i="2" s="1"/>
  <c r="AH207" i="2"/>
  <c r="AC207" i="2" s="1"/>
  <c r="AJ259" i="2"/>
  <c r="AK210" i="2"/>
  <c r="AL210" i="2" s="1"/>
  <c r="AM210" i="2" s="1"/>
  <c r="AK264" i="2"/>
  <c r="AL264" i="2" s="1"/>
  <c r="AH338" i="2"/>
  <c r="AC338" i="2" s="1"/>
  <c r="AJ223" i="2"/>
  <c r="AI288" i="2"/>
  <c r="AJ264" i="2"/>
  <c r="AI320" i="2"/>
  <c r="AI338" i="2"/>
  <c r="AJ400" i="2"/>
  <c r="AJ475" i="2"/>
  <c r="AH576" i="2"/>
  <c r="AC576" i="2" s="1"/>
  <c r="AH642" i="2"/>
  <c r="AC642" i="2" s="1"/>
  <c r="AH146" i="2"/>
  <c r="AC146" i="2" s="1"/>
  <c r="AK10" i="2"/>
  <c r="AL10" i="2" s="1"/>
  <c r="AK571" i="2"/>
  <c r="AL571" i="2" s="1"/>
  <c r="AJ271" i="2"/>
  <c r="AK199" i="2"/>
  <c r="AL199" i="2" s="1"/>
  <c r="AK642" i="2"/>
  <c r="AL642" i="2" s="1"/>
  <c r="AH631" i="2"/>
  <c r="AC631" i="2" s="1"/>
  <c r="AK146" i="2"/>
  <c r="AL146" i="2" s="1"/>
  <c r="AH288" i="2"/>
  <c r="AC288" i="2" s="1"/>
  <c r="AK276" i="2"/>
  <c r="AL276" i="2" s="1"/>
  <c r="AJ317" i="2"/>
  <c r="AI400" i="2"/>
  <c r="AI475" i="2"/>
  <c r="AI592" i="2"/>
  <c r="AJ642" i="2"/>
  <c r="AI162" i="2"/>
  <c r="AH87" i="2"/>
  <c r="AC87" i="2" s="1"/>
  <c r="AK178" i="2"/>
  <c r="AL178" i="2" s="1"/>
  <c r="AK557" i="2"/>
  <c r="AL557" i="2" s="1"/>
  <c r="AI631" i="2"/>
  <c r="AI225" i="2"/>
  <c r="AI218" i="2"/>
  <c r="AJ140" i="2"/>
  <c r="AI270" i="2"/>
  <c r="AI351" i="2"/>
  <c r="AJ422" i="2"/>
  <c r="AH480" i="2"/>
  <c r="AC480" i="2" s="1"/>
  <c r="AJ483" i="2"/>
  <c r="AJ418" i="2"/>
  <c r="AK102" i="2"/>
  <c r="AL102" i="2" s="1"/>
  <c r="AH173" i="2"/>
  <c r="AC173" i="2" s="1"/>
  <c r="AJ307" i="2"/>
  <c r="AK637" i="2"/>
  <c r="AL637" i="2" s="1"/>
  <c r="AI271" i="2"/>
  <c r="AI259" i="2"/>
  <c r="AK526" i="2"/>
  <c r="AL526" i="2" s="1"/>
  <c r="AI376" i="2"/>
  <c r="AI558" i="2"/>
  <c r="AH270" i="2"/>
  <c r="AC270" i="2" s="1"/>
  <c r="AK351" i="2"/>
  <c r="AL351" i="2" s="1"/>
  <c r="AK408" i="2"/>
  <c r="AL408" i="2" s="1"/>
  <c r="AH505" i="2"/>
  <c r="AC505" i="2" s="1"/>
  <c r="AI422" i="2"/>
  <c r="AI483" i="2"/>
  <c r="AJ525" i="2"/>
  <c r="AJ514" i="2"/>
  <c r="AI173" i="2"/>
  <c r="AH27" i="2"/>
  <c r="AC27" i="2" s="1"/>
  <c r="AJ578" i="2"/>
  <c r="AH464" i="2"/>
  <c r="AC464" i="2" s="1"/>
  <c r="AK395" i="2"/>
  <c r="AL395" i="2" s="1"/>
  <c r="AH223" i="2"/>
  <c r="AC223" i="2" s="1"/>
  <c r="AJ43" i="2"/>
  <c r="AJ25" i="2"/>
  <c r="AJ162" i="2"/>
  <c r="AK228" i="2"/>
  <c r="AL228" i="2" s="1"/>
  <c r="AJ173" i="2"/>
  <c r="AI155" i="2"/>
  <c r="AH166" i="2"/>
  <c r="AC166" i="2" s="1"/>
  <c r="AI228" i="2"/>
  <c r="AK278" i="2"/>
  <c r="AL278" i="2" s="1"/>
  <c r="AJ351" i="2"/>
  <c r="AJ373" i="2"/>
  <c r="AI366" i="2"/>
  <c r="AJ465" i="2"/>
  <c r="AI525" i="2"/>
  <c r="AH608" i="2"/>
  <c r="AC608" i="2" s="1"/>
  <c r="AI514" i="2"/>
  <c r="AI469" i="2"/>
  <c r="AK608" i="2"/>
  <c r="AL608" i="2" s="1"/>
  <c r="AK635" i="2"/>
  <c r="AL635" i="2" s="1"/>
  <c r="AK11" i="2"/>
  <c r="AL11" i="2" s="1"/>
  <c r="AJ129" i="2"/>
  <c r="AI148" i="2"/>
  <c r="AJ155" i="2"/>
  <c r="AI274" i="2"/>
  <c r="AI312" i="2"/>
  <c r="AH388" i="2"/>
  <c r="AC388" i="2" s="1"/>
  <c r="AK383" i="2"/>
  <c r="AL383" i="2" s="1"/>
  <c r="AI530" i="2"/>
  <c r="AI442" i="2"/>
  <c r="AJ60" i="2"/>
  <c r="AH560" i="2"/>
  <c r="AC560" i="2" s="1"/>
  <c r="AJ33" i="2"/>
  <c r="AJ480" i="2"/>
  <c r="AJ464" i="2"/>
  <c r="AK371" i="2"/>
  <c r="AL371" i="2" s="1"/>
  <c r="AJ401" i="2"/>
  <c r="AI263" i="2"/>
  <c r="AH98" i="2"/>
  <c r="AC98" i="2" s="1"/>
  <c r="AJ198" i="2"/>
  <c r="AK464" i="2"/>
  <c r="AL464" i="2" s="1"/>
  <c r="AI236" i="2"/>
  <c r="AI278" i="2"/>
  <c r="AI295" i="2"/>
  <c r="AJ355" i="2"/>
  <c r="AK401" i="2"/>
  <c r="AL401" i="2" s="1"/>
  <c r="AK392" i="2"/>
  <c r="AL392" i="2" s="1"/>
  <c r="AK434" i="2"/>
  <c r="AL434" i="2" s="1"/>
  <c r="AI388" i="2"/>
  <c r="AH416" i="2"/>
  <c r="AC416" i="2" s="1"/>
  <c r="AH592" i="2"/>
  <c r="AC592" i="2" s="1"/>
  <c r="AI576" i="2"/>
  <c r="AJ515" i="2"/>
  <c r="AJ613" i="2"/>
  <c r="AI153" i="2"/>
  <c r="AK241" i="2"/>
  <c r="AL241" i="2" s="1"/>
  <c r="AK403" i="2"/>
  <c r="AL403" i="2" s="1"/>
  <c r="AK592" i="2"/>
  <c r="AL592" i="2" s="1"/>
  <c r="AK489" i="2"/>
  <c r="AL489" i="2" s="1"/>
  <c r="AK21" i="2"/>
  <c r="AL21" i="2" s="1"/>
  <c r="AI194" i="2"/>
  <c r="AJ533" i="2"/>
  <c r="AI146" i="2"/>
  <c r="AI364" i="2"/>
  <c r="AK647" i="2"/>
  <c r="AL647" i="2" s="1"/>
  <c r="AH132" i="2"/>
  <c r="AC132" i="2" s="1"/>
  <c r="AK417" i="2"/>
  <c r="AL417" i="2" s="1"/>
  <c r="AJ540" i="2"/>
  <c r="AK95" i="2"/>
  <c r="AL95" i="2" s="1"/>
  <c r="AK469" i="2"/>
  <c r="AL469" i="2" s="1"/>
  <c r="AJ438" i="2"/>
  <c r="AH613" i="2"/>
  <c r="AC613" i="2" s="1"/>
  <c r="AJ220" i="2"/>
  <c r="AH105" i="2"/>
  <c r="AC105" i="2" s="1"/>
  <c r="AI102" i="2"/>
  <c r="AI204" i="2"/>
  <c r="AK274" i="2"/>
  <c r="AL274" i="2" s="1"/>
  <c r="AH278" i="2"/>
  <c r="AC278" i="2" s="1"/>
  <c r="AK265" i="2"/>
  <c r="AL265" i="2" s="1"/>
  <c r="AH364" i="2"/>
  <c r="AC364" i="2" s="1"/>
  <c r="AK416" i="2"/>
  <c r="AL416" i="2" s="1"/>
  <c r="AJ392" i="2"/>
  <c r="AI505" i="2"/>
  <c r="AJ416" i="2"/>
  <c r="AK517" i="2"/>
  <c r="AL517" i="2" s="1"/>
  <c r="AH517" i="2"/>
  <c r="AC517" i="2" s="1"/>
  <c r="AI515" i="2"/>
  <c r="AH636" i="2"/>
  <c r="AC636" i="2" s="1"/>
  <c r="AH228" i="2"/>
  <c r="AC228" i="2" s="1"/>
  <c r="AH340" i="2"/>
  <c r="AC340" i="2" s="1"/>
  <c r="AK631" i="2"/>
  <c r="AL631" i="2" s="1"/>
  <c r="AK138" i="2"/>
  <c r="AL138" i="2" s="1"/>
  <c r="AK575" i="2"/>
  <c r="AL575" i="2" s="1"/>
  <c r="AJ474" i="2"/>
  <c r="AH33" i="2"/>
  <c r="AC33" i="2" s="1"/>
  <c r="AI33" i="2"/>
  <c r="AH267" i="2"/>
  <c r="AC267" i="2" s="1"/>
  <c r="AJ281" i="2"/>
  <c r="AI371" i="2"/>
  <c r="AI401" i="2"/>
  <c r="AI465" i="2"/>
  <c r="AH647" i="2"/>
  <c r="AC647" i="2" s="1"/>
  <c r="AH225" i="2"/>
  <c r="AC225" i="2" s="1"/>
  <c r="AJ103" i="2"/>
  <c r="AK93" i="2"/>
  <c r="AL93" i="2" s="1"/>
  <c r="AK148" i="2"/>
  <c r="AL148" i="2" s="1"/>
  <c r="AJ265" i="2"/>
  <c r="AH369" i="2"/>
  <c r="AC369" i="2" s="1"/>
  <c r="AK436" i="2"/>
  <c r="AL436" i="2" s="1"/>
  <c r="AI440" i="2"/>
  <c r="AK540" i="2"/>
  <c r="AL540" i="2" s="1"/>
  <c r="AH518" i="2"/>
  <c r="AC518" i="2" s="1"/>
  <c r="AK520" i="2"/>
  <c r="AL520" i="2" s="1"/>
  <c r="AJ520" i="2"/>
  <c r="AJ611" i="2"/>
  <c r="AJ636" i="2"/>
  <c r="AH447" i="2"/>
  <c r="AC447" i="2" s="1"/>
  <c r="AJ314" i="2"/>
  <c r="AH425" i="2"/>
  <c r="AC425" i="2" s="1"/>
  <c r="AK555" i="2"/>
  <c r="AL555" i="2" s="1"/>
  <c r="AK121" i="2"/>
  <c r="AL121" i="2" s="1"/>
  <c r="AK17" i="2"/>
  <c r="AL17" i="2" s="1"/>
  <c r="AJ499" i="2"/>
  <c r="AH53" i="2"/>
  <c r="AC53" i="2" s="1"/>
  <c r="AH139" i="2"/>
  <c r="AC139" i="2" s="1"/>
  <c r="AK447" i="2"/>
  <c r="AL447" i="2" s="1"/>
  <c r="AK549" i="2"/>
  <c r="AL549" i="2" s="1"/>
  <c r="AH64" i="2"/>
  <c r="AC64" i="2" s="1"/>
  <c r="AJ118" i="2"/>
  <c r="AI247" i="2"/>
  <c r="AK283" i="2"/>
  <c r="AL283" i="2" s="1"/>
  <c r="AI265" i="2"/>
  <c r="AI436" i="2"/>
  <c r="AK369" i="2"/>
  <c r="AL369" i="2" s="1"/>
  <c r="AK444" i="2"/>
  <c r="AL444" i="2" s="1"/>
  <c r="AI499" i="2"/>
  <c r="AI540" i="2"/>
  <c r="AH511" i="2"/>
  <c r="AC511" i="2" s="1"/>
  <c r="AJ463" i="2"/>
  <c r="AK505" i="2"/>
  <c r="AL505" i="2" s="1"/>
  <c r="AH593" i="2"/>
  <c r="AC593" i="2" s="1"/>
  <c r="AJ528" i="2"/>
  <c r="AI611" i="2"/>
  <c r="AH565" i="2"/>
  <c r="AC565" i="2" s="1"/>
  <c r="AH38" i="2"/>
  <c r="AC38" i="2" s="1"/>
  <c r="AH433" i="2"/>
  <c r="AC433" i="2" s="1"/>
  <c r="AK163" i="2"/>
  <c r="AL163" i="2" s="1"/>
  <c r="AH283" i="2"/>
  <c r="AC283" i="2" s="1"/>
  <c r="AK261" i="2"/>
  <c r="AL261" i="2" s="1"/>
  <c r="AK580" i="2"/>
  <c r="AL580" i="2" s="1"/>
  <c r="AK560" i="2"/>
  <c r="AL560" i="2" s="1"/>
  <c r="AK593" i="2"/>
  <c r="AL593" i="2" s="1"/>
  <c r="AK605" i="2"/>
  <c r="AL605" i="2" s="1"/>
  <c r="AK103" i="2"/>
  <c r="AL103" i="2" s="1"/>
  <c r="AM656" i="2"/>
  <c r="AK364" i="2"/>
  <c r="AL364" i="2" s="1"/>
  <c r="AJ647" i="2"/>
  <c r="AK281" i="2"/>
  <c r="AL281" i="2" s="1"/>
  <c r="AK129" i="2"/>
  <c r="AL129" i="2" s="1"/>
  <c r="AI134" i="2"/>
  <c r="AK236" i="2"/>
  <c r="AL236" i="2" s="1"/>
  <c r="AI281" i="2"/>
  <c r="AK19" i="2"/>
  <c r="AL19" i="2" s="1"/>
  <c r="AJ143" i="2"/>
  <c r="AH114" i="2"/>
  <c r="AC114" i="2" s="1"/>
  <c r="AJ148" i="2"/>
  <c r="AI139" i="2"/>
  <c r="AI157" i="2"/>
  <c r="AH31" i="2"/>
  <c r="AC31" i="2" s="1"/>
  <c r="AK64" i="2"/>
  <c r="AL64" i="2" s="1"/>
  <c r="AK139" i="2"/>
  <c r="AL139" i="2" s="1"/>
  <c r="AK157" i="2"/>
  <c r="AL157" i="2" s="1"/>
  <c r="AJ283" i="2"/>
  <c r="AK289" i="2"/>
  <c r="AL289" i="2" s="1"/>
  <c r="AK267" i="2"/>
  <c r="AL267" i="2" s="1"/>
  <c r="AK301" i="2"/>
  <c r="AL301" i="2" s="1"/>
  <c r="AJ352" i="2"/>
  <c r="AK427" i="2"/>
  <c r="AL427" i="2" s="1"/>
  <c r="AI369" i="2"/>
  <c r="AH463" i="2"/>
  <c r="AC463" i="2" s="1"/>
  <c r="AK514" i="2"/>
  <c r="AL514" i="2" s="1"/>
  <c r="AK482" i="2"/>
  <c r="AL482" i="2" s="1"/>
  <c r="AK528" i="2"/>
  <c r="AL528" i="2" s="1"/>
  <c r="AJ509" i="2"/>
  <c r="AK609" i="2"/>
  <c r="AL609" i="2" s="1"/>
  <c r="AI538" i="2"/>
  <c r="AI528" i="2"/>
  <c r="AI602" i="2"/>
  <c r="AI460" i="2"/>
  <c r="AK150" i="2"/>
  <c r="AL150" i="2" s="1"/>
  <c r="AK611" i="2"/>
  <c r="AL611" i="2" s="1"/>
  <c r="AK633" i="2"/>
  <c r="AL633" i="2" s="1"/>
  <c r="AK143" i="2"/>
  <c r="AL143" i="2" s="1"/>
  <c r="AI296" i="2"/>
  <c r="AI560" i="2"/>
  <c r="AH150" i="2"/>
  <c r="AC150" i="2" s="1"/>
  <c r="AK459" i="2"/>
  <c r="AL459" i="2" s="1"/>
  <c r="AI31" i="2"/>
  <c r="AJ482" i="2"/>
  <c r="AJ215" i="2"/>
  <c r="AH236" i="2"/>
  <c r="AC236" i="2" s="1"/>
  <c r="AJ157" i="2"/>
  <c r="AK214" i="2"/>
  <c r="AL214" i="2" s="1"/>
  <c r="AJ289" i="2"/>
  <c r="AK258" i="2"/>
  <c r="AL258" i="2" s="1"/>
  <c r="AJ267" i="2"/>
  <c r="AK465" i="2"/>
  <c r="AL465" i="2" s="1"/>
  <c r="AK452" i="2"/>
  <c r="AL452" i="2" s="1"/>
  <c r="AH467" i="2"/>
  <c r="AC467" i="2" s="1"/>
  <c r="AK480" i="2"/>
  <c r="AL480" i="2" s="1"/>
  <c r="AM480" i="2" s="1"/>
  <c r="AJ467" i="2"/>
  <c r="AK525" i="2"/>
  <c r="AL525" i="2" s="1"/>
  <c r="AJ538" i="2"/>
  <c r="AH626" i="2"/>
  <c r="AC626" i="2" s="1"/>
  <c r="AH247" i="2"/>
  <c r="AC247" i="2" s="1"/>
  <c r="AH436" i="2"/>
  <c r="AC436" i="2" s="1"/>
  <c r="AH289" i="2"/>
  <c r="AC289" i="2" s="1"/>
  <c r="AI352" i="2"/>
  <c r="AI150" i="2"/>
  <c r="AK118" i="2"/>
  <c r="AL118" i="2" s="1"/>
  <c r="AJ446" i="2"/>
  <c r="AH446" i="2"/>
  <c r="AC446" i="2" s="1"/>
  <c r="AH475" i="2"/>
  <c r="AC475" i="2" s="1"/>
  <c r="AK192" i="2"/>
  <c r="AL192" i="2" s="1"/>
  <c r="AH231" i="2"/>
  <c r="AC231" i="2" s="1"/>
  <c r="AH91" i="2"/>
  <c r="AC91" i="2" s="1"/>
  <c r="AI53" i="2"/>
  <c r="AI372" i="2"/>
  <c r="AK530" i="2"/>
  <c r="AL530" i="2" s="1"/>
  <c r="AH606" i="2"/>
  <c r="AC606" i="2" s="1"/>
  <c r="AH95" i="2"/>
  <c r="AC95" i="2" s="1"/>
  <c r="AK529" i="2"/>
  <c r="AL529" i="2" s="1"/>
  <c r="AI60" i="2"/>
  <c r="AH100" i="2"/>
  <c r="AC100" i="2" s="1"/>
  <c r="AK38" i="2"/>
  <c r="AL38" i="2" s="1"/>
  <c r="AK75" i="2"/>
  <c r="AL75" i="2" s="1"/>
  <c r="AJ164" i="2"/>
  <c r="AK204" i="2"/>
  <c r="AL204" i="2" s="1"/>
  <c r="AK164" i="2"/>
  <c r="AL164" i="2" s="1"/>
  <c r="AK225" i="2"/>
  <c r="AL225" i="2" s="1"/>
  <c r="AI444" i="2"/>
  <c r="AJ366" i="2"/>
  <c r="AI447" i="2"/>
  <c r="AK483" i="2"/>
  <c r="AL483" i="2" s="1"/>
  <c r="AK352" i="2"/>
  <c r="AL352" i="2" s="1"/>
  <c r="AK600" i="2"/>
  <c r="AL600" i="2" s="1"/>
  <c r="AK105" i="2"/>
  <c r="AL105" i="2" s="1"/>
  <c r="AK53" i="2"/>
  <c r="AL53" i="2" s="1"/>
  <c r="AK485" i="2"/>
  <c r="AL485" i="2" s="1"/>
  <c r="AM649" i="2"/>
  <c r="AJ504" i="2"/>
  <c r="AI504" i="2"/>
  <c r="AI561" i="2"/>
  <c r="AH561" i="2"/>
  <c r="AC561" i="2" s="1"/>
  <c r="AJ451" i="2"/>
  <c r="AI451" i="2"/>
  <c r="AH451" i="2"/>
  <c r="AC451" i="2" s="1"/>
  <c r="AH169" i="2"/>
  <c r="AC169" i="2" s="1"/>
  <c r="AI169" i="2"/>
  <c r="AJ255" i="2"/>
  <c r="AK255" i="2"/>
  <c r="AL255" i="2" s="1"/>
  <c r="AH255" i="2"/>
  <c r="AC255" i="2" s="1"/>
  <c r="AJ35" i="2"/>
  <c r="AJ266" i="2"/>
  <c r="AK266" i="2"/>
  <c r="AL266" i="2" s="1"/>
  <c r="AI266" i="2"/>
  <c r="AI168" i="2"/>
  <c r="AI200" i="2"/>
  <c r="AJ282" i="2"/>
  <c r="AH282" i="2"/>
  <c r="AC282" i="2" s="1"/>
  <c r="AI282" i="2"/>
  <c r="AI390" i="2"/>
  <c r="AK390" i="2"/>
  <c r="AL390" i="2" s="1"/>
  <c r="AI136" i="2"/>
  <c r="AI497" i="2"/>
  <c r="AK497" i="2"/>
  <c r="AL497" i="2" s="1"/>
  <c r="AI455" i="2"/>
  <c r="AH455" i="2"/>
  <c r="AC455" i="2" s="1"/>
  <c r="AJ498" i="2"/>
  <c r="AH315" i="2"/>
  <c r="AC315" i="2" s="1"/>
  <c r="AJ315" i="2"/>
  <c r="AH630" i="2"/>
  <c r="AC630" i="2" s="1"/>
  <c r="AI630" i="2"/>
  <c r="AJ630" i="2"/>
  <c r="AK630" i="2"/>
  <c r="AL630" i="2" s="1"/>
  <c r="AK532" i="2"/>
  <c r="AL532" i="2" s="1"/>
  <c r="AH586" i="2"/>
  <c r="AC586" i="2" s="1"/>
  <c r="AJ586" i="2"/>
  <c r="AI586" i="2"/>
  <c r="AI594" i="2"/>
  <c r="AH594" i="2"/>
  <c r="AC594" i="2" s="1"/>
  <c r="AI29" i="2"/>
  <c r="AK275" i="2"/>
  <c r="AL275" i="2" s="1"/>
  <c r="AI275" i="2"/>
  <c r="AJ275" i="2"/>
  <c r="AC291" i="2"/>
  <c r="AK510" i="2"/>
  <c r="AL510" i="2" s="1"/>
  <c r="AJ435" i="2"/>
  <c r="AH435" i="2"/>
  <c r="AC435" i="2" s="1"/>
  <c r="AI435" i="2"/>
  <c r="AH303" i="2"/>
  <c r="AC303" i="2" s="1"/>
  <c r="AJ233" i="2"/>
  <c r="AI233" i="2"/>
  <c r="AK233" i="2"/>
  <c r="AL233" i="2" s="1"/>
  <c r="AH233" i="2"/>
  <c r="AC233" i="2" s="1"/>
  <c r="AI431" i="2"/>
  <c r="AJ431" i="2"/>
  <c r="AH29" i="2"/>
  <c r="AC29" i="2" s="1"/>
  <c r="AK594" i="2"/>
  <c r="AL594" i="2" s="1"/>
  <c r="AI330" i="2"/>
  <c r="AJ330" i="2"/>
  <c r="AJ594" i="2"/>
  <c r="AK6" i="2"/>
  <c r="AL6" i="2" s="1"/>
  <c r="AJ138" i="2"/>
  <c r="AH174" i="2"/>
  <c r="AC174" i="2" s="1"/>
  <c r="AH252" i="2"/>
  <c r="AC252" i="2" s="1"/>
  <c r="AI138" i="2"/>
  <c r="AK303" i="2"/>
  <c r="AL303" i="2" s="1"/>
  <c r="AH284" i="2"/>
  <c r="AC284" i="2" s="1"/>
  <c r="AK535" i="2"/>
  <c r="AL535" i="2" s="1"/>
  <c r="AK613" i="2"/>
  <c r="AL613" i="2" s="1"/>
  <c r="AI450" i="2"/>
  <c r="AH450" i="2"/>
  <c r="AC450" i="2" s="1"/>
  <c r="AJ450" i="2"/>
  <c r="AJ619" i="2"/>
  <c r="AK619" i="2"/>
  <c r="AL619" i="2" s="1"/>
  <c r="AH619" i="2"/>
  <c r="AC619" i="2" s="1"/>
  <c r="AH384" i="2"/>
  <c r="AC384" i="2" s="1"/>
  <c r="AI384" i="2"/>
  <c r="AJ384" i="2"/>
  <c r="AK384" i="2"/>
  <c r="AL384" i="2" s="1"/>
  <c r="AI510" i="2"/>
  <c r="AH510" i="2"/>
  <c r="AC510" i="2" s="1"/>
  <c r="AJ580" i="2"/>
  <c r="AI580" i="2"/>
  <c r="AJ137" i="2"/>
  <c r="AI137" i="2"/>
  <c r="AI254" i="2"/>
  <c r="AH254" i="2"/>
  <c r="AC254" i="2" s="1"/>
  <c r="AK238" i="2"/>
  <c r="AL238" i="2" s="1"/>
  <c r="AI621" i="2"/>
  <c r="AK122" i="2"/>
  <c r="AL122" i="2" s="1"/>
  <c r="AJ175" i="2"/>
  <c r="AH175" i="2"/>
  <c r="AC175" i="2" s="1"/>
  <c r="AJ187" i="2"/>
  <c r="AI187" i="2"/>
  <c r="AK411" i="2"/>
  <c r="AL411" i="2" s="1"/>
  <c r="AH411" i="2"/>
  <c r="AC411" i="2" s="1"/>
  <c r="AJ37" i="2"/>
  <c r="AI37" i="2"/>
  <c r="AK37" i="2"/>
  <c r="AL37" i="2" s="1"/>
  <c r="AK287" i="2"/>
  <c r="AL287" i="2" s="1"/>
  <c r="AH287" i="2"/>
  <c r="AC287" i="2" s="1"/>
  <c r="AJ305" i="2"/>
  <c r="AH305" i="2"/>
  <c r="AC305" i="2" s="1"/>
  <c r="AH62" i="2"/>
  <c r="AC62" i="2" s="1"/>
  <c r="AH264" i="2"/>
  <c r="AC264" i="2" s="1"/>
  <c r="AI284" i="2"/>
  <c r="AJ114" i="2"/>
  <c r="AH266" i="2"/>
  <c r="AC266" i="2" s="1"/>
  <c r="AI303" i="2"/>
  <c r="AK431" i="2"/>
  <c r="AL431" i="2" s="1"/>
  <c r="AJ510" i="2"/>
  <c r="AJ254" i="2"/>
  <c r="AK172" i="2"/>
  <c r="AL172" i="2" s="1"/>
  <c r="AI427" i="2"/>
  <c r="AH346" i="2"/>
  <c r="AC346" i="2" s="1"/>
  <c r="AI346" i="2"/>
  <c r="AJ497" i="2"/>
  <c r="AK569" i="2"/>
  <c r="AL569" i="2" s="1"/>
  <c r="AJ569" i="2"/>
  <c r="AI569" i="2"/>
  <c r="AK309" i="2"/>
  <c r="AL309" i="2" s="1"/>
  <c r="AH309" i="2"/>
  <c r="AC309" i="2" s="1"/>
  <c r="AI332" i="2"/>
  <c r="AH332" i="2"/>
  <c r="AC332" i="2" s="1"/>
  <c r="AJ332" i="2"/>
  <c r="AK332" i="2"/>
  <c r="AL332" i="2" s="1"/>
  <c r="AJ121" i="2"/>
  <c r="AI121" i="2"/>
  <c r="AH286" i="2"/>
  <c r="AC286" i="2" s="1"/>
  <c r="AJ286" i="2"/>
  <c r="AK109" i="2"/>
  <c r="AL109" i="2" s="1"/>
  <c r="AJ81" i="2"/>
  <c r="AI81" i="2"/>
  <c r="AI363" i="2"/>
  <c r="AJ363" i="2"/>
  <c r="AH498" i="2"/>
  <c r="AC498" i="2" s="1"/>
  <c r="AH632" i="2"/>
  <c r="AC632" i="2" s="1"/>
  <c r="AI632" i="2"/>
  <c r="AJ131" i="2"/>
  <c r="AI131" i="2"/>
  <c r="AI477" i="2"/>
  <c r="AK477" i="2"/>
  <c r="AL477" i="2" s="1"/>
  <c r="AJ477" i="2"/>
  <c r="AM650" i="2"/>
  <c r="AH554" i="2"/>
  <c r="AC554" i="2" s="1"/>
  <c r="AK554" i="2"/>
  <c r="AL554" i="2" s="1"/>
  <c r="AH144" i="2"/>
  <c r="AC144" i="2" s="1"/>
  <c r="AJ144" i="2"/>
  <c r="AJ290" i="2"/>
  <c r="AH290" i="2"/>
  <c r="AC290" i="2" s="1"/>
  <c r="AI290" i="2"/>
  <c r="AK546" i="2"/>
  <c r="AL546" i="2" s="1"/>
  <c r="AK381" i="2"/>
  <c r="AL381" i="2" s="1"/>
  <c r="AH497" i="2"/>
  <c r="AC497" i="2" s="1"/>
  <c r="AJ27" i="2"/>
  <c r="AH75" i="2"/>
  <c r="AC75" i="2" s="1"/>
  <c r="AI75" i="2"/>
  <c r="AK61" i="2"/>
  <c r="AL61" i="2" s="1"/>
  <c r="AH598" i="2"/>
  <c r="AC598" i="2" s="1"/>
  <c r="AH296" i="2"/>
  <c r="AC296" i="2" s="1"/>
  <c r="AH138" i="2"/>
  <c r="AC138" i="2" s="1"/>
  <c r="AK541" i="2"/>
  <c r="AL541" i="2" s="1"/>
  <c r="AH427" i="2"/>
  <c r="AC427" i="2" s="1"/>
  <c r="AH535" i="2"/>
  <c r="AC535" i="2" s="1"/>
  <c r="AK558" i="2"/>
  <c r="AL558" i="2" s="1"/>
  <c r="AK131" i="2"/>
  <c r="AL131" i="2" s="1"/>
  <c r="AK29" i="2"/>
  <c r="AL29" i="2" s="1"/>
  <c r="AH330" i="2"/>
  <c r="AC330" i="2" s="1"/>
  <c r="AH508" i="2"/>
  <c r="AC508" i="2" s="1"/>
  <c r="AJ532" i="2"/>
  <c r="AI532" i="2"/>
  <c r="AH532" i="2"/>
  <c r="AC532" i="2" s="1"/>
  <c r="AH552" i="2"/>
  <c r="AC552" i="2" s="1"/>
  <c r="AI552" i="2"/>
  <c r="AJ238" i="2"/>
  <c r="AH238" i="2"/>
  <c r="AC238" i="2" s="1"/>
  <c r="AI120" i="2"/>
  <c r="AI291" i="2"/>
  <c r="AK621" i="2"/>
  <c r="AL621" i="2" s="1"/>
  <c r="AH597" i="2"/>
  <c r="AC597" i="2" s="1"/>
  <c r="AI334" i="2"/>
  <c r="AJ334" i="2"/>
  <c r="AJ234" i="2"/>
  <c r="AH234" i="2"/>
  <c r="AC234" i="2" s="1"/>
  <c r="AI11" i="2"/>
  <c r="AH11" i="2"/>
  <c r="AC11" i="2" s="1"/>
  <c r="AH122" i="2"/>
  <c r="AC122" i="2" s="1"/>
  <c r="AJ39" i="2"/>
  <c r="AH39" i="2"/>
  <c r="AC39" i="2" s="1"/>
  <c r="AK617" i="2"/>
  <c r="AL617" i="2" s="1"/>
  <c r="AH617" i="2"/>
  <c r="AC617" i="2" s="1"/>
  <c r="AI617" i="2"/>
  <c r="AI5" i="2"/>
  <c r="AJ5" i="2"/>
  <c r="AH5" i="2"/>
  <c r="AC5" i="2" s="1"/>
  <c r="AJ432" i="2"/>
  <c r="AI432" i="2"/>
  <c r="AJ365" i="2"/>
  <c r="AI365" i="2"/>
  <c r="AI43" i="2"/>
  <c r="AK43" i="2"/>
  <c r="AL43" i="2" s="1"/>
  <c r="AK194" i="2"/>
  <c r="AL194" i="2" s="1"/>
  <c r="AJ194" i="2"/>
  <c r="AK39" i="2"/>
  <c r="AL39" i="2" s="1"/>
  <c r="AI317" i="2"/>
  <c r="AH614" i="2"/>
  <c r="AC614" i="2" s="1"/>
  <c r="AI608" i="2"/>
  <c r="AK32" i="2"/>
  <c r="AL32" i="2" s="1"/>
  <c r="AK62" i="2"/>
  <c r="AL62" i="2" s="1"/>
  <c r="AJ141" i="2"/>
  <c r="AI234" i="2"/>
  <c r="AJ287" i="2"/>
  <c r="AK373" i="2"/>
  <c r="AL373" i="2" s="1"/>
  <c r="AJ541" i="2"/>
  <c r="AI619" i="2"/>
  <c r="AH477" i="2"/>
  <c r="AC477" i="2" s="1"/>
  <c r="AH548" i="2"/>
  <c r="AC548" i="2" s="1"/>
  <c r="AK366" i="2"/>
  <c r="AL366" i="2" s="1"/>
  <c r="AI126" i="2"/>
  <c r="AK126" i="2"/>
  <c r="AL126" i="2" s="1"/>
  <c r="AJ196" i="2"/>
  <c r="AK196" i="2"/>
  <c r="AL196" i="2" s="1"/>
  <c r="AI196" i="2"/>
  <c r="AH196" i="2"/>
  <c r="AC196" i="2" s="1"/>
  <c r="AI646" i="2"/>
  <c r="AJ646" i="2"/>
  <c r="AK646" i="2"/>
  <c r="AL646" i="2" s="1"/>
  <c r="AJ212" i="2"/>
  <c r="AI212" i="2"/>
  <c r="AK596" i="2"/>
  <c r="AL596" i="2" s="1"/>
  <c r="AI596" i="2"/>
  <c r="AH596" i="2"/>
  <c r="AC596" i="2" s="1"/>
  <c r="AJ596" i="2"/>
  <c r="AK553" i="2"/>
  <c r="AL553" i="2" s="1"/>
  <c r="AH553" i="2"/>
  <c r="AC553" i="2" s="1"/>
  <c r="AI553" i="2"/>
  <c r="AI381" i="2"/>
  <c r="AJ381" i="2"/>
  <c r="AH121" i="2"/>
  <c r="AC121" i="2" s="1"/>
  <c r="AI494" i="2"/>
  <c r="AJ494" i="2"/>
  <c r="AJ558" i="2"/>
  <c r="AJ217" i="2"/>
  <c r="AI217" i="2"/>
  <c r="AK217" i="2"/>
  <c r="AL217" i="2" s="1"/>
  <c r="AK623" i="2"/>
  <c r="AL623" i="2" s="1"/>
  <c r="AH623" i="2"/>
  <c r="AC623" i="2" s="1"/>
  <c r="AI623" i="2"/>
  <c r="AJ623" i="2"/>
  <c r="AJ395" i="2"/>
  <c r="AH395" i="2"/>
  <c r="AC395" i="2" s="1"/>
  <c r="AI578" i="2"/>
  <c r="AJ232" i="2"/>
  <c r="AK232" i="2"/>
  <c r="AL232" i="2" s="1"/>
  <c r="AJ531" i="2"/>
  <c r="AH531" i="2"/>
  <c r="AC531" i="2" s="1"/>
  <c r="AI512" i="2"/>
  <c r="AJ512" i="2"/>
  <c r="AJ553" i="2"/>
  <c r="AM652" i="2"/>
  <c r="AI567" i="2"/>
  <c r="AH567" i="2"/>
  <c r="AC567" i="2" s="1"/>
  <c r="AI453" i="2"/>
  <c r="AJ453" i="2"/>
  <c r="AH453" i="2"/>
  <c r="AC453" i="2" s="1"/>
  <c r="AJ280" i="2"/>
  <c r="AH280" i="2"/>
  <c r="AC280" i="2" s="1"/>
  <c r="AI280" i="2"/>
  <c r="AH32" i="2"/>
  <c r="AC32" i="2" s="1"/>
  <c r="AJ136" i="2"/>
  <c r="AJ75" i="2"/>
  <c r="AI457" i="2"/>
  <c r="AH37" i="2"/>
  <c r="AC37" i="2" s="1"/>
  <c r="AI109" i="2"/>
  <c r="AI172" i="2"/>
  <c r="AI232" i="2"/>
  <c r="AI255" i="2"/>
  <c r="AI287" i="2"/>
  <c r="AI409" i="2"/>
  <c r="AI541" i="2"/>
  <c r="AJ605" i="2"/>
  <c r="AK561" i="2"/>
  <c r="AL561" i="2" s="1"/>
  <c r="AH168" i="2"/>
  <c r="AC168" i="2" s="1"/>
  <c r="AH633" i="2"/>
  <c r="AC633" i="2" s="1"/>
  <c r="AK270" i="2"/>
  <c r="AL270" i="2" s="1"/>
  <c r="AH48" i="2"/>
  <c r="AC48" i="2" s="1"/>
  <c r="AI575" i="2"/>
  <c r="AK578" i="2"/>
  <c r="AL578" i="2" s="1"/>
  <c r="AK365" i="2"/>
  <c r="AL365" i="2" s="1"/>
  <c r="AK27" i="2"/>
  <c r="AL27" i="2" s="1"/>
  <c r="AH134" i="2"/>
  <c r="AC134" i="2" s="1"/>
  <c r="AK7" i="2"/>
  <c r="AL7" i="2" s="1"/>
  <c r="AK100" i="2"/>
  <c r="AL100" i="2" s="1"/>
  <c r="AI91" i="2"/>
  <c r="AH408" i="2"/>
  <c r="AC408" i="2" s="1"/>
  <c r="AK432" i="2"/>
  <c r="AL432" i="2" s="1"/>
  <c r="AK468" i="2"/>
  <c r="AL468" i="2" s="1"/>
  <c r="AH474" i="2"/>
  <c r="AC474" i="2" s="1"/>
  <c r="AK60" i="2"/>
  <c r="AL60" i="2" s="1"/>
  <c r="AK174" i="2"/>
  <c r="AL174" i="2" s="1"/>
  <c r="AH575" i="2"/>
  <c r="AC575" i="2" s="1"/>
  <c r="AJ48" i="2"/>
  <c r="AK175" i="2"/>
  <c r="AL175" i="2" s="1"/>
  <c r="AI192" i="2"/>
  <c r="AK451" i="2"/>
  <c r="AL451" i="2" s="1"/>
  <c r="AK453" i="2"/>
  <c r="AL453" i="2" s="1"/>
  <c r="AH103" i="2"/>
  <c r="AC103" i="2" s="1"/>
  <c r="AI100" i="2"/>
  <c r="AK280" i="2"/>
  <c r="AL280" i="2" s="1"/>
  <c r="AJ408" i="2"/>
  <c r="AK455" i="2"/>
  <c r="AL455" i="2" s="1"/>
  <c r="AH102" i="2"/>
  <c r="AC102" i="2" s="1"/>
  <c r="AI98" i="2"/>
  <c r="AJ116" i="2"/>
  <c r="AJ214" i="2"/>
  <c r="AK290" i="2"/>
  <c r="AL290" i="2" s="1"/>
  <c r="AK531" i="2"/>
  <c r="AL531" i="2" s="1"/>
  <c r="AK499" i="2"/>
  <c r="AL499" i="2" s="1"/>
  <c r="AK474" i="2"/>
  <c r="AL474" i="2" s="1"/>
  <c r="AK512" i="2"/>
  <c r="AL512" i="2" s="1"/>
  <c r="AK467" i="2"/>
  <c r="AL467" i="2" s="1"/>
  <c r="AJ565" i="2"/>
  <c r="AH634" i="2"/>
  <c r="AC634" i="2" s="1"/>
  <c r="AK606" i="2"/>
  <c r="AL606" i="2" s="1"/>
  <c r="AH214" i="2"/>
  <c r="AC214" i="2" s="1"/>
  <c r="AH54" i="2"/>
  <c r="AC54" i="2" s="1"/>
  <c r="AK234" i="2"/>
  <c r="AL234" i="2" s="1"/>
  <c r="AK334" i="2"/>
  <c r="AL334" i="2" s="1"/>
  <c r="AK282" i="2"/>
  <c r="AL282" i="2" s="1"/>
  <c r="AK70" i="2"/>
  <c r="AL70" i="2" s="1"/>
  <c r="AH438" i="2"/>
  <c r="AC438" i="2" s="1"/>
  <c r="AK187" i="2"/>
  <c r="AL187" i="2" s="1"/>
  <c r="AK438" i="2"/>
  <c r="AL438" i="2" s="1"/>
  <c r="AI95" i="2"/>
  <c r="AH107" i="2"/>
  <c r="AC107" i="2" s="1"/>
  <c r="AH143" i="2"/>
  <c r="AC143" i="2" s="1"/>
  <c r="AK170" i="2"/>
  <c r="AL170" i="2" s="1"/>
  <c r="AK169" i="2"/>
  <c r="AL169" i="2" s="1"/>
  <c r="AK286" i="2"/>
  <c r="AL286" i="2" s="1"/>
  <c r="AK305" i="2"/>
  <c r="AL305" i="2" s="1"/>
  <c r="AK284" i="2"/>
  <c r="AL284" i="2" s="1"/>
  <c r="AJ469" i="2"/>
  <c r="AH468" i="2"/>
  <c r="AC468" i="2" s="1"/>
  <c r="AI565" i="2"/>
  <c r="AK634" i="2"/>
  <c r="AL634" i="2" s="1"/>
  <c r="AJ593" i="2"/>
  <c r="AJ606" i="2"/>
  <c r="AH444" i="2"/>
  <c r="AC444" i="2" s="1"/>
  <c r="AH164" i="2"/>
  <c r="AC164" i="2" s="1"/>
  <c r="AK107" i="2"/>
  <c r="AL107" i="2" s="1"/>
  <c r="AK48" i="2"/>
  <c r="AL48" i="2" s="1"/>
  <c r="AK363" i="2"/>
  <c r="AL363" i="2" s="1"/>
  <c r="AK91" i="2"/>
  <c r="AL91" i="2" s="1"/>
  <c r="AK4" i="2"/>
  <c r="AL4" i="2" s="1"/>
  <c r="AK98" i="2"/>
  <c r="AL98" i="2" s="1"/>
  <c r="AK494" i="2"/>
  <c r="AL494" i="2" s="1"/>
  <c r="AK159" i="2"/>
  <c r="AL159" i="2" s="1"/>
  <c r="AJ132" i="2"/>
  <c r="AJ107" i="2"/>
  <c r="AK134" i="2"/>
  <c r="AL134" i="2" s="1"/>
  <c r="AK207" i="2"/>
  <c r="AL207" i="2" s="1"/>
  <c r="AK446" i="2"/>
  <c r="AL446" i="2" s="1"/>
  <c r="AK538" i="2"/>
  <c r="AL538" i="2" s="1"/>
  <c r="AH163" i="2"/>
  <c r="AC163" i="2" s="1"/>
  <c r="AK567" i="2"/>
  <c r="AL567" i="2" s="1"/>
  <c r="AK288" i="2"/>
  <c r="AL288" i="2" s="1"/>
  <c r="AK463" i="2"/>
  <c r="AL463" i="2" s="1"/>
  <c r="AM463" i="2" s="1"/>
  <c r="AH192" i="2"/>
  <c r="AC192" i="2" s="1"/>
  <c r="AK344" i="2"/>
  <c r="AL344" i="2" s="1"/>
  <c r="AK114" i="2"/>
  <c r="AL114" i="2" s="1"/>
  <c r="AK330" i="2"/>
  <c r="AL330" i="2" s="1"/>
  <c r="AK614" i="2"/>
  <c r="AL614" i="2" s="1"/>
  <c r="AH609" i="2"/>
  <c r="AC609" i="2" s="1"/>
  <c r="AK149" i="2"/>
  <c r="AL149" i="2" s="1"/>
  <c r="AK448" i="2"/>
  <c r="AL448" i="2" s="1"/>
  <c r="AH276" i="2"/>
  <c r="AC276" i="2" s="1"/>
  <c r="AJ448" i="2"/>
  <c r="AH602" i="2"/>
  <c r="AC602" i="2" s="1"/>
  <c r="AJ568" i="2"/>
  <c r="AI89" i="2"/>
  <c r="AI356" i="2"/>
  <c r="AK428" i="2"/>
  <c r="AL428" i="2" s="1"/>
  <c r="AK490" i="2"/>
  <c r="AL490" i="2" s="1"/>
  <c r="AK473" i="2"/>
  <c r="AL473" i="2" s="1"/>
  <c r="AK104" i="2"/>
  <c r="AL104" i="2" s="1"/>
  <c r="AH399" i="2"/>
  <c r="AC399" i="2" s="1"/>
  <c r="AH591" i="2"/>
  <c r="AC591" i="2" s="1"/>
  <c r="AI423" i="2"/>
  <c r="AJ149" i="2"/>
  <c r="AI439" i="2"/>
  <c r="AI629" i="2"/>
  <c r="AK511" i="2"/>
  <c r="AL511" i="2" s="1"/>
  <c r="AK586" i="2"/>
  <c r="AL586" i="2" s="1"/>
  <c r="AI39" i="2"/>
  <c r="AI399" i="2"/>
  <c r="AH476" i="2"/>
  <c r="AC476" i="2" s="1"/>
  <c r="AJ548" i="2"/>
  <c r="AI551" i="2"/>
  <c r="AJ546" i="2"/>
  <c r="AJ617" i="2"/>
  <c r="AJ167" i="2"/>
  <c r="AI149" i="2"/>
  <c r="AH551" i="2"/>
  <c r="AC551" i="2" s="1"/>
  <c r="AI7" i="2"/>
  <c r="AJ455" i="2"/>
  <c r="AJ443" i="2"/>
  <c r="AI591" i="2"/>
  <c r="AH367" i="2"/>
  <c r="AC367" i="2" s="1"/>
  <c r="AI245" i="2"/>
  <c r="AH391" i="2"/>
  <c r="AC391" i="2" s="1"/>
  <c r="AK550" i="2"/>
  <c r="AL550" i="2" s="1"/>
  <c r="AK242" i="2"/>
  <c r="AL242" i="2" s="1"/>
  <c r="AJ490" i="2"/>
  <c r="AK591" i="2"/>
  <c r="AL591" i="2" s="1"/>
  <c r="AJ23" i="2"/>
  <c r="AK375" i="2"/>
  <c r="AL375" i="2" s="1"/>
  <c r="AI391" i="2"/>
  <c r="AI498" i="2"/>
  <c r="AI518" i="2"/>
  <c r="AI32" i="2"/>
  <c r="AH112" i="2"/>
  <c r="AC112" i="2" s="1"/>
  <c r="AK399" i="2"/>
  <c r="AL399" i="2" s="1"/>
  <c r="AH569" i="2"/>
  <c r="AC569" i="2" s="1"/>
  <c r="AK56" i="2"/>
  <c r="AL56" i="2" s="1"/>
  <c r="AI23" i="2"/>
  <c r="AK358" i="2"/>
  <c r="AL358" i="2" s="1"/>
  <c r="AJ168" i="2"/>
  <c r="AJ426" i="2"/>
  <c r="AK504" i="2"/>
  <c r="AL504" i="2" s="1"/>
  <c r="AI476" i="2"/>
  <c r="AJ609" i="2"/>
  <c r="AI550" i="2"/>
  <c r="AI584" i="2"/>
  <c r="AK601" i="2"/>
  <c r="AL601" i="2" s="1"/>
  <c r="AH187" i="2"/>
  <c r="AC187" i="2" s="1"/>
  <c r="AJ202" i="2"/>
  <c r="AI298" i="2"/>
  <c r="AI276" i="2"/>
  <c r="AK391" i="2"/>
  <c r="AL391" i="2" s="1"/>
  <c r="AI434" i="2"/>
  <c r="AJ362" i="2"/>
  <c r="AK450" i="2"/>
  <c r="AL450" i="2" s="1"/>
  <c r="AI535" i="2"/>
  <c r="AK244" i="2"/>
  <c r="AL244" i="2" s="1"/>
  <c r="AJ169" i="2"/>
  <c r="AH6" i="2"/>
  <c r="AC6" i="2" s="1"/>
  <c r="AK548" i="2"/>
  <c r="AL548" i="2" s="1"/>
  <c r="AK177" i="2"/>
  <c r="AL177" i="2" s="1"/>
  <c r="AK226" i="2"/>
  <c r="AL226" i="2" s="1"/>
  <c r="AJ406" i="2"/>
  <c r="AJ309" i="2"/>
  <c r="AH70" i="2"/>
  <c r="AC70" i="2" s="1"/>
  <c r="AJ70" i="2"/>
  <c r="AH137" i="2"/>
  <c r="AC137" i="2" s="1"/>
  <c r="AK137" i="2"/>
  <c r="AL137" i="2" s="1"/>
  <c r="AJ245" i="2"/>
  <c r="AH232" i="2"/>
  <c r="AC232" i="2" s="1"/>
  <c r="AI226" i="2"/>
  <c r="AI309" i="2"/>
  <c r="AJ433" i="2"/>
  <c r="AK426" i="2"/>
  <c r="AL426" i="2" s="1"/>
  <c r="AK439" i="2"/>
  <c r="AL439" i="2" s="1"/>
  <c r="AI367" i="2"/>
  <c r="AI448" i="2"/>
  <c r="AJ389" i="2"/>
  <c r="AI420" i="2"/>
  <c r="AH488" i="2"/>
  <c r="AC488" i="2" s="1"/>
  <c r="AH426" i="2"/>
  <c r="AC426" i="2" s="1"/>
  <c r="AH563" i="2"/>
  <c r="AC563" i="2" s="1"/>
  <c r="AH556" i="2"/>
  <c r="AC556" i="2" s="1"/>
  <c r="AH605" i="2"/>
  <c r="AC605" i="2" s="1"/>
  <c r="AJ561" i="2"/>
  <c r="AJ601" i="2"/>
  <c r="AH200" i="2"/>
  <c r="AC200" i="2" s="1"/>
  <c r="AH420" i="2"/>
  <c r="AC420" i="2" s="1"/>
  <c r="AK563" i="2"/>
  <c r="AL563" i="2" s="1"/>
  <c r="AH546" i="2"/>
  <c r="AC546" i="2" s="1"/>
  <c r="AH7" i="2"/>
  <c r="AC7" i="2" s="1"/>
  <c r="AJ516" i="2"/>
  <c r="AM659" i="2"/>
  <c r="AH356" i="2"/>
  <c r="AC356" i="2" s="1"/>
  <c r="AK518" i="2"/>
  <c r="AL518" i="2" s="1"/>
  <c r="AK23" i="2"/>
  <c r="AL23" i="2" s="1"/>
  <c r="AK406" i="2"/>
  <c r="AL406" i="2" s="1"/>
  <c r="AJ425" i="2"/>
  <c r="AK336" i="2"/>
  <c r="AL336" i="2" s="1"/>
  <c r="AK136" i="2"/>
  <c r="AL136" i="2" s="1"/>
  <c r="AJ551" i="2"/>
  <c r="AK556" i="2"/>
  <c r="AL556" i="2" s="1"/>
  <c r="AI175" i="2"/>
  <c r="AJ244" i="2"/>
  <c r="AK296" i="2"/>
  <c r="AL296" i="2" s="1"/>
  <c r="AK367" i="2"/>
  <c r="AL367" i="2" s="1"/>
  <c r="AH516" i="2"/>
  <c r="AC516" i="2" s="1"/>
  <c r="AI543" i="2"/>
  <c r="AJ54" i="2"/>
  <c r="AK81" i="2"/>
  <c r="AL81" i="2" s="1"/>
  <c r="AI70" i="2"/>
  <c r="AK144" i="2"/>
  <c r="AL144" i="2" s="1"/>
  <c r="AI229" i="2"/>
  <c r="AI406" i="2"/>
  <c r="AH312" i="2"/>
  <c r="AC312" i="2" s="1"/>
  <c r="AK420" i="2"/>
  <c r="AL420" i="2" s="1"/>
  <c r="AH389" i="2"/>
  <c r="AC389" i="2" s="1"/>
  <c r="AH443" i="2"/>
  <c r="AC443" i="2" s="1"/>
  <c r="AK516" i="2"/>
  <c r="AL516" i="2" s="1"/>
  <c r="AJ567" i="2"/>
  <c r="AJ511" i="2"/>
  <c r="AK598" i="2"/>
  <c r="AL598" i="2" s="1"/>
  <c r="AI601" i="2"/>
  <c r="AH428" i="2"/>
  <c r="AC428" i="2" s="1"/>
  <c r="AJ564" i="2"/>
  <c r="AH186" i="2"/>
  <c r="AC186" i="2" s="1"/>
  <c r="AI38" i="2"/>
  <c r="AK361" i="2"/>
  <c r="AL361" i="2" s="1"/>
  <c r="AJ434" i="2"/>
  <c r="AK457" i="2"/>
  <c r="AL457" i="2" s="1"/>
  <c r="AH378" i="2"/>
  <c r="AC378" i="2" s="1"/>
  <c r="AJ405" i="2"/>
  <c r="AK356" i="2"/>
  <c r="AL356" i="2" s="1"/>
  <c r="AI375" i="2"/>
  <c r="AK564" i="2"/>
  <c r="AL564" i="2" s="1"/>
  <c r="AJ242" i="2"/>
  <c r="AI286" i="2"/>
  <c r="AH358" i="2"/>
  <c r="AC358" i="2" s="1"/>
  <c r="AK312" i="2"/>
  <c r="AL312" i="2" s="1"/>
  <c r="AK422" i="2"/>
  <c r="AL422" i="2" s="1"/>
  <c r="AH405" i="2"/>
  <c r="AC405" i="2" s="1"/>
  <c r="AK435" i="2"/>
  <c r="AL435" i="2" s="1"/>
  <c r="AI428" i="2"/>
  <c r="AK476" i="2"/>
  <c r="AL476" i="2" s="1"/>
  <c r="AJ563" i="2"/>
  <c r="AJ598" i="2"/>
  <c r="AI605" i="2"/>
  <c r="AK602" i="2"/>
  <c r="AL602" i="2" s="1"/>
  <c r="AH73" i="2"/>
  <c r="AC73" i="2" s="1"/>
  <c r="AJ556" i="2"/>
  <c r="AK89" i="2"/>
  <c r="AL89" i="2" s="1"/>
  <c r="AK184" i="2"/>
  <c r="AL184" i="2" s="1"/>
  <c r="AI184" i="2"/>
  <c r="AK5" i="2"/>
  <c r="AL5" i="2" s="1"/>
  <c r="AH184" i="2"/>
  <c r="AC184" i="2" s="1"/>
  <c r="AK200" i="2"/>
  <c r="AL200" i="2" s="1"/>
  <c r="AJ372" i="2"/>
  <c r="AK433" i="2"/>
  <c r="AL433" i="2" s="1"/>
  <c r="AK498" i="2"/>
  <c r="AL498" i="2" s="1"/>
  <c r="AH439" i="2"/>
  <c r="AC439" i="2" s="1"/>
  <c r="AK389" i="2"/>
  <c r="AL389" i="2" s="1"/>
  <c r="AH298" i="2"/>
  <c r="AC298" i="2" s="1"/>
  <c r="AK106" i="2"/>
  <c r="AL106" i="2" s="1"/>
  <c r="AK229" i="2"/>
  <c r="AL229" i="2" s="1"/>
  <c r="AI279" i="2"/>
  <c r="AK298" i="2"/>
  <c r="AL298" i="2" s="1"/>
  <c r="AH375" i="2"/>
  <c r="AC375" i="2" s="1"/>
  <c r="AJ489" i="2"/>
  <c r="AK488" i="2"/>
  <c r="AL488" i="2" s="1"/>
  <c r="AJ473" i="2"/>
  <c r="AJ536" i="2"/>
  <c r="AH390" i="2"/>
  <c r="AC390" i="2" s="1"/>
  <c r="AJ213" i="2"/>
  <c r="AI202" i="2"/>
  <c r="AM654" i="2"/>
  <c r="AJ324" i="2"/>
  <c r="AJ279" i="2"/>
  <c r="AJ186" i="2"/>
  <c r="AH262" i="2"/>
  <c r="AC262" i="2" s="1"/>
  <c r="AJ424" i="2"/>
  <c r="AK359" i="2"/>
  <c r="AL359" i="2" s="1"/>
  <c r="AK440" i="2"/>
  <c r="AL440" i="2" s="1"/>
  <c r="AI489" i="2"/>
  <c r="AI473" i="2"/>
  <c r="AI536" i="2"/>
  <c r="AH424" i="2"/>
  <c r="AC424" i="2" s="1"/>
  <c r="AJ554" i="2"/>
  <c r="AH213" i="2"/>
  <c r="AC213" i="2" s="1"/>
  <c r="AJ614" i="2"/>
  <c r="AI377" i="2"/>
  <c r="AJ440" i="2"/>
  <c r="AI628" i="2"/>
  <c r="AK279" i="2"/>
  <c r="AL279" i="2" s="1"/>
  <c r="AI324" i="2"/>
  <c r="AH423" i="2"/>
  <c r="AC423" i="2" s="1"/>
  <c r="AH294" i="2"/>
  <c r="AC294" i="2" s="1"/>
  <c r="AJ90" i="2"/>
  <c r="AH377" i="2"/>
  <c r="AC377" i="2" s="1"/>
  <c r="AJ340" i="2"/>
  <c r="AJ488" i="2"/>
  <c r="AH582" i="2"/>
  <c r="AC582" i="2" s="1"/>
  <c r="AH616" i="2"/>
  <c r="AC616" i="2" s="1"/>
  <c r="AJ552" i="2"/>
  <c r="AI106" i="2"/>
  <c r="AI554" i="2"/>
  <c r="AH4" i="2"/>
  <c r="AC4" i="2" s="1"/>
  <c r="AK311" i="2"/>
  <c r="AL311" i="2" s="1"/>
  <c r="AK294" i="2"/>
  <c r="AL294" i="2" s="1"/>
  <c r="AH8" i="2"/>
  <c r="AC8" i="2" s="1"/>
  <c r="AJ6" i="2"/>
  <c r="AI4" i="2"/>
  <c r="AI490" i="2"/>
  <c r="AH489" i="2"/>
  <c r="AC489" i="2" s="1"/>
  <c r="AK616" i="2"/>
  <c r="AL616" i="2" s="1"/>
  <c r="AH22" i="2"/>
  <c r="AC22" i="2" s="1"/>
  <c r="AK552" i="2"/>
  <c r="AL552" i="2" s="1"/>
  <c r="AI246" i="2"/>
  <c r="AK487" i="2"/>
  <c r="AL487" i="2" s="1"/>
  <c r="AK262" i="2"/>
  <c r="AL262" i="2" s="1"/>
  <c r="AH313" i="2"/>
  <c r="AC313" i="2" s="1"/>
  <c r="AK372" i="2"/>
  <c r="AL372" i="2" s="1"/>
  <c r="AI342" i="2"/>
  <c r="AJ56" i="2"/>
  <c r="AK202" i="2"/>
  <c r="AL202" i="2" s="1"/>
  <c r="AK260" i="2"/>
  <c r="AL260" i="2" s="1"/>
  <c r="AK346" i="2"/>
  <c r="AL346" i="2" s="1"/>
  <c r="AK388" i="2"/>
  <c r="AL388" i="2" s="1"/>
  <c r="AC490" i="2"/>
  <c r="AJ627" i="2"/>
  <c r="AJ616" i="2"/>
  <c r="AI22" i="2"/>
  <c r="AI456" i="2"/>
  <c r="AI313" i="2"/>
  <c r="AH246" i="2"/>
  <c r="AC246" i="2" s="1"/>
  <c r="AI262" i="2"/>
  <c r="AK324" i="2"/>
  <c r="AL324" i="2" s="1"/>
  <c r="AK22" i="2"/>
  <c r="AL22" i="2" s="1"/>
  <c r="AK213" i="2"/>
  <c r="AL213" i="2" s="1"/>
  <c r="AJ260" i="2"/>
  <c r="AI310" i="2"/>
  <c r="AJ390" i="2"/>
  <c r="AJ346" i="2"/>
  <c r="AK627" i="2"/>
  <c r="AL627" i="2" s="1"/>
  <c r="AI359" i="2"/>
  <c r="AI311" i="2"/>
  <c r="AI260" i="2"/>
  <c r="AH311" i="2"/>
  <c r="AC311" i="2" s="1"/>
  <c r="AJ310" i="2"/>
  <c r="AK310" i="2"/>
  <c r="AL310" i="2" s="1"/>
  <c r="AK425" i="2"/>
  <c r="AL425" i="2" s="1"/>
  <c r="AK404" i="2"/>
  <c r="AL404" i="2" s="1"/>
  <c r="AI627" i="2"/>
  <c r="AK340" i="2"/>
  <c r="AL340" i="2" s="1"/>
  <c r="AH229" i="2"/>
  <c r="AC229" i="2" s="1"/>
  <c r="AJ8" i="2"/>
  <c r="AK8" i="2"/>
  <c r="AL8" i="2" s="1"/>
  <c r="AI294" i="2"/>
  <c r="AK313" i="2"/>
  <c r="AL313" i="2" s="1"/>
  <c r="AH361" i="2"/>
  <c r="AC361" i="2" s="1"/>
  <c r="AK423" i="2"/>
  <c r="AL423" i="2" s="1"/>
  <c r="AJ404" i="2"/>
  <c r="AH504" i="2"/>
  <c r="AC504" i="2" s="1"/>
  <c r="AK536" i="2"/>
  <c r="AL536" i="2" s="1"/>
  <c r="AK582" i="2"/>
  <c r="AL582" i="2" s="1"/>
  <c r="AM655" i="2"/>
  <c r="AM660" i="2"/>
  <c r="AM651" i="2"/>
  <c r="AJ349" i="2"/>
  <c r="AI368" i="2"/>
  <c r="AJ459" i="2"/>
  <c r="AJ547" i="2"/>
  <c r="AI508" i="2"/>
  <c r="AH629" i="2"/>
  <c r="AC629" i="2" s="1"/>
  <c r="AH547" i="2"/>
  <c r="AC547" i="2" s="1"/>
  <c r="AJ195" i="2"/>
  <c r="AI272" i="2"/>
  <c r="AK537" i="2"/>
  <c r="AL537" i="2" s="1"/>
  <c r="AK547" i="2"/>
  <c r="AL547" i="2" s="1"/>
  <c r="AK508" i="2"/>
  <c r="AL508" i="2" s="1"/>
  <c r="AK41" i="2"/>
  <c r="AL41" i="2" s="1"/>
  <c r="AK171" i="2"/>
  <c r="AL171" i="2" s="1"/>
  <c r="AI195" i="2"/>
  <c r="AK195" i="2"/>
  <c r="AL195" i="2" s="1"/>
  <c r="AJ249" i="2"/>
  <c r="AH368" i="2"/>
  <c r="AC368" i="2" s="1"/>
  <c r="AH460" i="2"/>
  <c r="AC460" i="2" s="1"/>
  <c r="AH249" i="2"/>
  <c r="AC249" i="2" s="1"/>
  <c r="AH459" i="2"/>
  <c r="AC459" i="2" s="1"/>
  <c r="AK156" i="2"/>
  <c r="AL156" i="2" s="1"/>
  <c r="AI249" i="2"/>
  <c r="AH360" i="2"/>
  <c r="AC360" i="2" s="1"/>
  <c r="AH355" i="2"/>
  <c r="AC355" i="2" s="1"/>
  <c r="AK471" i="2"/>
  <c r="AL471" i="2" s="1"/>
  <c r="AJ537" i="2"/>
  <c r="AI171" i="2"/>
  <c r="AH171" i="2"/>
  <c r="AC171" i="2" s="1"/>
  <c r="AK249" i="2"/>
  <c r="AL249" i="2" s="1"/>
  <c r="AI537" i="2"/>
  <c r="AK629" i="2"/>
  <c r="AL629" i="2" s="1"/>
  <c r="AH61" i="2"/>
  <c r="AC61" i="2" s="1"/>
  <c r="AJ61" i="2"/>
  <c r="AK360" i="2"/>
  <c r="AL360" i="2" s="1"/>
  <c r="AI360" i="2"/>
  <c r="AK539" i="2"/>
  <c r="AL539" i="2" s="1"/>
  <c r="AI9" i="2"/>
  <c r="AJ68" i="2"/>
  <c r="AH151" i="2"/>
  <c r="AC151" i="2" s="1"/>
  <c r="AJ163" i="2"/>
  <c r="AK203" i="2"/>
  <c r="AL203" i="2" s="1"/>
  <c r="AI216" i="2"/>
  <c r="AK230" i="2"/>
  <c r="AL230" i="2" s="1"/>
  <c r="AK215" i="2"/>
  <c r="AL215" i="2" s="1"/>
  <c r="AH380" i="2"/>
  <c r="AC380" i="2" s="1"/>
  <c r="AI459" i="2"/>
  <c r="AH522" i="2"/>
  <c r="AC522" i="2" s="1"/>
  <c r="AH600" i="2"/>
  <c r="AC600" i="2" s="1"/>
  <c r="AJ600" i="2"/>
  <c r="AH69" i="2"/>
  <c r="AC69" i="2" s="1"/>
  <c r="AK112" i="2"/>
  <c r="AL112" i="2" s="1"/>
  <c r="AI230" i="2"/>
  <c r="AC277" i="2"/>
  <c r="AJ358" i="2"/>
  <c r="AK527" i="2"/>
  <c r="AL527" i="2" s="1"/>
  <c r="AH519" i="2"/>
  <c r="AC519" i="2" s="1"/>
  <c r="AK154" i="2"/>
  <c r="AL154" i="2" s="1"/>
  <c r="AH83" i="2"/>
  <c r="AC83" i="2" s="1"/>
  <c r="AK167" i="2"/>
  <c r="AL167" i="2" s="1"/>
  <c r="AJ112" i="2"/>
  <c r="AK141" i="2"/>
  <c r="AL141" i="2" s="1"/>
  <c r="AI167" i="2"/>
  <c r="AI130" i="2"/>
  <c r="AI151" i="2"/>
  <c r="AK277" i="2"/>
  <c r="AL277" i="2" s="1"/>
  <c r="AK393" i="2"/>
  <c r="AL393" i="2" s="1"/>
  <c r="AK396" i="2"/>
  <c r="AL396" i="2" s="1"/>
  <c r="AI380" i="2"/>
  <c r="AI418" i="2"/>
  <c r="AJ83" i="2"/>
  <c r="AK68" i="2"/>
  <c r="AL68" i="2" s="1"/>
  <c r="AK83" i="2"/>
  <c r="AL83" i="2" s="1"/>
  <c r="AK151" i="2"/>
  <c r="AL151" i="2" s="1"/>
  <c r="AI215" i="2"/>
  <c r="AJ277" i="2"/>
  <c r="AK418" i="2"/>
  <c r="AL418" i="2" s="1"/>
  <c r="AJ396" i="2"/>
  <c r="AK424" i="2"/>
  <c r="AL424" i="2" s="1"/>
  <c r="AK458" i="2"/>
  <c r="AL458" i="2" s="1"/>
  <c r="AK491" i="2"/>
  <c r="AL491" i="2" s="1"/>
  <c r="AJ458" i="2"/>
  <c r="AJ519" i="2"/>
  <c r="AK620" i="2"/>
  <c r="AL620" i="2" s="1"/>
  <c r="AI641" i="2"/>
  <c r="AJ69" i="2"/>
  <c r="AI30" i="2"/>
  <c r="AH9" i="2"/>
  <c r="AC9" i="2" s="1"/>
  <c r="AH30" i="2"/>
  <c r="AC30" i="2" s="1"/>
  <c r="AH68" i="2"/>
  <c r="AC68" i="2" s="1"/>
  <c r="AK147" i="2"/>
  <c r="AL147" i="2" s="1"/>
  <c r="AJ231" i="2"/>
  <c r="AK231" i="2"/>
  <c r="AL231" i="2" s="1"/>
  <c r="AI277" i="2"/>
  <c r="AH285" i="2"/>
  <c r="AC285" i="2" s="1"/>
  <c r="AK285" i="2"/>
  <c r="AL285" i="2" s="1"/>
  <c r="AJ393" i="2"/>
  <c r="AH456" i="2"/>
  <c r="AC456" i="2" s="1"/>
  <c r="AK519" i="2"/>
  <c r="AL519" i="2" s="1"/>
  <c r="AJ457" i="2"/>
  <c r="AJ491" i="2"/>
  <c r="AI458" i="2"/>
  <c r="AH641" i="2"/>
  <c r="AC641" i="2" s="1"/>
  <c r="AJ572" i="2"/>
  <c r="AI181" i="2"/>
  <c r="AK9" i="2"/>
  <c r="AL9" i="2" s="1"/>
  <c r="AK69" i="2"/>
  <c r="AL69" i="2" s="1"/>
  <c r="AK52" i="2"/>
  <c r="AL52" i="2" s="1"/>
  <c r="AH147" i="2"/>
  <c r="AC147" i="2" s="1"/>
  <c r="AH141" i="2"/>
  <c r="AC141" i="2" s="1"/>
  <c r="AI147" i="2"/>
  <c r="AH396" i="2"/>
  <c r="AC396" i="2" s="1"/>
  <c r="AI393" i="2"/>
  <c r="AK644" i="2"/>
  <c r="AL644" i="2" s="1"/>
  <c r="AH81" i="2"/>
  <c r="AC81" i="2" s="1"/>
  <c r="AH79" i="2"/>
  <c r="AC79" i="2" s="1"/>
  <c r="AH409" i="2"/>
  <c r="AC409" i="2" s="1"/>
  <c r="AH506" i="2"/>
  <c r="AC506" i="2" s="1"/>
  <c r="AK72" i="2"/>
  <c r="AL72" i="2" s="1"/>
  <c r="AJ449" i="2"/>
  <c r="AI496" i="2"/>
  <c r="AJ77" i="2"/>
  <c r="AI87" i="2"/>
  <c r="AK50" i="2"/>
  <c r="AL50" i="2" s="1"/>
  <c r="AI77" i="2"/>
  <c r="AI104" i="2"/>
  <c r="AH72" i="2"/>
  <c r="AC72" i="2" s="1"/>
  <c r="AK111" i="2"/>
  <c r="AL111" i="2" s="1"/>
  <c r="AK108" i="2"/>
  <c r="AL108" i="2" s="1"/>
  <c r="AK101" i="2"/>
  <c r="AL101" i="2" s="1"/>
  <c r="AI178" i="2"/>
  <c r="AK165" i="2"/>
  <c r="AL165" i="2" s="1"/>
  <c r="AI222" i="2"/>
  <c r="AI221" i="2"/>
  <c r="AI253" i="2"/>
  <c r="AK297" i="2"/>
  <c r="AL297" i="2" s="1"/>
  <c r="AH370" i="2"/>
  <c r="AC370" i="2" s="1"/>
  <c r="AJ359" i="2"/>
  <c r="AH512" i="2"/>
  <c r="AC512" i="2" s="1"/>
  <c r="AJ502" i="2"/>
  <c r="AK484" i="2"/>
  <c r="AL484" i="2" s="1"/>
  <c r="AJ542" i="2"/>
  <c r="AH624" i="2"/>
  <c r="AC624" i="2" s="1"/>
  <c r="AK588" i="2"/>
  <c r="AL588" i="2" s="1"/>
  <c r="AH644" i="2"/>
  <c r="AC644" i="2" s="1"/>
  <c r="AK219" i="2"/>
  <c r="AL219" i="2" s="1"/>
  <c r="AI461" i="2"/>
  <c r="AI154" i="2"/>
  <c r="AJ506" i="2"/>
  <c r="AK246" i="2"/>
  <c r="AL246" i="2" s="1"/>
  <c r="AK13" i="2"/>
  <c r="AL13" i="2" s="1"/>
  <c r="AI79" i="2"/>
  <c r="AH165" i="2"/>
  <c r="AC165" i="2" s="1"/>
  <c r="AH407" i="2"/>
  <c r="AC407" i="2" s="1"/>
  <c r="AK597" i="2"/>
  <c r="AL597" i="2" s="1"/>
  <c r="AH588" i="2"/>
  <c r="AC588" i="2" s="1"/>
  <c r="AH42" i="2"/>
  <c r="AC42" i="2" s="1"/>
  <c r="AK90" i="2"/>
  <c r="AL90" i="2" s="1"/>
  <c r="AH84" i="2"/>
  <c r="AC84" i="2" s="1"/>
  <c r="AI42" i="2"/>
  <c r="AJ50" i="2"/>
  <c r="AK85" i="2"/>
  <c r="AL85" i="2" s="1"/>
  <c r="AH104" i="2"/>
  <c r="AC104" i="2" s="1"/>
  <c r="AK120" i="2"/>
  <c r="AL120" i="2" s="1"/>
  <c r="AI72" i="2"/>
  <c r="AJ111" i="2"/>
  <c r="AJ108" i="2"/>
  <c r="AJ101" i="2"/>
  <c r="AK181" i="2"/>
  <c r="AL181" i="2" s="1"/>
  <c r="AK253" i="2"/>
  <c r="AL253" i="2" s="1"/>
  <c r="AC245" i="2"/>
  <c r="AJ308" i="2"/>
  <c r="AH307" i="2"/>
  <c r="AC307" i="2" s="1"/>
  <c r="AH371" i="2"/>
  <c r="AC371" i="2" s="1"/>
  <c r="AK374" i="2"/>
  <c r="AL374" i="2" s="1"/>
  <c r="AK387" i="2"/>
  <c r="AL387" i="2" s="1"/>
  <c r="AK407" i="2"/>
  <c r="AL407" i="2" s="1"/>
  <c r="AK449" i="2"/>
  <c r="AL449" i="2" s="1"/>
  <c r="AK370" i="2"/>
  <c r="AL370" i="2" s="1"/>
  <c r="AK382" i="2"/>
  <c r="AL382" i="2" s="1"/>
  <c r="AI502" i="2"/>
  <c r="AH484" i="2"/>
  <c r="AC484" i="2" s="1"/>
  <c r="AJ471" i="2"/>
  <c r="AK543" i="2"/>
  <c r="AL543" i="2" s="1"/>
  <c r="AI542" i="2"/>
  <c r="AK624" i="2"/>
  <c r="AL624" i="2" s="1"/>
  <c r="AJ588" i="2"/>
  <c r="AI644" i="2"/>
  <c r="AH85" i="2"/>
  <c r="AC85" i="2" s="1"/>
  <c r="AK247" i="2"/>
  <c r="AL247" i="2" s="1"/>
  <c r="AH449" i="2"/>
  <c r="AC449" i="2" s="1"/>
  <c r="AI165" i="2"/>
  <c r="AK42" i="2"/>
  <c r="AL42" i="2" s="1"/>
  <c r="AI85" i="2"/>
  <c r="AI111" i="2"/>
  <c r="AI108" i="2"/>
  <c r="AI101" i="2"/>
  <c r="AH181" i="2"/>
  <c r="AC181" i="2" s="1"/>
  <c r="AH222" i="2"/>
  <c r="AC222" i="2" s="1"/>
  <c r="AJ253" i="2"/>
  <c r="AI297" i="2"/>
  <c r="AJ374" i="2"/>
  <c r="AK409" i="2"/>
  <c r="AL409" i="2" s="1"/>
  <c r="AJ407" i="2"/>
  <c r="AJ370" i="2"/>
  <c r="AJ382" i="2"/>
  <c r="AK466" i="2"/>
  <c r="AL466" i="2" s="1"/>
  <c r="AH466" i="2"/>
  <c r="AC466" i="2" s="1"/>
  <c r="AH471" i="2"/>
  <c r="AC471" i="2" s="1"/>
  <c r="AJ550" i="2"/>
  <c r="AK479" i="2"/>
  <c r="AL479" i="2" s="1"/>
  <c r="AK542" i="2"/>
  <c r="AL542" i="2" s="1"/>
  <c r="AJ544" i="2"/>
  <c r="AH618" i="2"/>
  <c r="AC618" i="2" s="1"/>
  <c r="AJ526" i="2"/>
  <c r="AJ507" i="2"/>
  <c r="AJ624" i="2"/>
  <c r="AI645" i="2"/>
  <c r="AK397" i="2"/>
  <c r="AL397" i="2" s="1"/>
  <c r="AH178" i="2"/>
  <c r="AC178" i="2" s="1"/>
  <c r="AH526" i="2"/>
  <c r="AC526" i="2" s="1"/>
  <c r="AK496" i="2"/>
  <c r="AL496" i="2" s="1"/>
  <c r="AI549" i="2"/>
  <c r="AK245" i="2"/>
  <c r="AL245" i="2" s="1"/>
  <c r="AH385" i="2"/>
  <c r="AC385" i="2" s="1"/>
  <c r="AJ597" i="2"/>
  <c r="AH108" i="2"/>
  <c r="AC108" i="2" s="1"/>
  <c r="AH13" i="2"/>
  <c r="AC13" i="2" s="1"/>
  <c r="AK87" i="2"/>
  <c r="AL87" i="2" s="1"/>
  <c r="AJ89" i="2"/>
  <c r="AI99" i="2"/>
  <c r="AK99" i="2"/>
  <c r="AL99" i="2" s="1"/>
  <c r="AK186" i="2"/>
  <c r="AL186" i="2" s="1"/>
  <c r="AI219" i="2"/>
  <c r="AH218" i="2"/>
  <c r="AC218" i="2" s="1"/>
  <c r="AK308" i="2"/>
  <c r="AL308" i="2" s="1"/>
  <c r="AH297" i="2"/>
  <c r="AC297" i="2" s="1"/>
  <c r="AK254" i="2"/>
  <c r="AL254" i="2" s="1"/>
  <c r="AH382" i="2"/>
  <c r="AC382" i="2" s="1"/>
  <c r="AK315" i="2"/>
  <c r="AL315" i="2" s="1"/>
  <c r="AJ403" i="2"/>
  <c r="AI374" i="2"/>
  <c r="AK405" i="2"/>
  <c r="AL405" i="2" s="1"/>
  <c r="AJ385" i="2"/>
  <c r="AH507" i="2"/>
  <c r="AC507" i="2" s="1"/>
  <c r="AK522" i="2"/>
  <c r="AL522" i="2" s="1"/>
  <c r="AJ479" i="2"/>
  <c r="AH496" i="2"/>
  <c r="AC496" i="2" s="1"/>
  <c r="AK502" i="2"/>
  <c r="AL502" i="2" s="1"/>
  <c r="AK544" i="2"/>
  <c r="AL544" i="2" s="1"/>
  <c r="AI544" i="2"/>
  <c r="AJ620" i="2"/>
  <c r="AH555" i="2"/>
  <c r="AC555" i="2" s="1"/>
  <c r="AK641" i="2"/>
  <c r="AL641" i="2" s="1"/>
  <c r="AH628" i="2"/>
  <c r="AC628" i="2" s="1"/>
  <c r="AH543" i="2"/>
  <c r="AC543" i="2" s="1"/>
  <c r="AH120" i="2"/>
  <c r="AC120" i="2" s="1"/>
  <c r="AK307" i="2"/>
  <c r="AL307" i="2" s="1"/>
  <c r="AK506" i="2"/>
  <c r="AL506" i="2" s="1"/>
  <c r="AK79" i="2"/>
  <c r="AL79" i="2" s="1"/>
  <c r="AK77" i="2"/>
  <c r="AL77" i="2" s="1"/>
  <c r="AK222" i="2"/>
  <c r="AL222" i="2" s="1"/>
  <c r="AH461" i="2"/>
  <c r="AC461" i="2" s="1"/>
  <c r="AI13" i="2"/>
  <c r="AH90" i="2"/>
  <c r="AC90" i="2" s="1"/>
  <c r="AI122" i="2"/>
  <c r="AJ154" i="2"/>
  <c r="AJ126" i="2"/>
  <c r="AH226" i="2"/>
  <c r="AC226" i="2" s="1"/>
  <c r="AK268" i="2"/>
  <c r="AL268" i="2" s="1"/>
  <c r="AK293" i="2"/>
  <c r="AL293" i="2" s="1"/>
  <c r="AI268" i="2"/>
  <c r="AI315" i="2"/>
  <c r="AK385" i="2"/>
  <c r="AL385" i="2" s="1"/>
  <c r="AK456" i="2"/>
  <c r="AL456" i="2" s="1"/>
  <c r="AK507" i="2"/>
  <c r="AL507" i="2" s="1"/>
  <c r="AH479" i="2"/>
  <c r="AC479" i="2" s="1"/>
  <c r="AH620" i="2"/>
  <c r="AC620" i="2" s="1"/>
  <c r="AH308" i="2"/>
  <c r="AC308" i="2" s="1"/>
  <c r="AK640" i="2"/>
  <c r="AL640" i="2" s="1"/>
  <c r="AK26" i="2"/>
  <c r="AL26" i="2" s="1"/>
  <c r="AK57" i="2"/>
  <c r="AL57" i="2" s="1"/>
  <c r="AJ156" i="2"/>
  <c r="AJ182" i="2"/>
  <c r="AJ248" i="2"/>
  <c r="AH211" i="2"/>
  <c r="AC211" i="2" s="1"/>
  <c r="AK299" i="2"/>
  <c r="AL299" i="2" s="1"/>
  <c r="AI299" i="2"/>
  <c r="AC318" i="2"/>
  <c r="AH299" i="2"/>
  <c r="AC299" i="2" s="1"/>
  <c r="AJ398" i="2"/>
  <c r="AH403" i="2"/>
  <c r="AC403" i="2" s="1"/>
  <c r="AI472" i="2"/>
  <c r="AH503" i="2"/>
  <c r="AC503" i="2" s="1"/>
  <c r="AI503" i="2"/>
  <c r="AI534" i="2"/>
  <c r="AH533" i="2"/>
  <c r="AC533" i="2" s="1"/>
  <c r="AJ633" i="2"/>
  <c r="AH645" i="2"/>
  <c r="AC645" i="2" s="1"/>
  <c r="AH26" i="2"/>
  <c r="AC26" i="2" s="1"/>
  <c r="AH182" i="2"/>
  <c r="AC182" i="2" s="1"/>
  <c r="AH273" i="2"/>
  <c r="AC273" i="2" s="1"/>
  <c r="AK130" i="2"/>
  <c r="AL130" i="2" s="1"/>
  <c r="AJ57" i="2"/>
  <c r="AC35" i="2"/>
  <c r="AJ106" i="2"/>
  <c r="AJ250" i="2"/>
  <c r="AK248" i="2"/>
  <c r="AL248" i="2" s="1"/>
  <c r="AJ318" i="2"/>
  <c r="AK398" i="2"/>
  <c r="AL398" i="2" s="1"/>
  <c r="AJ397" i="2"/>
  <c r="AJ539" i="2"/>
  <c r="AI527" i="2"/>
  <c r="AJ527" i="2"/>
  <c r="AH521" i="2"/>
  <c r="AC521" i="2" s="1"/>
  <c r="AK572" i="2"/>
  <c r="AL572" i="2" s="1"/>
  <c r="AH589" i="2"/>
  <c r="AC589" i="2" s="1"/>
  <c r="AI633" i="2"/>
  <c r="AH472" i="2"/>
  <c r="AC472" i="2" s="1"/>
  <c r="AH156" i="2"/>
  <c r="AC156" i="2" s="1"/>
  <c r="AH398" i="2"/>
  <c r="AC398" i="2" s="1"/>
  <c r="AI156" i="2"/>
  <c r="AH117" i="2"/>
  <c r="AC117" i="2" s="1"/>
  <c r="AK182" i="2"/>
  <c r="AL182" i="2" s="1"/>
  <c r="AK240" i="2"/>
  <c r="AL240" i="2" s="1"/>
  <c r="AJ211" i="2"/>
  <c r="AI248" i="2"/>
  <c r="AH362" i="2"/>
  <c r="AC362" i="2" s="1"/>
  <c r="AK376" i="2"/>
  <c r="AL376" i="2" s="1"/>
  <c r="AI397" i="2"/>
  <c r="AK503" i="2"/>
  <c r="AL503" i="2" s="1"/>
  <c r="AK534" i="2"/>
  <c r="AL534" i="2" s="1"/>
  <c r="AJ555" i="2"/>
  <c r="AH640" i="2"/>
  <c r="AC640" i="2" s="1"/>
  <c r="AK218" i="2"/>
  <c r="AL218" i="2" s="1"/>
  <c r="AI35" i="2"/>
  <c r="AJ41" i="2"/>
  <c r="AH159" i="2"/>
  <c r="AC159" i="2" s="1"/>
  <c r="AK211" i="2"/>
  <c r="AL211" i="2" s="1"/>
  <c r="AK250" i="2"/>
  <c r="AL250" i="2" s="1"/>
  <c r="AI240" i="2"/>
  <c r="AC248" i="2"/>
  <c r="AJ376" i="2"/>
  <c r="AK486" i="2"/>
  <c r="AL486" i="2" s="1"/>
  <c r="AJ500" i="2"/>
  <c r="AK533" i="2"/>
  <c r="AL533" i="2" s="1"/>
  <c r="AH572" i="2"/>
  <c r="AC572" i="2" s="1"/>
  <c r="AI555" i="2"/>
  <c r="AK618" i="2"/>
  <c r="AL618" i="2" s="1"/>
  <c r="AJ640" i="2"/>
  <c r="AH501" i="2"/>
  <c r="AC501" i="2" s="1"/>
  <c r="AH41" i="2"/>
  <c r="AC41" i="2" s="1"/>
  <c r="AJ65" i="2"/>
  <c r="AK65" i="2"/>
  <c r="AL65" i="2" s="1"/>
  <c r="AK35" i="2"/>
  <c r="AL35" i="2" s="1"/>
  <c r="AH130" i="2"/>
  <c r="AC130" i="2" s="1"/>
  <c r="AI159" i="2"/>
  <c r="AI250" i="2"/>
  <c r="AK318" i="2"/>
  <c r="AL318" i="2" s="1"/>
  <c r="AI403" i="2"/>
  <c r="AH417" i="2"/>
  <c r="AC417" i="2" s="1"/>
  <c r="AK472" i="2"/>
  <c r="AL472" i="2" s="1"/>
  <c r="AK362" i="2"/>
  <c r="AL362" i="2" s="1"/>
  <c r="AJ466" i="2"/>
  <c r="AI539" i="2"/>
  <c r="AI486" i="2"/>
  <c r="AJ522" i="2"/>
  <c r="AJ618" i="2"/>
  <c r="AK645" i="2"/>
  <c r="AL645" i="2" s="1"/>
  <c r="AI318" i="2"/>
  <c r="AH539" i="2"/>
  <c r="AC539" i="2" s="1"/>
  <c r="AK355" i="2"/>
  <c r="AL355" i="2" s="1"/>
  <c r="AK570" i="2"/>
  <c r="AL570" i="2" s="1"/>
  <c r="AK317" i="2"/>
  <c r="AL317" i="2" s="1"/>
  <c r="AK628" i="2"/>
  <c r="AL628" i="2" s="1"/>
  <c r="AJ26" i="2"/>
  <c r="AK117" i="2"/>
  <c r="AL117" i="2" s="1"/>
  <c r="AK501" i="2"/>
  <c r="AL501" i="2" s="1"/>
  <c r="AI501" i="2"/>
  <c r="AI117" i="2"/>
  <c r="AH57" i="2"/>
  <c r="AC57" i="2" s="1"/>
  <c r="AK566" i="2"/>
  <c r="AL566" i="2" s="1"/>
  <c r="AK585" i="2"/>
  <c r="AL585" i="2" s="1"/>
  <c r="AI585" i="2"/>
  <c r="AK12" i="2"/>
  <c r="AL12" i="2" s="1"/>
  <c r="AI12" i="2"/>
  <c r="AI188" i="2"/>
  <c r="AI487" i="2"/>
  <c r="AK583" i="2"/>
  <c r="AL583" i="2" s="1"/>
  <c r="AI583" i="2"/>
  <c r="AJ52" i="2"/>
  <c r="AI50" i="2"/>
  <c r="AH126" i="2"/>
  <c r="AC126" i="2" s="1"/>
  <c r="AI220" i="2"/>
  <c r="AK243" i="2"/>
  <c r="AL243" i="2" s="1"/>
  <c r="AK251" i="2"/>
  <c r="AL251" i="2" s="1"/>
  <c r="AI224" i="2"/>
  <c r="AI293" i="2"/>
  <c r="AJ336" i="2"/>
  <c r="AJ319" i="2"/>
  <c r="AK328" i="2"/>
  <c r="AL328" i="2" s="1"/>
  <c r="AK342" i="2"/>
  <c r="AL342" i="2" s="1"/>
  <c r="AK442" i="2"/>
  <c r="AL442" i="2" s="1"/>
  <c r="AH442" i="2"/>
  <c r="AC442" i="2" s="1"/>
  <c r="AK500" i="2"/>
  <c r="AL500" i="2" s="1"/>
  <c r="AK495" i="2"/>
  <c r="AL495" i="2" s="1"/>
  <c r="AK632" i="2"/>
  <c r="AL632" i="2" s="1"/>
  <c r="AJ637" i="2"/>
  <c r="AH244" i="2"/>
  <c r="AC244" i="2" s="1"/>
  <c r="AH12" i="2"/>
  <c r="AC12" i="2" s="1"/>
  <c r="AI20" i="2"/>
  <c r="AJ589" i="2"/>
  <c r="AI589" i="2"/>
  <c r="AJ585" i="2"/>
  <c r="AK319" i="2"/>
  <c r="AL319" i="2" s="1"/>
  <c r="AH243" i="2"/>
  <c r="AC243" i="2" s="1"/>
  <c r="AI52" i="2"/>
  <c r="AK86" i="2"/>
  <c r="AL86" i="2" s="1"/>
  <c r="AK133" i="2"/>
  <c r="AL133" i="2" s="1"/>
  <c r="AI203" i="2"/>
  <c r="AJ190" i="2"/>
  <c r="AH230" i="2"/>
  <c r="AC230" i="2" s="1"/>
  <c r="AK252" i="2"/>
  <c r="AL252" i="2" s="1"/>
  <c r="AH314" i="2"/>
  <c r="AC314" i="2" s="1"/>
  <c r="AI336" i="2"/>
  <c r="AI319" i="2"/>
  <c r="AH379" i="2"/>
  <c r="AC379" i="2" s="1"/>
  <c r="AJ328" i="2"/>
  <c r="AJ342" i="2"/>
  <c r="AK441" i="2"/>
  <c r="AL441" i="2" s="1"/>
  <c r="AK357" i="2"/>
  <c r="AL357" i="2" s="1"/>
  <c r="AK379" i="2"/>
  <c r="AL379" i="2" s="1"/>
  <c r="AH495" i="2"/>
  <c r="AC495" i="2" s="1"/>
  <c r="AK513" i="2"/>
  <c r="AL513" i="2" s="1"/>
  <c r="AJ545" i="2"/>
  <c r="AJ513" i="2"/>
  <c r="AJ571" i="2"/>
  <c r="AJ632" i="2"/>
  <c r="AI637" i="2"/>
  <c r="AI123" i="2"/>
  <c r="AI125" i="2"/>
  <c r="AH86" i="2"/>
  <c r="AC86" i="2" s="1"/>
  <c r="AH219" i="2"/>
  <c r="AC219" i="2" s="1"/>
  <c r="AK123" i="2"/>
  <c r="AL123" i="2" s="1"/>
  <c r="AK190" i="2"/>
  <c r="AL190" i="2" s="1"/>
  <c r="AH293" i="2"/>
  <c r="AC293" i="2" s="1"/>
  <c r="AI328" i="2"/>
  <c r="AH349" i="2"/>
  <c r="AC349" i="2" s="1"/>
  <c r="AK326" i="2"/>
  <c r="AL326" i="2" s="1"/>
  <c r="AK454" i="2"/>
  <c r="AL454" i="2" s="1"/>
  <c r="AI357" i="2"/>
  <c r="AI379" i="2"/>
  <c r="AK545" i="2"/>
  <c r="AL545" i="2" s="1"/>
  <c r="AH492" i="2"/>
  <c r="AC492" i="2" s="1"/>
  <c r="AI492" i="2"/>
  <c r="AH513" i="2"/>
  <c r="AC513" i="2" s="1"/>
  <c r="AJ454" i="2"/>
  <c r="AI545" i="2"/>
  <c r="AH585" i="2"/>
  <c r="AC585" i="2" s="1"/>
  <c r="AI571" i="2"/>
  <c r="AH637" i="2"/>
  <c r="AC637" i="2" s="1"/>
  <c r="AK20" i="2"/>
  <c r="AL20" i="2" s="1"/>
  <c r="AH188" i="2"/>
  <c r="AC188" i="2" s="1"/>
  <c r="AJ241" i="2"/>
  <c r="AH241" i="2"/>
  <c r="AC241" i="2" s="1"/>
  <c r="AI133" i="2"/>
  <c r="AH65" i="2"/>
  <c r="AC65" i="2" s="1"/>
  <c r="AH203" i="2"/>
  <c r="AC203" i="2" s="1"/>
  <c r="AK125" i="2"/>
  <c r="AL125" i="2" s="1"/>
  <c r="AJ125" i="2"/>
  <c r="AI199" i="2"/>
  <c r="AH326" i="2"/>
  <c r="AC326" i="2" s="1"/>
  <c r="AJ199" i="2"/>
  <c r="AI177" i="2"/>
  <c r="AK188" i="2"/>
  <c r="AL188" i="2" s="1"/>
  <c r="AK273" i="2"/>
  <c r="AL273" i="2" s="1"/>
  <c r="AK292" i="2"/>
  <c r="AL292" i="2" s="1"/>
  <c r="AH357" i="2"/>
  <c r="AC357" i="2" s="1"/>
  <c r="AJ326" i="2"/>
  <c r="AH487" i="2"/>
  <c r="AC487" i="2" s="1"/>
  <c r="AK492" i="2"/>
  <c r="AL492" i="2" s="1"/>
  <c r="AH454" i="2"/>
  <c r="AC454" i="2" s="1"/>
  <c r="AJ521" i="2"/>
  <c r="AK568" i="2"/>
  <c r="AL568" i="2" s="1"/>
  <c r="AH123" i="2"/>
  <c r="AC123" i="2" s="1"/>
  <c r="AK84" i="2"/>
  <c r="AL84" i="2" s="1"/>
  <c r="AI84" i="2"/>
  <c r="AH133" i="2"/>
  <c r="AC133" i="2" s="1"/>
  <c r="AH190" i="2"/>
  <c r="AC190" i="2" s="1"/>
  <c r="AI411" i="2"/>
  <c r="AJ411" i="2"/>
  <c r="AH240" i="2"/>
  <c r="AC240" i="2" s="1"/>
  <c r="AK220" i="2"/>
  <c r="AL220" i="2" s="1"/>
  <c r="AK224" i="2"/>
  <c r="AL224" i="2" s="1"/>
  <c r="AJ272" i="2"/>
  <c r="AH251" i="2"/>
  <c r="AC251" i="2" s="1"/>
  <c r="AH292" i="2"/>
  <c r="AC292" i="2" s="1"/>
  <c r="AJ12" i="2"/>
  <c r="AH20" i="2"/>
  <c r="AC20" i="2" s="1"/>
  <c r="AK73" i="2"/>
  <c r="AL73" i="2" s="1"/>
  <c r="AJ86" i="2"/>
  <c r="AK216" i="2"/>
  <c r="AL216" i="2" s="1"/>
  <c r="AH224" i="2"/>
  <c r="AC224" i="2" s="1"/>
  <c r="AC220" i="2"/>
  <c r="AJ273" i="2"/>
  <c r="AK272" i="2"/>
  <c r="AL272" i="2" s="1"/>
  <c r="AH387" i="2"/>
  <c r="AC387" i="2" s="1"/>
  <c r="AI500" i="2"/>
  <c r="AJ583" i="2"/>
  <c r="AH216" i="2"/>
  <c r="AC216" i="2" s="1"/>
  <c r="AH177" i="2"/>
  <c r="AC177" i="2" s="1"/>
  <c r="AH583" i="2"/>
  <c r="AC583" i="2" s="1"/>
  <c r="AH199" i="2"/>
  <c r="AC199" i="2" s="1"/>
  <c r="AH221" i="2"/>
  <c r="AC221" i="2" s="1"/>
  <c r="AI115" i="2"/>
  <c r="AJ115" i="2"/>
  <c r="AJ417" i="2"/>
  <c r="AI417" i="2"/>
  <c r="AJ73" i="2"/>
  <c r="AJ178" i="2"/>
  <c r="AJ243" i="2"/>
  <c r="AJ251" i="2"/>
  <c r="AI292" i="2"/>
  <c r="AK314" i="2"/>
  <c r="AL314" i="2" s="1"/>
  <c r="AK349" i="2"/>
  <c r="AL349" i="2" s="1"/>
  <c r="AJ387" i="2"/>
  <c r="AJ441" i="2"/>
  <c r="AK521" i="2"/>
  <c r="AL521" i="2" s="1"/>
  <c r="AI495" i="2"/>
  <c r="AH568" i="2"/>
  <c r="AC568" i="2" s="1"/>
  <c r="AK221" i="2"/>
  <c r="AL221" i="2" s="1"/>
  <c r="AH441" i="2"/>
  <c r="AC441" i="2" s="1"/>
  <c r="AI566" i="2"/>
  <c r="AJ566" i="2"/>
  <c r="AI570" i="2"/>
  <c r="AJ570" i="2"/>
  <c r="AH570" i="2"/>
  <c r="AC570" i="2" s="1"/>
  <c r="AC36" i="2"/>
  <c r="AK36" i="2"/>
  <c r="AL36" i="2" s="1"/>
  <c r="AI36" i="2"/>
  <c r="AJ36" i="2"/>
  <c r="AI51" i="2"/>
  <c r="AJ51" i="2"/>
  <c r="AK51" i="2"/>
  <c r="AL51" i="2" s="1"/>
  <c r="AC51" i="2"/>
  <c r="AJ82" i="2"/>
  <c r="AK82" i="2"/>
  <c r="AL82" i="2" s="1"/>
  <c r="AI82" i="2"/>
  <c r="AJ76" i="2"/>
  <c r="AK76" i="2"/>
  <c r="AL76" i="2" s="1"/>
  <c r="AC76" i="2"/>
  <c r="AI76" i="2"/>
  <c r="AH185" i="2"/>
  <c r="AC185" i="2" s="1"/>
  <c r="AI185" i="2"/>
  <c r="AJ185" i="2"/>
  <c r="AK185" i="2"/>
  <c r="AL185" i="2" s="1"/>
  <c r="AH193" i="2"/>
  <c r="AC193" i="2" s="1"/>
  <c r="AI193" i="2"/>
  <c r="AJ193" i="2"/>
  <c r="AK193" i="2"/>
  <c r="AL193" i="2" s="1"/>
  <c r="AH201" i="2"/>
  <c r="AC201" i="2" s="1"/>
  <c r="AI201" i="2"/>
  <c r="AJ201" i="2"/>
  <c r="AK201" i="2"/>
  <c r="AL201" i="2" s="1"/>
  <c r="AK300" i="2"/>
  <c r="AL300" i="2" s="1"/>
  <c r="AH300" i="2"/>
  <c r="AC300" i="2" s="1"/>
  <c r="AI300" i="2"/>
  <c r="AJ300" i="2"/>
  <c r="AJ323" i="2"/>
  <c r="AK323" i="2"/>
  <c r="AL323" i="2" s="1"/>
  <c r="AH323" i="2"/>
  <c r="AC323" i="2" s="1"/>
  <c r="AI323" i="2"/>
  <c r="AJ331" i="2"/>
  <c r="AK331" i="2"/>
  <c r="AL331" i="2" s="1"/>
  <c r="AI331" i="2"/>
  <c r="AC386" i="2"/>
  <c r="AI386" i="2"/>
  <c r="AJ386" i="2"/>
  <c r="AK386" i="2"/>
  <c r="AL386" i="2" s="1"/>
  <c r="AK445" i="2"/>
  <c r="AL445" i="2" s="1"/>
  <c r="AH445" i="2"/>
  <c r="AC445" i="2" s="1"/>
  <c r="AI445" i="2"/>
  <c r="AJ445" i="2"/>
  <c r="AK615" i="2"/>
  <c r="AL615" i="2" s="1"/>
  <c r="AI615" i="2"/>
  <c r="AJ615" i="2"/>
  <c r="AK612" i="2"/>
  <c r="AL612" i="2" s="1"/>
  <c r="AI612" i="2"/>
  <c r="AJ612" i="2"/>
  <c r="AI607" i="2"/>
  <c r="AJ607" i="2"/>
  <c r="AK607" i="2"/>
  <c r="AL607" i="2" s="1"/>
  <c r="AH615" i="2"/>
  <c r="AC615" i="2" s="1"/>
  <c r="AJ78" i="2"/>
  <c r="AK78" i="2"/>
  <c r="AL78" i="2" s="1"/>
  <c r="AI78" i="2"/>
  <c r="AI183" i="2"/>
  <c r="AJ183" i="2"/>
  <c r="AK183" i="2"/>
  <c r="AL183" i="2" s="1"/>
  <c r="AJ347" i="2"/>
  <c r="AK347" i="2"/>
  <c r="AL347" i="2" s="1"/>
  <c r="AI347" i="2"/>
  <c r="AH331" i="2"/>
  <c r="AC331" i="2" s="1"/>
  <c r="AJ345" i="2"/>
  <c r="AK345" i="2"/>
  <c r="AL345" i="2" s="1"/>
  <c r="AC345" i="2"/>
  <c r="AI345" i="2"/>
  <c r="AC410" i="2"/>
  <c r="AI410" i="2"/>
  <c r="AK410" i="2"/>
  <c r="AL410" i="2" s="1"/>
  <c r="AJ410" i="2"/>
  <c r="AH607" i="2"/>
  <c r="AC607" i="2" s="1"/>
  <c r="AC18" i="2"/>
  <c r="AJ18" i="2"/>
  <c r="AI18" i="2"/>
  <c r="AK18" i="2"/>
  <c r="AL18" i="2" s="1"/>
  <c r="AJ92" i="2"/>
  <c r="AI92" i="2"/>
  <c r="AK92" i="2"/>
  <c r="AL92" i="2" s="1"/>
  <c r="AK113" i="2"/>
  <c r="AL113" i="2" s="1"/>
  <c r="AH113" i="2"/>
  <c r="AC113" i="2" s="1"/>
  <c r="AI113" i="2"/>
  <c r="AJ113" i="2"/>
  <c r="AH152" i="2"/>
  <c r="AC152" i="2" s="1"/>
  <c r="AJ152" i="2"/>
  <c r="AI152" i="2"/>
  <c r="AK152" i="2"/>
  <c r="AL152" i="2" s="1"/>
  <c r="AJ339" i="2"/>
  <c r="AK339" i="2"/>
  <c r="AL339" i="2" s="1"/>
  <c r="AC339" i="2"/>
  <c r="AI339" i="2"/>
  <c r="AJ350" i="2"/>
  <c r="AK350" i="2"/>
  <c r="AL350" i="2" s="1"/>
  <c r="AI350" i="2"/>
  <c r="AH347" i="2"/>
  <c r="AC347" i="2" s="1"/>
  <c r="AJ348" i="2"/>
  <c r="AK348" i="2"/>
  <c r="AL348" i="2" s="1"/>
  <c r="AC348" i="2"/>
  <c r="AI348" i="2"/>
  <c r="AK429" i="2"/>
  <c r="AL429" i="2" s="1"/>
  <c r="AH429" i="2"/>
  <c r="AC429" i="2" s="1"/>
  <c r="AI429" i="2"/>
  <c r="AJ429" i="2"/>
  <c r="AC587" i="2"/>
  <c r="AI587" i="2"/>
  <c r="AJ587" i="2"/>
  <c r="AK587" i="2"/>
  <c r="AL587" i="2" s="1"/>
  <c r="AI40" i="2"/>
  <c r="AK40" i="2"/>
  <c r="AL40" i="2" s="1"/>
  <c r="AJ40" i="2"/>
  <c r="AH40" i="2"/>
  <c r="AC40" i="2" s="1"/>
  <c r="AC49" i="2"/>
  <c r="AI49" i="2"/>
  <c r="AJ49" i="2"/>
  <c r="AK49" i="2"/>
  <c r="AL49" i="2" s="1"/>
  <c r="AC119" i="2"/>
  <c r="AI119" i="2"/>
  <c r="AJ119" i="2"/>
  <c r="AK119" i="2"/>
  <c r="AL119" i="2" s="1"/>
  <c r="AC135" i="2"/>
  <c r="AI135" i="2"/>
  <c r="AJ135" i="2"/>
  <c r="AK135" i="2"/>
  <c r="AL135" i="2" s="1"/>
  <c r="AK306" i="2"/>
  <c r="AL306" i="2" s="1"/>
  <c r="AI306" i="2"/>
  <c r="AJ306" i="2"/>
  <c r="AH306" i="2"/>
  <c r="AC306" i="2" s="1"/>
  <c r="AH350" i="2"/>
  <c r="AC350" i="2" s="1"/>
  <c r="AC394" i="2"/>
  <c r="AI394" i="2"/>
  <c r="AJ394" i="2"/>
  <c r="AK394" i="2"/>
  <c r="AL394" i="2" s="1"/>
  <c r="AC577" i="2"/>
  <c r="AJ577" i="2"/>
  <c r="AI577" i="2"/>
  <c r="AK577" i="2"/>
  <c r="AL577" i="2" s="1"/>
  <c r="AI603" i="2"/>
  <c r="AJ603" i="2"/>
  <c r="AK603" i="2"/>
  <c r="AL603" i="2" s="1"/>
  <c r="AH612" i="2"/>
  <c r="AC612" i="2" s="1"/>
  <c r="AH63" i="2"/>
  <c r="AC63" i="2" s="1"/>
  <c r="AI63" i="2"/>
  <c r="AJ63" i="2"/>
  <c r="AK63" i="2"/>
  <c r="AL63" i="2" s="1"/>
  <c r="AI24" i="2"/>
  <c r="AK24" i="2"/>
  <c r="AL24" i="2" s="1"/>
  <c r="AJ24" i="2"/>
  <c r="AC44" i="2"/>
  <c r="AJ44" i="2"/>
  <c r="AI44" i="2"/>
  <c r="AK44" i="2"/>
  <c r="AL44" i="2" s="1"/>
  <c r="AH78" i="2"/>
  <c r="AC78" i="2" s="1"/>
  <c r="AJ80" i="2"/>
  <c r="AK80" i="2"/>
  <c r="AL80" i="2" s="1"/>
  <c r="AC80" i="2"/>
  <c r="AI80" i="2"/>
  <c r="AK110" i="2"/>
  <c r="AL110" i="2" s="1"/>
  <c r="AC110" i="2"/>
  <c r="AJ110" i="2"/>
  <c r="AI110" i="2"/>
  <c r="AH189" i="2"/>
  <c r="AC189" i="2" s="1"/>
  <c r="AI189" i="2"/>
  <c r="AJ189" i="2"/>
  <c r="AK189" i="2"/>
  <c r="AL189" i="2" s="1"/>
  <c r="AH197" i="2"/>
  <c r="AC197" i="2" s="1"/>
  <c r="AI197" i="2"/>
  <c r="AJ197" i="2"/>
  <c r="AK197" i="2"/>
  <c r="AL197" i="2" s="1"/>
  <c r="AH205" i="2"/>
  <c r="AC205" i="2" s="1"/>
  <c r="AI205" i="2"/>
  <c r="AJ205" i="2"/>
  <c r="AK205" i="2"/>
  <c r="AL205" i="2" s="1"/>
  <c r="AH183" i="2"/>
  <c r="AC183" i="2" s="1"/>
  <c r="AI316" i="2"/>
  <c r="AJ316" i="2"/>
  <c r="AK316" i="2"/>
  <c r="AL316" i="2" s="1"/>
  <c r="AJ321" i="2"/>
  <c r="AK321" i="2"/>
  <c r="AL321" i="2" s="1"/>
  <c r="AH321" i="2"/>
  <c r="AC321" i="2" s="1"/>
  <c r="AI321" i="2"/>
  <c r="AJ337" i="2"/>
  <c r="AK337" i="2"/>
  <c r="AL337" i="2" s="1"/>
  <c r="AI337" i="2"/>
  <c r="AJ353" i="2"/>
  <c r="AI353" i="2"/>
  <c r="AK353" i="2"/>
  <c r="AL353" i="2" s="1"/>
  <c r="AJ333" i="2"/>
  <c r="AK333" i="2"/>
  <c r="AL333" i="2" s="1"/>
  <c r="AC333" i="2"/>
  <c r="AI333" i="2"/>
  <c r="AH353" i="2"/>
  <c r="AC353" i="2" s="1"/>
  <c r="AH24" i="2"/>
  <c r="AC24" i="2" s="1"/>
  <c r="AH59" i="2"/>
  <c r="AC59" i="2" s="1"/>
  <c r="AI59" i="2"/>
  <c r="AJ59" i="2"/>
  <c r="AK59" i="2"/>
  <c r="AL59" i="2" s="1"/>
  <c r="AH67" i="2"/>
  <c r="AC67" i="2" s="1"/>
  <c r="AI67" i="2"/>
  <c r="AJ67" i="2"/>
  <c r="AK67" i="2"/>
  <c r="AL67" i="2" s="1"/>
  <c r="AH82" i="2"/>
  <c r="AC82" i="2" s="1"/>
  <c r="AH92" i="2"/>
  <c r="AC92" i="2" s="1"/>
  <c r="AJ88" i="2"/>
  <c r="AC88" i="2"/>
  <c r="AI88" i="2"/>
  <c r="AK88" i="2"/>
  <c r="AL88" i="2" s="1"/>
  <c r="AK304" i="2"/>
  <c r="AL304" i="2" s="1"/>
  <c r="AH304" i="2"/>
  <c r="AC304" i="2" s="1"/>
  <c r="AI304" i="2"/>
  <c r="AJ304" i="2"/>
  <c r="AJ354" i="2"/>
  <c r="AI354" i="2"/>
  <c r="AK354" i="2"/>
  <c r="AL354" i="2" s="1"/>
  <c r="AH354" i="2"/>
  <c r="AC354" i="2" s="1"/>
  <c r="AK437" i="2"/>
  <c r="AL437" i="2" s="1"/>
  <c r="AH437" i="2"/>
  <c r="AC437" i="2" s="1"/>
  <c r="AI437" i="2"/>
  <c r="AJ437" i="2"/>
  <c r="AH603" i="2"/>
  <c r="AC603" i="2" s="1"/>
  <c r="AC55" i="2"/>
  <c r="AI55" i="2"/>
  <c r="AJ55" i="2"/>
  <c r="AK55" i="2"/>
  <c r="AL55" i="2" s="1"/>
  <c r="AC16" i="2"/>
  <c r="AJ16" i="2"/>
  <c r="AI16" i="2"/>
  <c r="AK16" i="2"/>
  <c r="AL16" i="2" s="1"/>
  <c r="AJ74" i="2"/>
  <c r="AK74" i="2"/>
  <c r="AL74" i="2" s="1"/>
  <c r="AC74" i="2"/>
  <c r="AI74" i="2"/>
  <c r="AJ176" i="2"/>
  <c r="AK176" i="2"/>
  <c r="AL176" i="2" s="1"/>
  <c r="AH176" i="2"/>
  <c r="AC176" i="2" s="1"/>
  <c r="AI176" i="2"/>
  <c r="AK179" i="2"/>
  <c r="AL179" i="2" s="1"/>
  <c r="AI179" i="2"/>
  <c r="AJ179" i="2"/>
  <c r="AK302" i="2"/>
  <c r="AL302" i="2" s="1"/>
  <c r="AI302" i="2"/>
  <c r="AJ302" i="2"/>
  <c r="AH302" i="2"/>
  <c r="AC302" i="2" s="1"/>
  <c r="AJ335" i="2"/>
  <c r="AK335" i="2"/>
  <c r="AL335" i="2" s="1"/>
  <c r="AC335" i="2"/>
  <c r="AI335" i="2"/>
  <c r="AH337" i="2"/>
  <c r="AC337" i="2" s="1"/>
  <c r="AJ329" i="2"/>
  <c r="AK329" i="2"/>
  <c r="AL329" i="2" s="1"/>
  <c r="AC329" i="2"/>
  <c r="AI329" i="2"/>
  <c r="AJ327" i="2"/>
  <c r="AK327" i="2"/>
  <c r="AL327" i="2" s="1"/>
  <c r="AC327" i="2"/>
  <c r="AI327" i="2"/>
  <c r="AC402" i="2"/>
  <c r="AI402" i="2"/>
  <c r="AJ402" i="2"/>
  <c r="AK402" i="2"/>
  <c r="AL402" i="2" s="1"/>
  <c r="AK413" i="2"/>
  <c r="AL413" i="2" s="1"/>
  <c r="AH413" i="2"/>
  <c r="AC413" i="2" s="1"/>
  <c r="AI413" i="2"/>
  <c r="AJ413" i="2"/>
  <c r="AK421" i="2"/>
  <c r="AL421" i="2" s="1"/>
  <c r="AH421" i="2"/>
  <c r="AC421" i="2" s="1"/>
  <c r="AI421" i="2"/>
  <c r="AJ421" i="2"/>
  <c r="AI599" i="2"/>
  <c r="AJ599" i="2"/>
  <c r="AK599" i="2"/>
  <c r="AL599" i="2" s="1"/>
  <c r="AI71" i="2"/>
  <c r="AJ71" i="2"/>
  <c r="AK71" i="2"/>
  <c r="AL71" i="2" s="1"/>
  <c r="AH71" i="2"/>
  <c r="AC71" i="2" s="1"/>
  <c r="AC34" i="2"/>
  <c r="AI34" i="2"/>
  <c r="AJ34" i="2"/>
  <c r="AK34" i="2"/>
  <c r="AL34" i="2" s="1"/>
  <c r="AC14" i="2"/>
  <c r="AJ14" i="2"/>
  <c r="AI14" i="2"/>
  <c r="AK14" i="2"/>
  <c r="AL14" i="2" s="1"/>
  <c r="AC28" i="2"/>
  <c r="AI28" i="2"/>
  <c r="AJ28" i="2"/>
  <c r="AK28" i="2"/>
  <c r="AL28" i="2" s="1"/>
  <c r="AK47" i="2"/>
  <c r="AL47" i="2" s="1"/>
  <c r="AC47" i="2"/>
  <c r="AI47" i="2"/>
  <c r="AJ47" i="2"/>
  <c r="AJ96" i="2"/>
  <c r="AC96" i="2"/>
  <c r="AI96" i="2"/>
  <c r="AK96" i="2"/>
  <c r="AL96" i="2" s="1"/>
  <c r="AH179" i="2"/>
  <c r="AC179" i="2" s="1"/>
  <c r="AH316" i="2"/>
  <c r="AC316" i="2" s="1"/>
  <c r="AJ343" i="2"/>
  <c r="AK343" i="2"/>
  <c r="AL343" i="2" s="1"/>
  <c r="AC343" i="2"/>
  <c r="AI343" i="2"/>
  <c r="AJ325" i="2"/>
  <c r="AK325" i="2"/>
  <c r="AL325" i="2" s="1"/>
  <c r="AC325" i="2"/>
  <c r="AI325" i="2"/>
  <c r="AJ341" i="2"/>
  <c r="AK341" i="2"/>
  <c r="AL341" i="2" s="1"/>
  <c r="AC341" i="2"/>
  <c r="AI341" i="2"/>
  <c r="AK415" i="2"/>
  <c r="AL415" i="2" s="1"/>
  <c r="AH415" i="2"/>
  <c r="AC415" i="2" s="1"/>
  <c r="AI415" i="2"/>
  <c r="AJ415" i="2"/>
  <c r="AK419" i="2"/>
  <c r="AL419" i="2" s="1"/>
  <c r="AH419" i="2"/>
  <c r="AC419" i="2" s="1"/>
  <c r="AI419" i="2"/>
  <c r="AJ419" i="2"/>
  <c r="AC595" i="2"/>
  <c r="AI595" i="2"/>
  <c r="AJ595" i="2"/>
  <c r="AK595" i="2"/>
  <c r="AL595" i="2" s="1"/>
  <c r="AC581" i="2"/>
  <c r="AJ581" i="2"/>
  <c r="AI581" i="2"/>
  <c r="AK581" i="2"/>
  <c r="AL581" i="2" s="1"/>
  <c r="AH599" i="2"/>
  <c r="AC599" i="2" s="1"/>
  <c r="AM368" i="2" l="1"/>
  <c r="AM102" i="2"/>
  <c r="AM45" i="2"/>
  <c r="AM573" i="2"/>
  <c r="AM285" i="2"/>
  <c r="AM559" i="2"/>
  <c r="AM140" i="2"/>
  <c r="AM524" i="2"/>
  <c r="AM145" i="2"/>
  <c r="AM622" i="2"/>
  <c r="AM322" i="2"/>
  <c r="AM481" i="2"/>
  <c r="AM604" i="2"/>
  <c r="AM161" i="2"/>
  <c r="AM639" i="2"/>
  <c r="AM584" i="2"/>
  <c r="AM634" i="2"/>
  <c r="AM15" i="2"/>
  <c r="AM590" i="2"/>
  <c r="AM638" i="2"/>
  <c r="AM625" i="2"/>
  <c r="AM21" i="2"/>
  <c r="AM378" i="2"/>
  <c r="AM557" i="2"/>
  <c r="AM166" i="2"/>
  <c r="AM478" i="2"/>
  <c r="AM610" i="2"/>
  <c r="AM258" i="2"/>
  <c r="AM412" i="2"/>
  <c r="AM523" i="2"/>
  <c r="AM128" i="2"/>
  <c r="AM576" i="2"/>
  <c r="AM124" i="2"/>
  <c r="AM592" i="2"/>
  <c r="AM484" i="2"/>
  <c r="AM579" i="2"/>
  <c r="AM46" i="2"/>
  <c r="AM461" i="2"/>
  <c r="AM462" i="2"/>
  <c r="AM271" i="2"/>
  <c r="AM239" i="2"/>
  <c r="AM62" i="2"/>
  <c r="AM291" i="2"/>
  <c r="AM204" i="2"/>
  <c r="AM414" i="2"/>
  <c r="AM58" i="2"/>
  <c r="AM64" i="2"/>
  <c r="AM252" i="2"/>
  <c r="AM582" i="2"/>
  <c r="AM94" i="2"/>
  <c r="AM237" i="2"/>
  <c r="AM470" i="2"/>
  <c r="AM295" i="2"/>
  <c r="AM132" i="2"/>
  <c r="AM626" i="2"/>
  <c r="AM443" i="2"/>
  <c r="AM54" i="2"/>
  <c r="AM529" i="2"/>
  <c r="AM235" i="2"/>
  <c r="AM593" i="2"/>
  <c r="AM31" i="2"/>
  <c r="AM560" i="2"/>
  <c r="AM444" i="2"/>
  <c r="AM515" i="2"/>
  <c r="AM153" i="2"/>
  <c r="AM206" i="2"/>
  <c r="AM158" i="2"/>
  <c r="AM191" i="2"/>
  <c r="AM635" i="2"/>
  <c r="AM574" i="2"/>
  <c r="AM209" i="2"/>
  <c r="AM562" i="2"/>
  <c r="AM269" i="2"/>
  <c r="AM143" i="2"/>
  <c r="AM636" i="2"/>
  <c r="AM10" i="2"/>
  <c r="AM512" i="2"/>
  <c r="AM227" i="2"/>
  <c r="AM312" i="2"/>
  <c r="AM344" i="2"/>
  <c r="AM241" i="2"/>
  <c r="AM485" i="2"/>
  <c r="AM231" i="2"/>
  <c r="AM464" i="2"/>
  <c r="AM334" i="2"/>
  <c r="AM569" i="2"/>
  <c r="AM257" i="2"/>
  <c r="AM301" i="2"/>
  <c r="AM361" i="2"/>
  <c r="AM109" i="2"/>
  <c r="AM586" i="2"/>
  <c r="AM11" i="2"/>
  <c r="AM255" i="2"/>
  <c r="AM369" i="2"/>
  <c r="AM263" i="2"/>
  <c r="AM208" i="2"/>
  <c r="AM465" i="2"/>
  <c r="AM223" i="2"/>
  <c r="AM142" i="2"/>
  <c r="AM643" i="2"/>
  <c r="AM229" i="2"/>
  <c r="AM287" i="2"/>
  <c r="AM380" i="2"/>
  <c r="AM294" i="2"/>
  <c r="AM127" i="2"/>
  <c r="AM118" i="2"/>
  <c r="AM256" i="2"/>
  <c r="AM460" i="2"/>
  <c r="AM575" i="2"/>
  <c r="AM278" i="2"/>
  <c r="AM105" i="2"/>
  <c r="AM509" i="2"/>
  <c r="AM93" i="2"/>
  <c r="AM228" i="2"/>
  <c r="AM483" i="2"/>
  <c r="AM493" i="2"/>
  <c r="AM116" i="2"/>
  <c r="AM284" i="2"/>
  <c r="AM30" i="2"/>
  <c r="AM19" i="2"/>
  <c r="AM144" i="2"/>
  <c r="AM172" i="2"/>
  <c r="AM580" i="2"/>
  <c r="AM225" i="2"/>
  <c r="AM452" i="2"/>
  <c r="AM520" i="2"/>
  <c r="AM416" i="2"/>
  <c r="AM514" i="2"/>
  <c r="AM97" i="2"/>
  <c r="AM377" i="2"/>
  <c r="AM267" i="2"/>
  <c r="AM33" i="2"/>
  <c r="AM259" i="2"/>
  <c r="AM66" i="2"/>
  <c r="AM467" i="2"/>
  <c r="AM281" i="2"/>
  <c r="AM611" i="2"/>
  <c r="AM146" i="2"/>
  <c r="AM160" i="2"/>
  <c r="AM192" i="2"/>
  <c r="AM32" i="2"/>
  <c r="AM48" i="2"/>
  <c r="AM383" i="2"/>
  <c r="AM430" i="2"/>
  <c r="AM25" i="2"/>
  <c r="AM212" i="2"/>
  <c r="AM170" i="2"/>
  <c r="AM184" i="2"/>
  <c r="AM244" i="2"/>
  <c r="AM242" i="2"/>
  <c r="AM174" i="2"/>
  <c r="AM17" i="2"/>
  <c r="AM475" i="2"/>
  <c r="AM180" i="2"/>
  <c r="AM474" i="2"/>
  <c r="AM442" i="2"/>
  <c r="AM384" i="2"/>
  <c r="AM120" i="2"/>
  <c r="AM400" i="2"/>
  <c r="AM338" i="2"/>
  <c r="AM473" i="2"/>
  <c r="AM375" i="2"/>
  <c r="AM395" i="2"/>
  <c r="AM366" i="2"/>
  <c r="AM139" i="2"/>
  <c r="AM499" i="2"/>
  <c r="AM198" i="2"/>
  <c r="AM320" i="2"/>
  <c r="AM549" i="2"/>
  <c r="AM434" i="2"/>
  <c r="AM207" i="2"/>
  <c r="AM282" i="2"/>
  <c r="AM98" i="2"/>
  <c r="AM468" i="2"/>
  <c r="AM621" i="2"/>
  <c r="AM482" i="2"/>
  <c r="AM155" i="2"/>
  <c r="AM487" i="2"/>
  <c r="AM39" i="2"/>
  <c r="AM388" i="2"/>
  <c r="AM4" i="2"/>
  <c r="AM134" i="2"/>
  <c r="AM565" i="2"/>
  <c r="AM546" i="2"/>
  <c r="AM455" i="2"/>
  <c r="AM530" i="2"/>
  <c r="AM538" i="2"/>
  <c r="AM129" i="2"/>
  <c r="AM173" i="2"/>
  <c r="AM408" i="2"/>
  <c r="AM351" i="2"/>
  <c r="AM164" i="2"/>
  <c r="AM138" i="2"/>
  <c r="AM307" i="2"/>
  <c r="AM477" i="2"/>
  <c r="AM126" i="2"/>
  <c r="AM390" i="2"/>
  <c r="AM234" i="2"/>
  <c r="AM365" i="2"/>
  <c r="AM525" i="2"/>
  <c r="AM261" i="2"/>
  <c r="AM517" i="2"/>
  <c r="AM510" i="2"/>
  <c r="AM60" i="2"/>
  <c r="AM439" i="2"/>
  <c r="AM91" i="2"/>
  <c r="AM53" i="2"/>
  <c r="AM162" i="2"/>
  <c r="AM526" i="2"/>
  <c r="AM150" i="2"/>
  <c r="AM600" i="2"/>
  <c r="AM373" i="2"/>
  <c r="AM81" i="2"/>
  <c r="AM427" i="2"/>
  <c r="AM371" i="2"/>
  <c r="AM505" i="2"/>
  <c r="AM558" i="2"/>
  <c r="AM642" i="2"/>
  <c r="AM264" i="2"/>
  <c r="AM531" i="2"/>
  <c r="AM540" i="2"/>
  <c r="AM213" i="2"/>
  <c r="AM518" i="2"/>
  <c r="AM494" i="2"/>
  <c r="AM535" i="2"/>
  <c r="AM233" i="2"/>
  <c r="AM392" i="2"/>
  <c r="AM469" i="2"/>
  <c r="AM449" i="2"/>
  <c r="AM83" i="2"/>
  <c r="AM451" i="2"/>
  <c r="AM100" i="2"/>
  <c r="AM422" i="2"/>
  <c r="AM431" i="2"/>
  <c r="AM218" i="2"/>
  <c r="AM163" i="2"/>
  <c r="AM551" i="2"/>
  <c r="AM608" i="2"/>
  <c r="AM121" i="2"/>
  <c r="AM630" i="2"/>
  <c r="AM561" i="2"/>
  <c r="AM446" i="2"/>
  <c r="AM283" i="2"/>
  <c r="AM647" i="2"/>
  <c r="AM447" i="2"/>
  <c r="AM401" i="2"/>
  <c r="AM217" i="2"/>
  <c r="AM314" i="2"/>
  <c r="AM247" i="2"/>
  <c r="AM488" i="2"/>
  <c r="AM288" i="2"/>
  <c r="AM95" i="2"/>
  <c r="AM187" i="2"/>
  <c r="AM504" i="2"/>
  <c r="AM289" i="2"/>
  <c r="AM157" i="2"/>
  <c r="AM364" i="2"/>
  <c r="AM436" i="2"/>
  <c r="AM274" i="2"/>
  <c r="AM296" i="2"/>
  <c r="AM438" i="2"/>
  <c r="AM270" i="2"/>
  <c r="AM303" i="2"/>
  <c r="AM214" i="2"/>
  <c r="AM528" i="2"/>
  <c r="AM424" i="2"/>
  <c r="AM276" i="2"/>
  <c r="AM489" i="2"/>
  <c r="AM280" i="2"/>
  <c r="AM578" i="2"/>
  <c r="AM594" i="2"/>
  <c r="AM266" i="2"/>
  <c r="AM352" i="2"/>
  <c r="AM265" i="2"/>
  <c r="AM631" i="2"/>
  <c r="AM616" i="2"/>
  <c r="AM27" i="2"/>
  <c r="AM103" i="2"/>
  <c r="AM148" i="2"/>
  <c r="AM236" i="2"/>
  <c r="AM553" i="2"/>
  <c r="AM317" i="2"/>
  <c r="AM43" i="2"/>
  <c r="AM249" i="2"/>
  <c r="AM619" i="2"/>
  <c r="AM41" i="2"/>
  <c r="AM298" i="2"/>
  <c r="AM497" i="2"/>
  <c r="AM533" i="2"/>
  <c r="AM543" i="2"/>
  <c r="AM311" i="2"/>
  <c r="AM563" i="2"/>
  <c r="AM7" i="2"/>
  <c r="AM432" i="2"/>
  <c r="AM137" i="2"/>
  <c r="AM613" i="2"/>
  <c r="AM75" i="2"/>
  <c r="AM532" i="2"/>
  <c r="AM136" i="2"/>
  <c r="AM453" i="2"/>
  <c r="AM290" i="2"/>
  <c r="AM363" i="2"/>
  <c r="AM181" i="2"/>
  <c r="AM627" i="2"/>
  <c r="AM305" i="2"/>
  <c r="AM606" i="2"/>
  <c r="AM232" i="2"/>
  <c r="AM602" i="2"/>
  <c r="AM355" i="2"/>
  <c r="AM450" i="2"/>
  <c r="AM315" i="2"/>
  <c r="AM147" i="2"/>
  <c r="AM38" i="2"/>
  <c r="AM70" i="2"/>
  <c r="AM420" i="2"/>
  <c r="AM61" i="2"/>
  <c r="AM131" i="2"/>
  <c r="AM330" i="2"/>
  <c r="AM309" i="2"/>
  <c r="AM6" i="2"/>
  <c r="AM107" i="2"/>
  <c r="AM29" i="2"/>
  <c r="AM358" i="2"/>
  <c r="AM479" i="2"/>
  <c r="AM262" i="2"/>
  <c r="AM433" i="2"/>
  <c r="AM435" i="2"/>
  <c r="AM114" i="2"/>
  <c r="AM37" i="2"/>
  <c r="AM221" i="2"/>
  <c r="AM522" i="2"/>
  <c r="AM254" i="2"/>
  <c r="AM617" i="2"/>
  <c r="AM646" i="2"/>
  <c r="AM5" i="2"/>
  <c r="AM196" i="2"/>
  <c r="AM332" i="2"/>
  <c r="AM194" i="2"/>
  <c r="AM275" i="2"/>
  <c r="AM381" i="2"/>
  <c r="AM90" i="2"/>
  <c r="AM623" i="2"/>
  <c r="AM238" i="2"/>
  <c r="AM605" i="2"/>
  <c r="AM596" i="2"/>
  <c r="AM200" i="2"/>
  <c r="AM548" i="2"/>
  <c r="AM609" i="2"/>
  <c r="AM346" i="2"/>
  <c r="AM527" i="2"/>
  <c r="AM498" i="2"/>
  <c r="AM448" i="2"/>
  <c r="AM550" i="2"/>
  <c r="AM503" i="2"/>
  <c r="AM409" i="2"/>
  <c r="AM141" i="2"/>
  <c r="AM516" i="2"/>
  <c r="AM367" i="2"/>
  <c r="AM23" i="2"/>
  <c r="AM245" i="2"/>
  <c r="AM122" i="2"/>
  <c r="AM56" i="2"/>
  <c r="AM508" i="2"/>
  <c r="AM313" i="2"/>
  <c r="AM246" i="2"/>
  <c r="AM536" i="2"/>
  <c r="AM476" i="2"/>
  <c r="AM591" i="2"/>
  <c r="AM490" i="2"/>
  <c r="AM159" i="2"/>
  <c r="AM614" i="2"/>
  <c r="AM149" i="2"/>
  <c r="AM389" i="2"/>
  <c r="AM541" i="2"/>
  <c r="AM362" i="2"/>
  <c r="AM506" i="2"/>
  <c r="AM405" i="2"/>
  <c r="AM491" i="2"/>
  <c r="AM151" i="2"/>
  <c r="AM547" i="2"/>
  <c r="AM404" i="2"/>
  <c r="AM260" i="2"/>
  <c r="AM598" i="2"/>
  <c r="AM426" i="2"/>
  <c r="AM169" i="2"/>
  <c r="AM428" i="2"/>
  <c r="AM406" i="2"/>
  <c r="AM624" i="2"/>
  <c r="AM101" i="2"/>
  <c r="AM457" i="2"/>
  <c r="AM423" i="2"/>
  <c r="AM22" i="2"/>
  <c r="AM286" i="2"/>
  <c r="AM511" i="2"/>
  <c r="AM356" i="2"/>
  <c r="AM391" i="2"/>
  <c r="AM568" i="2"/>
  <c r="AM567" i="2"/>
  <c r="AM168" i="2"/>
  <c r="AM399" i="2"/>
  <c r="AM556" i="2"/>
  <c r="AM8" i="2"/>
  <c r="AM601" i="2"/>
  <c r="AM425" i="2"/>
  <c r="AM387" i="2"/>
  <c r="AM597" i="2"/>
  <c r="AM629" i="2"/>
  <c r="AM564" i="2"/>
  <c r="AM175" i="2"/>
  <c r="AM226" i="2"/>
  <c r="AM359" i="2"/>
  <c r="AM216" i="2"/>
  <c r="AM293" i="2"/>
  <c r="AM104" i="2"/>
  <c r="AM456" i="2"/>
  <c r="AM243" i="2"/>
  <c r="AM324" i="2"/>
  <c r="AM9" i="2"/>
  <c r="AM471" i="2"/>
  <c r="AM537" i="2"/>
  <c r="AM310" i="2"/>
  <c r="AM279" i="2"/>
  <c r="AM50" i="2"/>
  <c r="AM396" i="2"/>
  <c r="AM502" i="2"/>
  <c r="AM89" i="2"/>
  <c r="AM507" i="2"/>
  <c r="AM42" i="2"/>
  <c r="AM195" i="2"/>
  <c r="AM340" i="2"/>
  <c r="AM440" i="2"/>
  <c r="AM177" i="2"/>
  <c r="AM106" i="2"/>
  <c r="AM87" i="2"/>
  <c r="AM202" i="2"/>
  <c r="AM219" i="2"/>
  <c r="AM459" i="2"/>
  <c r="AM372" i="2"/>
  <c r="AM554" i="2"/>
  <c r="AM130" i="2"/>
  <c r="AM628" i="2"/>
  <c r="AM588" i="2"/>
  <c r="AM495" i="2"/>
  <c r="AM308" i="2"/>
  <c r="AM513" i="2"/>
  <c r="AM552" i="2"/>
  <c r="AM178" i="2"/>
  <c r="AM360" i="2"/>
  <c r="AM376" i="2"/>
  <c r="AM52" i="2"/>
  <c r="AM277" i="2"/>
  <c r="AM458" i="2"/>
  <c r="AM393" i="2"/>
  <c r="AM171" i="2"/>
  <c r="AM374" i="2"/>
  <c r="AM555" i="2"/>
  <c r="AM186" i="2"/>
  <c r="AM297" i="2"/>
  <c r="AM69" i="2"/>
  <c r="AM632" i="2"/>
  <c r="AM222" i="2"/>
  <c r="AM240" i="2"/>
  <c r="AM203" i="2"/>
  <c r="AM85" i="2"/>
  <c r="AM72" i="2"/>
  <c r="AM68" i="2"/>
  <c r="AM26" i="2"/>
  <c r="AM501" i="2"/>
  <c r="AM250" i="2"/>
  <c r="AM645" i="2"/>
  <c r="AM466" i="2"/>
  <c r="AM99" i="2"/>
  <c r="AM407" i="2"/>
  <c r="AM572" i="2"/>
  <c r="AM154" i="2"/>
  <c r="AM620" i="2"/>
  <c r="AM385" i="2"/>
  <c r="AM349" i="2"/>
  <c r="AM640" i="2"/>
  <c r="AM336" i="2"/>
  <c r="AM403" i="2"/>
  <c r="AM182" i="2"/>
  <c r="AM398" i="2"/>
  <c r="AM251" i="2"/>
  <c r="AM35" i="2"/>
  <c r="AM65" i="2"/>
  <c r="AM379" i="2"/>
  <c r="AM382" i="2"/>
  <c r="AM108" i="2"/>
  <c r="AM77" i="2"/>
  <c r="AM418" i="2"/>
  <c r="AM111" i="2"/>
  <c r="AM542" i="2"/>
  <c r="AM519" i="2"/>
  <c r="AM215" i="2"/>
  <c r="AM112" i="2"/>
  <c r="AM230" i="2"/>
  <c r="AM318" i="2"/>
  <c r="AM539" i="2"/>
  <c r="AM618" i="2"/>
  <c r="AM253" i="2"/>
  <c r="AM370" i="2"/>
  <c r="AM79" i="2"/>
  <c r="AM545" i="2"/>
  <c r="AM319" i="2"/>
  <c r="AM637" i="2"/>
  <c r="AM544" i="2"/>
  <c r="AM167" i="2"/>
  <c r="AM415" i="2"/>
  <c r="AM585" i="2"/>
  <c r="AM13" i="2"/>
  <c r="AM57" i="2"/>
  <c r="AM268" i="2"/>
  <c r="AM133" i="2"/>
  <c r="AM571" i="2"/>
  <c r="AM326" i="2"/>
  <c r="AM397" i="2"/>
  <c r="AM641" i="2"/>
  <c r="AM165" i="2"/>
  <c r="AM357" i="2"/>
  <c r="AM486" i="2"/>
  <c r="AM299" i="2"/>
  <c r="AM402" i="2"/>
  <c r="AM411" i="2"/>
  <c r="AM589" i="2"/>
  <c r="AM644" i="2"/>
  <c r="AM333" i="2"/>
  <c r="AM496" i="2"/>
  <c r="AM272" i="2"/>
  <c r="AM84" i="2"/>
  <c r="AM185" i="2"/>
  <c r="AM492" i="2"/>
  <c r="AM188" i="2"/>
  <c r="AM211" i="2"/>
  <c r="AM248" i="2"/>
  <c r="AM633" i="2"/>
  <c r="AM337" i="2"/>
  <c r="AM417" i="2"/>
  <c r="AM441" i="2"/>
  <c r="AM12" i="2"/>
  <c r="AM117" i="2"/>
  <c r="AM71" i="2"/>
  <c r="AM321" i="2"/>
  <c r="AM445" i="2"/>
  <c r="AM521" i="2"/>
  <c r="AM73" i="2"/>
  <c r="AM115" i="2"/>
  <c r="AM292" i="2"/>
  <c r="AM583" i="2"/>
  <c r="AM342" i="2"/>
  <c r="AM220" i="2"/>
  <c r="AM189" i="2"/>
  <c r="AM306" i="2"/>
  <c r="AM123" i="2"/>
  <c r="AM534" i="2"/>
  <c r="AM113" i="2"/>
  <c r="AM500" i="2"/>
  <c r="AM328" i="2"/>
  <c r="AM472" i="2"/>
  <c r="AM156" i="2"/>
  <c r="AM335" i="2"/>
  <c r="AM59" i="2"/>
  <c r="AM24" i="2"/>
  <c r="AM394" i="2"/>
  <c r="AM119" i="2"/>
  <c r="AM410" i="2"/>
  <c r="AM347" i="2"/>
  <c r="AM273" i="2"/>
  <c r="AM199" i="2"/>
  <c r="AM343" i="2"/>
  <c r="AM615" i="2"/>
  <c r="AM190" i="2"/>
  <c r="AM125" i="2"/>
  <c r="AM224" i="2"/>
  <c r="AM329" i="2"/>
  <c r="AM577" i="2"/>
  <c r="AM570" i="2"/>
  <c r="AM581" i="2"/>
  <c r="AM14" i="2"/>
  <c r="AM179" i="2"/>
  <c r="AM55" i="2"/>
  <c r="AM67" i="2"/>
  <c r="AM63" i="2"/>
  <c r="AM49" i="2"/>
  <c r="AM92" i="2"/>
  <c r="AM183" i="2"/>
  <c r="AM331" i="2"/>
  <c r="AM86" i="2"/>
  <c r="AM348" i="2"/>
  <c r="AM339" i="2"/>
  <c r="AM566" i="2"/>
  <c r="AM454" i="2"/>
  <c r="AM20" i="2"/>
  <c r="AM437" i="2"/>
  <c r="AM587" i="2"/>
  <c r="AM51" i="2"/>
  <c r="AM96" i="2"/>
  <c r="AM74" i="2"/>
  <c r="AM316" i="2"/>
  <c r="AM110" i="2"/>
  <c r="AM135" i="2"/>
  <c r="AM78" i="2"/>
  <c r="AM612" i="2"/>
  <c r="AM419" i="2"/>
  <c r="AM341" i="2"/>
  <c r="AM197" i="2"/>
  <c r="AM18" i="2"/>
  <c r="AM300" i="2"/>
  <c r="AM82" i="2"/>
  <c r="AM36" i="2"/>
  <c r="AM429" i="2"/>
  <c r="AM28" i="2"/>
  <c r="AM88" i="2"/>
  <c r="AM44" i="2"/>
  <c r="AM40" i="2"/>
  <c r="AM595" i="2"/>
  <c r="AM34" i="2"/>
  <c r="AM413" i="2"/>
  <c r="AM327" i="2"/>
  <c r="AM302" i="2"/>
  <c r="AM176" i="2"/>
  <c r="AM16" i="2"/>
  <c r="AM205" i="2"/>
  <c r="AM603" i="2"/>
  <c r="AM350" i="2"/>
  <c r="AM152" i="2"/>
  <c r="AM345" i="2"/>
  <c r="AM386" i="2"/>
  <c r="AM323" i="2"/>
  <c r="AM193" i="2"/>
  <c r="AM325" i="2"/>
  <c r="AM47" i="2"/>
  <c r="AM599" i="2"/>
  <c r="AM354" i="2"/>
  <c r="AM304" i="2"/>
  <c r="AM353" i="2"/>
  <c r="AM80" i="2"/>
  <c r="AM607" i="2"/>
  <c r="AM76" i="2"/>
  <c r="AM421" i="2"/>
  <c r="AM201" i="2"/>
  <c r="G8" i="9"/>
  <c r="G9" i="9" l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X3" i="2"/>
  <c r="W3" i="2" l="1"/>
  <c r="B53" i="1" l="1"/>
  <c r="B47" i="1" l="1"/>
  <c r="B46" i="1"/>
  <c r="B45" i="1"/>
  <c r="B44" i="1"/>
  <c r="K3" i="2"/>
  <c r="L3" i="2" s="1"/>
  <c r="V1" i="2"/>
  <c r="C41" i="1"/>
  <c r="A1" i="1" s="1"/>
  <c r="Z3" i="2"/>
  <c r="AN3" i="2" s="1"/>
  <c r="C3" i="1"/>
  <c r="Y3" i="2"/>
  <c r="AE3" i="2" s="1"/>
  <c r="C39" i="1"/>
  <c r="AD1" i="2"/>
  <c r="C32" i="1" s="1"/>
  <c r="O32" i="1" s="1"/>
  <c r="G5" i="5"/>
  <c r="I5" i="5"/>
  <c r="G6" i="5"/>
  <c r="G7" i="5"/>
  <c r="AI3" i="2" l="1"/>
  <c r="AJ3" i="2"/>
  <c r="AG3" i="2"/>
  <c r="AF3" i="2"/>
  <c r="W1" i="2"/>
  <c r="C37" i="1" s="1"/>
  <c r="X1" i="2"/>
  <c r="C30" i="1" s="1"/>
  <c r="O30" i="1" s="1"/>
  <c r="AO3" i="2"/>
  <c r="AA3" i="2"/>
  <c r="AK3" i="2" s="1"/>
  <c r="AL3" i="2" s="1"/>
  <c r="M37" i="1" l="1"/>
  <c r="O37" i="1" s="1"/>
  <c r="AM3" i="2"/>
  <c r="AE1" i="2"/>
  <c r="C8" i="1" s="1"/>
  <c r="O8" i="1" s="1"/>
  <c r="C4" i="1"/>
  <c r="AO1" i="2"/>
  <c r="C35" i="1" l="1"/>
  <c r="AH3" i="2"/>
  <c r="AF1" i="2"/>
  <c r="C11" i="1" s="1"/>
  <c r="O11" i="1" s="1"/>
  <c r="AG1" i="2"/>
  <c r="C12" i="1" s="1"/>
  <c r="O12" i="1" s="1"/>
  <c r="AJ1" i="2"/>
  <c r="C18" i="1" s="1"/>
  <c r="O18" i="1" s="1"/>
  <c r="G3" i="5"/>
  <c r="AI1" i="2"/>
  <c r="C17" i="1" s="1"/>
  <c r="O17" i="1" s="1"/>
  <c r="AK1" i="2"/>
  <c r="C24" i="1" s="1"/>
  <c r="AL1" i="2"/>
  <c r="C26" i="1" s="1"/>
  <c r="M35" i="1" l="1"/>
  <c r="O35" i="1" s="1"/>
  <c r="M26" i="1"/>
  <c r="M28" i="1" s="1"/>
  <c r="M24" i="1"/>
  <c r="O24" i="1" s="1"/>
  <c r="AC3" i="2"/>
  <c r="AC1" i="2" s="1"/>
  <c r="C21" i="1"/>
  <c r="O21" i="1" s="1"/>
  <c r="C22" i="1"/>
  <c r="O22" i="1" s="1"/>
  <c r="AH1" i="2"/>
  <c r="C13" i="1" s="1"/>
  <c r="O13" i="1" s="1"/>
  <c r="AM1" i="2"/>
  <c r="G4" i="5"/>
  <c r="C28" i="1"/>
  <c r="O28" i="1" l="1"/>
  <c r="O26" i="1"/>
  <c r="C14" i="1"/>
  <c r="O14" i="1" s="1"/>
</calcChain>
</file>

<file path=xl/sharedStrings.xml><?xml version="1.0" encoding="utf-8"?>
<sst xmlns="http://schemas.openxmlformats.org/spreadsheetml/2006/main" count="8521" uniqueCount="1632">
  <si>
    <t>Date</t>
  </si>
  <si>
    <t>Description</t>
  </si>
  <si>
    <t>Total</t>
  </si>
  <si>
    <t>Particulars</t>
  </si>
  <si>
    <t>Number/₹</t>
  </si>
  <si>
    <t xml:space="preserve">No of Lives Insured </t>
  </si>
  <si>
    <t>Status</t>
  </si>
  <si>
    <t>Acct. Month</t>
  </si>
  <si>
    <t>Master Policy No</t>
  </si>
  <si>
    <t>Master Policy Risk Start Date</t>
  </si>
  <si>
    <t>Master Policy Risk End Date</t>
  </si>
  <si>
    <t>Risk Start Date</t>
  </si>
  <si>
    <t>GWP excl GST</t>
  </si>
  <si>
    <t>Risk End Date</t>
  </si>
  <si>
    <t>No of Policies</t>
  </si>
  <si>
    <t>Risk Days</t>
  </si>
  <si>
    <t>Base Date</t>
  </si>
  <si>
    <t>Used</t>
  </si>
  <si>
    <t>State</t>
  </si>
  <si>
    <t>No of Person Cover Per Day</t>
  </si>
  <si>
    <t>GWP</t>
  </si>
  <si>
    <t>SGST/UGST</t>
  </si>
  <si>
    <t>CGST</t>
  </si>
  <si>
    <t>IGST</t>
  </si>
  <si>
    <t>GEP</t>
  </si>
  <si>
    <t>NEP</t>
  </si>
  <si>
    <t>NURR</t>
  </si>
  <si>
    <t>Valid</t>
  </si>
  <si>
    <t>GST:</t>
  </si>
  <si>
    <t>Reinsurance Premium:</t>
  </si>
  <si>
    <t>Commission on Reinsurance Premium:</t>
  </si>
  <si>
    <t>Balance</t>
  </si>
  <si>
    <t>Master Policy No (Passenger)</t>
  </si>
  <si>
    <t xml:space="preserve">Period </t>
  </si>
  <si>
    <t>Proposer Name</t>
  </si>
  <si>
    <t>No. of Policies</t>
  </si>
  <si>
    <t>No. of Claims</t>
  </si>
  <si>
    <t>M01'19</t>
  </si>
  <si>
    <t>Claims service cost(3% of claims)</t>
  </si>
  <si>
    <t>Health  ( INR Lakhs)</t>
  </si>
  <si>
    <t>Claims (excluding IBNR)-33% of NEP</t>
  </si>
  <si>
    <t>Claims (including IBNR)-95% of NEP</t>
  </si>
  <si>
    <t>Relationship</t>
  </si>
  <si>
    <t xml:space="preserve">GWP </t>
  </si>
  <si>
    <t xml:space="preserve">Gross Premium </t>
  </si>
  <si>
    <t>Acko General Insurance Limited</t>
  </si>
  <si>
    <t>Premium</t>
  </si>
  <si>
    <t>APD</t>
  </si>
  <si>
    <t>Emp ID</t>
  </si>
  <si>
    <t>Last Working Day</t>
  </si>
  <si>
    <t>Reversal Date</t>
  </si>
  <si>
    <t>Unexpired Premium Date</t>
  </si>
  <si>
    <t>Unexpired Premium</t>
  </si>
  <si>
    <t xml:space="preserve"> </t>
  </si>
  <si>
    <t>Master Policy Holder Name</t>
  </si>
  <si>
    <t>Sum Insured</t>
  </si>
  <si>
    <t>Self</t>
  </si>
  <si>
    <t>Reporting Sum Insured</t>
  </si>
  <si>
    <t>Grand Total</t>
  </si>
  <si>
    <t>Sum of No of Policies</t>
  </si>
  <si>
    <t>Sum of No of Person Cover Per Day</t>
  </si>
  <si>
    <t>Recon</t>
  </si>
  <si>
    <t>UHID</t>
  </si>
  <si>
    <t>Details</t>
  </si>
  <si>
    <t>Total GST</t>
  </si>
  <si>
    <t>Reinsurance Premium - Obligatory</t>
  </si>
  <si>
    <t>Reinsurance Commission - Obligatory</t>
  </si>
  <si>
    <t>Total No of COI/No of Plan Sold</t>
  </si>
  <si>
    <t>Total No of Life Cover</t>
  </si>
  <si>
    <t>Total SA</t>
  </si>
  <si>
    <t>Name on Premium Summary</t>
  </si>
  <si>
    <t>Master Start Date</t>
  </si>
  <si>
    <t>Master End Date</t>
  </si>
  <si>
    <t>Business Name</t>
  </si>
  <si>
    <t>Health</t>
  </si>
  <si>
    <t>Product Name</t>
  </si>
  <si>
    <t>Cost Centre Details</t>
  </si>
  <si>
    <t>Channel</t>
  </si>
  <si>
    <t>Name of Intermediary</t>
  </si>
  <si>
    <t>Intermediary Type</t>
  </si>
  <si>
    <t>Oracle Product Code</t>
  </si>
  <si>
    <t>Oracle Cost Centre</t>
  </si>
  <si>
    <t>Oracle Sales Channel</t>
  </si>
  <si>
    <t>Premium Deposit GL No</t>
  </si>
  <si>
    <t>Policy Type</t>
  </si>
  <si>
    <t>Cover Type</t>
  </si>
  <si>
    <t>Sector</t>
  </si>
  <si>
    <t>Future 1</t>
  </si>
  <si>
    <t>Future 2</t>
  </si>
  <si>
    <t>Future 3</t>
  </si>
  <si>
    <t>Future 4</t>
  </si>
  <si>
    <t>Future 5</t>
  </si>
  <si>
    <t>NA</t>
  </si>
  <si>
    <t>Gender</t>
  </si>
  <si>
    <t>Name</t>
  </si>
  <si>
    <t>DOB</t>
  </si>
  <si>
    <t>Male</t>
  </si>
  <si>
    <t>Female</t>
  </si>
  <si>
    <t>a</t>
  </si>
  <si>
    <t>Policy Risk Start Date</t>
  </si>
  <si>
    <t>Reinsurance Premium -Obligatory</t>
  </si>
  <si>
    <t>Commission</t>
  </si>
  <si>
    <t>Ri Obligatory</t>
  </si>
  <si>
    <t>RI Quota</t>
  </si>
  <si>
    <t>Reinsurance Premium -Quota</t>
  </si>
  <si>
    <t>Reinsurance Premium - Quota Share</t>
  </si>
  <si>
    <t>Reinsurance Commission - Quota Share</t>
  </si>
  <si>
    <t>Sum of Reporting Sum Insured</t>
  </si>
  <si>
    <t>Tax Invoice No</t>
  </si>
  <si>
    <t xml:space="preserve">Sum of GWP </t>
  </si>
  <si>
    <t>Claim Status</t>
  </si>
  <si>
    <t>Health-GMC for Employee</t>
  </si>
  <si>
    <t>GMC Premium</t>
  </si>
  <si>
    <t>Daughter</t>
  </si>
  <si>
    <t>Son</t>
  </si>
  <si>
    <t>Spouse</t>
  </si>
  <si>
    <t>Fresh</t>
  </si>
  <si>
    <t>36-45</t>
  </si>
  <si>
    <t>46-55</t>
  </si>
  <si>
    <t>66-70</t>
  </si>
  <si>
    <t>71-75</t>
  </si>
  <si>
    <t>Age</t>
  </si>
  <si>
    <t>Age Band</t>
  </si>
  <si>
    <t>: 10-06-2025 to 09-06-2026</t>
  </si>
  <si>
    <t>A V GLOBAL-GMC-GMC021090100AV</t>
  </si>
  <si>
    <t>Delhi</t>
  </si>
  <si>
    <t>KMD</t>
  </si>
  <si>
    <t>KMD Insurance Brokerage - 9.75%</t>
  </si>
  <si>
    <t>GMC021090100AV</t>
  </si>
  <si>
    <t>A V GLOBAL CORPORATION PRIVATE LIMITED</t>
  </si>
  <si>
    <t>GMC021090100</t>
  </si>
  <si>
    <t>Vijay Mehta</t>
  </si>
  <si>
    <t>Geeta Mehta</t>
  </si>
  <si>
    <t>Ashok Kumar Mehta</t>
  </si>
  <si>
    <t>Ratnesh Kumar Jha</t>
  </si>
  <si>
    <t>Ashwani Kumar Jha</t>
  </si>
  <si>
    <t>Ankit Kumar Jha</t>
  </si>
  <si>
    <t>Gudiya Jha</t>
  </si>
  <si>
    <t>Ritesh Ranjan</t>
  </si>
  <si>
    <t>Neetu Singh</t>
  </si>
  <si>
    <t>Vanshika Singh</t>
  </si>
  <si>
    <t>Vaibhav Singh</t>
  </si>
  <si>
    <t>Mini Surendran</t>
  </si>
  <si>
    <t>K M Surendran</t>
  </si>
  <si>
    <t>Siddharth S K</t>
  </si>
  <si>
    <t>Vijay Mahar</t>
  </si>
  <si>
    <t>Bhumi</t>
  </si>
  <si>
    <t>Veena</t>
  </si>
  <si>
    <t>Himanshu</t>
  </si>
  <si>
    <t>Ram Charan</t>
  </si>
  <si>
    <t>Sushma Rani</t>
  </si>
  <si>
    <t>Ronak Udesi</t>
  </si>
  <si>
    <t>Adesh Sharma</t>
  </si>
  <si>
    <t>Seema Sharma</t>
  </si>
  <si>
    <t>Gaurav Sharma</t>
  </si>
  <si>
    <t>Dinesh Singh</t>
  </si>
  <si>
    <t>Uma Devi</t>
  </si>
  <si>
    <t>Dinesh Kumar Singh</t>
  </si>
  <si>
    <t>Shreya Singh</t>
  </si>
  <si>
    <t>Sanvi Singh</t>
  </si>
  <si>
    <t>Manju Singh</t>
  </si>
  <si>
    <t>Subhash A</t>
  </si>
  <si>
    <t>Sheeba Subhash</t>
  </si>
  <si>
    <t>Jogy P Kurien</t>
  </si>
  <si>
    <t>Anisha M Jogy</t>
  </si>
  <si>
    <t>Jolly Jogy</t>
  </si>
  <si>
    <t>Awdhesh Kumar Tiwari</t>
  </si>
  <si>
    <t>Savitri Tiwari</t>
  </si>
  <si>
    <t>Priya Tiwari</t>
  </si>
  <si>
    <t>Alok Tiwari</t>
  </si>
  <si>
    <t>Pankaj Semalty</t>
  </si>
  <si>
    <t>Reena Semalty</t>
  </si>
  <si>
    <t>Arohi Semalty</t>
  </si>
  <si>
    <t>Arnav Semalty</t>
  </si>
  <si>
    <t>Rajeev Kumar</t>
  </si>
  <si>
    <t>Alpana Kumari</t>
  </si>
  <si>
    <t>Mukund Kumar</t>
  </si>
  <si>
    <t>Arya Priya</t>
  </si>
  <si>
    <t>Ashok Singh</t>
  </si>
  <si>
    <t>Sunita Singh</t>
  </si>
  <si>
    <t>Raman Kumar Jha</t>
  </si>
  <si>
    <t>Neelam Jha</t>
  </si>
  <si>
    <t>Bhagwati Sharma</t>
  </si>
  <si>
    <t>Manjeet Singh Khanuja</t>
  </si>
  <si>
    <t>Kuljeet Kaur</t>
  </si>
  <si>
    <t>Ishpreet Singh Khanuja</t>
  </si>
  <si>
    <t>Sanjeev Kumar</t>
  </si>
  <si>
    <t>Charu Sharma</t>
  </si>
  <si>
    <t>Bindu Sharma</t>
  </si>
  <si>
    <t>Anil Paswan</t>
  </si>
  <si>
    <t>Aditya Paswan</t>
  </si>
  <si>
    <t>Sharda Devi</t>
  </si>
  <si>
    <t>Vijay Arora</t>
  </si>
  <si>
    <t>Pooja Arora</t>
  </si>
  <si>
    <t>Swayam Arora</t>
  </si>
  <si>
    <t>Vansh Arora</t>
  </si>
  <si>
    <t>Lovely Kumar</t>
  </si>
  <si>
    <t>Tanya</t>
  </si>
  <si>
    <t>Naksh</t>
  </si>
  <si>
    <t>Pushker</t>
  </si>
  <si>
    <t>Rajan Bajaj</t>
  </si>
  <si>
    <t>Tripti Bajaj</t>
  </si>
  <si>
    <t>Geeta Bajaj</t>
  </si>
  <si>
    <t>Divyanshi Bajaj</t>
  </si>
  <si>
    <t>Shankar Dayal Singh</t>
  </si>
  <si>
    <t>Sangeeta Kumari Singh</t>
  </si>
  <si>
    <t>Sachin Kumar Singh</t>
  </si>
  <si>
    <t>Anil D Sharma</t>
  </si>
  <si>
    <t>Prince</t>
  </si>
  <si>
    <t>Darshana Sharma</t>
  </si>
  <si>
    <t>Yashdeep</t>
  </si>
  <si>
    <t>Hans Raj Sharma</t>
  </si>
  <si>
    <t>Ekta Sharma</t>
  </si>
  <si>
    <t>Gourav Sharma</t>
  </si>
  <si>
    <t>Suman Devi</t>
  </si>
  <si>
    <t>Ranjeet Singh</t>
  </si>
  <si>
    <t>Chirag Singh</t>
  </si>
  <si>
    <t>Rishabh Singh</t>
  </si>
  <si>
    <t>Sangeeta</t>
  </si>
  <si>
    <t>Vikas</t>
  </si>
  <si>
    <t>Lalita</t>
  </si>
  <si>
    <t>Dev</t>
  </si>
  <si>
    <t>Nikunj</t>
  </si>
  <si>
    <t>Pushpendra Singh</t>
  </si>
  <si>
    <t>Pratibha Kumari</t>
  </si>
  <si>
    <t>Dheeren Singh</t>
  </si>
  <si>
    <t>Sanjay Kumar</t>
  </si>
  <si>
    <t>Naman</t>
  </si>
  <si>
    <t>Anuradha</t>
  </si>
  <si>
    <t>Shweta Mehta</t>
  </si>
  <si>
    <t>Lalit Mohan</t>
  </si>
  <si>
    <t>Vanshika Kumari</t>
  </si>
  <si>
    <t>Tanish Kumar</t>
  </si>
  <si>
    <t>Maya</t>
  </si>
  <si>
    <t>Gaurav Tangri</t>
  </si>
  <si>
    <t>Swati Chopra</t>
  </si>
  <si>
    <t>Amit Mohan</t>
  </si>
  <si>
    <t>Amita</t>
  </si>
  <si>
    <t>Vihaan</t>
  </si>
  <si>
    <t>Satya Prakash Yadav</t>
  </si>
  <si>
    <t>Adarsh Yadav</t>
  </si>
  <si>
    <t>Promila</t>
  </si>
  <si>
    <t>Ansh Yadav</t>
  </si>
  <si>
    <t>Jaswinder Paul</t>
  </si>
  <si>
    <t>Rita Paul</t>
  </si>
  <si>
    <t>Raghu Nath</t>
  </si>
  <si>
    <t>Tanushka Saini</t>
  </si>
  <si>
    <t>Pinky Saini</t>
  </si>
  <si>
    <t>Harshita Saini</t>
  </si>
  <si>
    <t>Raju Kashyap</t>
  </si>
  <si>
    <t>Rekha Kashyap</t>
  </si>
  <si>
    <t>Ayushi Kashyap</t>
  </si>
  <si>
    <t>Krishna Kashyap</t>
  </si>
  <si>
    <t>Ashutosh Kumar</t>
  </si>
  <si>
    <t>Priyanka Kumari</t>
  </si>
  <si>
    <t>Anubhav Kumar</t>
  </si>
  <si>
    <t>Aparna Bathla</t>
  </si>
  <si>
    <t>Vihaan Bathla</t>
  </si>
  <si>
    <t>Kuldeep Singh</t>
  </si>
  <si>
    <t>Priyanshi</t>
  </si>
  <si>
    <t>Manisha Devi</t>
  </si>
  <si>
    <t>Devanshu Singh</t>
  </si>
  <si>
    <t>Kamal Mohan Sharma</t>
  </si>
  <si>
    <t>Seema</t>
  </si>
  <si>
    <t>Dhairya Mohan</t>
  </si>
  <si>
    <t>Shaurya</t>
  </si>
  <si>
    <t>Rajan Kapoor</t>
  </si>
  <si>
    <t>Deepika Kapoor</t>
  </si>
  <si>
    <t>Pooja Kapoor</t>
  </si>
  <si>
    <t>Sonika Kapoor</t>
  </si>
  <si>
    <t>Gajendra Singh</t>
  </si>
  <si>
    <t>Diksha Chauhan</t>
  </si>
  <si>
    <t>Rishabh Chauhan</t>
  </si>
  <si>
    <t>Veena Devi</t>
  </si>
  <si>
    <t>Vijendra Singh</t>
  </si>
  <si>
    <t>Divyanshi Singh</t>
  </si>
  <si>
    <t>Manorama Singh</t>
  </si>
  <si>
    <t>Akshat Singh</t>
  </si>
  <si>
    <t>Parveen Kumar</t>
  </si>
  <si>
    <t>Pooja</t>
  </si>
  <si>
    <t>Harsh Jamdagni</t>
  </si>
  <si>
    <t>Vansh Jamdagni</t>
  </si>
  <si>
    <t>Hemant Kumar Dimri</t>
  </si>
  <si>
    <t>Nanda Dimri</t>
  </si>
  <si>
    <t>Mayank Kumar</t>
  </si>
  <si>
    <t>Nibha Kumari</t>
  </si>
  <si>
    <t>Ayush Kumar</t>
  </si>
  <si>
    <t>Prachi</t>
  </si>
  <si>
    <t>Agyat Verma</t>
  </si>
  <si>
    <t>Richa Verma</t>
  </si>
  <si>
    <t>Amit Ranjan</t>
  </si>
  <si>
    <t>Parikshit Ranjan</t>
  </si>
  <si>
    <t>Niharika Ranjan</t>
  </si>
  <si>
    <t>Vivanshi Singh</t>
  </si>
  <si>
    <t>Rajkumar C Jaiswal</t>
  </si>
  <si>
    <t>Bipin B Trivedi</t>
  </si>
  <si>
    <t>Shivani B Trivedi</t>
  </si>
  <si>
    <t>Jeet B Trivedi</t>
  </si>
  <si>
    <t>Lata B Trivedi</t>
  </si>
  <si>
    <t>Santosh D Shirke</t>
  </si>
  <si>
    <t>Gargi S Shirke</t>
  </si>
  <si>
    <t>Trigyaa Santosh Shirke</t>
  </si>
  <si>
    <t>Samrudhi S Shirke</t>
  </si>
  <si>
    <t>Ramesh Pandurang Kadu</t>
  </si>
  <si>
    <t>Rhutuja R Kadu</t>
  </si>
  <si>
    <t>Nidhi R Kadu</t>
  </si>
  <si>
    <t>Disha R Kadu</t>
  </si>
  <si>
    <t>Sofia Fernandes</t>
  </si>
  <si>
    <t>Mohan Poojary</t>
  </si>
  <si>
    <t>Manvit Mohan Poojary</t>
  </si>
  <si>
    <t>Vasanthi Poojary</t>
  </si>
  <si>
    <t>Mithali Poojary</t>
  </si>
  <si>
    <t>Bhalchandra R Devrukhkar</t>
  </si>
  <si>
    <t>Vedant B Devrukhkar</t>
  </si>
  <si>
    <t>Shubham B Devrukhkar</t>
  </si>
  <si>
    <t>Bhavana B Devrukhkar</t>
  </si>
  <si>
    <t>Sanjay Sampatrai Desai</t>
  </si>
  <si>
    <t>Madhuri Sanjay Desai</t>
  </si>
  <si>
    <t>Ramlal R Lukad</t>
  </si>
  <si>
    <t>Jyoti R Lukad</t>
  </si>
  <si>
    <t>Santosh Narayan Chikane</t>
  </si>
  <si>
    <t>Aarti Santosh Chikane</t>
  </si>
  <si>
    <t>Vikas Bhau Prabhulkar</t>
  </si>
  <si>
    <t>Vidhi Vikas Prabhulkar</t>
  </si>
  <si>
    <t>Durva Vikas Prabhulkar</t>
  </si>
  <si>
    <t>Ravindra Harischandra Jamdar</t>
  </si>
  <si>
    <t>Runali Ravindra Jamdar</t>
  </si>
  <si>
    <t>Gaurangi R Jamdar</t>
  </si>
  <si>
    <t>Samarth R Jamdar</t>
  </si>
  <si>
    <t>Hasuram Balaram Gaikwad</t>
  </si>
  <si>
    <t>Soham Hasuram Gaikwad</t>
  </si>
  <si>
    <t>Swara Hasuram Gaikwad</t>
  </si>
  <si>
    <t>Mamta Hasuram Gaikwad</t>
  </si>
  <si>
    <t>Jayram Raghunath Patil</t>
  </si>
  <si>
    <t>Prithvi J Patil</t>
  </si>
  <si>
    <t>Shruti J Patil</t>
  </si>
  <si>
    <t>Suman J Patil</t>
  </si>
  <si>
    <t>Nitin Janardhan Mhatre</t>
  </si>
  <si>
    <t>Kavita Nitin Mhatre</t>
  </si>
  <si>
    <t>Shrey Nitin Mhatre</t>
  </si>
  <si>
    <t>Swara Nitin Mhatre</t>
  </si>
  <si>
    <t>Sandeep Kamlakar Raut</t>
  </si>
  <si>
    <t>Manasvi Sandeep Raut</t>
  </si>
  <si>
    <t>Deepa Sandeep Raut</t>
  </si>
  <si>
    <t>Ovi Sandeep Raut</t>
  </si>
  <si>
    <t>Kiran Suryakant Mandavkar</t>
  </si>
  <si>
    <t>Bhargavi Kiran Mandavkar</t>
  </si>
  <si>
    <t>Ujjwala Kiran Mandavkar</t>
  </si>
  <si>
    <t>Mahendra Chandrakant Raut</t>
  </si>
  <si>
    <t>Nisha Mahendra Raut</t>
  </si>
  <si>
    <t>Riddhi M Raut</t>
  </si>
  <si>
    <t>Umesh D Jadav</t>
  </si>
  <si>
    <t>Sangita U Jadav</t>
  </si>
  <si>
    <t>Pradeep Khanderao Darekar</t>
  </si>
  <si>
    <t>Preeti P Darekar</t>
  </si>
  <si>
    <t>Rupesh Sadanand Narvekar</t>
  </si>
  <si>
    <t>Riya Rupesh Narvekar</t>
  </si>
  <si>
    <t>Raj Rupesh Narvekar</t>
  </si>
  <si>
    <t>Susmeet G Mahajan</t>
  </si>
  <si>
    <t>Premkumar Pankaj</t>
  </si>
  <si>
    <t>Krishiv Premkumar</t>
  </si>
  <si>
    <t>Shalini Premkumar</t>
  </si>
  <si>
    <t>Abhay C Khatu</t>
  </si>
  <si>
    <t>Maithili A Khatu</t>
  </si>
  <si>
    <t>Ishaan Abhay Khatu</t>
  </si>
  <si>
    <t>Arpita A Khatu</t>
  </si>
  <si>
    <t>Jinal U Patel</t>
  </si>
  <si>
    <t>Dimpal Jinal Patel</t>
  </si>
  <si>
    <t>Jian Jinal Patel</t>
  </si>
  <si>
    <t>Subhash S Agre</t>
  </si>
  <si>
    <t>Shubhra Subhash Agre</t>
  </si>
  <si>
    <t>Swarangi Subhash Agre</t>
  </si>
  <si>
    <t>Dhiraj Ganesh Mhatre</t>
  </si>
  <si>
    <t>Tej Dhiraj Mhatre</t>
  </si>
  <si>
    <t>Priyanka Dhiraj Mhatre</t>
  </si>
  <si>
    <t>Ved Dhiraj Mhatre</t>
  </si>
  <si>
    <t>Hitesh Mahadev Thakur</t>
  </si>
  <si>
    <t>Rucheri Hitesh Thakur</t>
  </si>
  <si>
    <t>Liyana Hitesh Thakur</t>
  </si>
  <si>
    <t>K Shanmugaraj</t>
  </si>
  <si>
    <t>Shari Hara Madhavan</t>
  </si>
  <si>
    <t>Avalliammal</t>
  </si>
  <si>
    <t>Srithika</t>
  </si>
  <si>
    <t>N Surendra Babu</t>
  </si>
  <si>
    <t>S Geetha</t>
  </si>
  <si>
    <t>S Dinesh Karthik</t>
  </si>
  <si>
    <t>Santosh E Phalke</t>
  </si>
  <si>
    <t>Yogita Santosh Phalke</t>
  </si>
  <si>
    <t>Prathamesh Santosh Phalke</t>
  </si>
  <si>
    <t>Sachin D Kawle</t>
  </si>
  <si>
    <t>Meet Sachin Kawle</t>
  </si>
  <si>
    <t>Harshit Sachin Kawle</t>
  </si>
  <si>
    <t>Savita Sachin Kawle</t>
  </si>
  <si>
    <t>Nitesh Gangaram Jadhav</t>
  </si>
  <si>
    <t>Dipali Nitesh Jadhav</t>
  </si>
  <si>
    <t>Ananya Nitesh Jadhav</t>
  </si>
  <si>
    <t>Arnav Nitesh Jadhav</t>
  </si>
  <si>
    <t>Harshad Dinkar Nikam</t>
  </si>
  <si>
    <t>Ovi Harshad Nikam</t>
  </si>
  <si>
    <t>Shivansh Harshad Nikam</t>
  </si>
  <si>
    <t>Mahesh Subramani Nandi</t>
  </si>
  <si>
    <t>Daksh Mahesh Nandi</t>
  </si>
  <si>
    <t>Roja Mahesh Nandi</t>
  </si>
  <si>
    <t>Tirth Mahesh Nandi</t>
  </si>
  <si>
    <t>Santosh Waman Ayakar</t>
  </si>
  <si>
    <t>Sayali Santosh Ayakar</t>
  </si>
  <si>
    <t>Neel Santosh Ayakar</t>
  </si>
  <si>
    <t>Jai Kishan</t>
  </si>
  <si>
    <t>Durgesh</t>
  </si>
  <si>
    <t>Dhairya</t>
  </si>
  <si>
    <t>Lavish</t>
  </si>
  <si>
    <t>Satya Prakash Triphati</t>
  </si>
  <si>
    <t>Abha Devi</t>
  </si>
  <si>
    <t>Sanchit Tiwari</t>
  </si>
  <si>
    <t>Suchit Tiwari</t>
  </si>
  <si>
    <t>S Suresh</t>
  </si>
  <si>
    <t>S Tamilarasi</t>
  </si>
  <si>
    <t>S Nishalini</t>
  </si>
  <si>
    <t>S Aswini</t>
  </si>
  <si>
    <t>Periyasami A Ariya Puthrapillai</t>
  </si>
  <si>
    <t>P Vettrivel</t>
  </si>
  <si>
    <t>P Vigneshwaran</t>
  </si>
  <si>
    <t>P Abirami</t>
  </si>
  <si>
    <t>Alijah Taqvi</t>
  </si>
  <si>
    <t>Armaan Ali Taqvi</t>
  </si>
  <si>
    <t>Alisha Taqvi</t>
  </si>
  <si>
    <t>Gurdeep Kaur Taqvi</t>
  </si>
  <si>
    <t>Kundan Singh</t>
  </si>
  <si>
    <t>Chandra Devi</t>
  </si>
  <si>
    <t>Sanjeev Jha</t>
  </si>
  <si>
    <t>Priya Jha</t>
  </si>
  <si>
    <t>Yug Jha</t>
  </si>
  <si>
    <t>Vinayak Bhagawan Koli</t>
  </si>
  <si>
    <t>Vansh Vinayak Koli</t>
  </si>
  <si>
    <t>Sharmila Vinayak Koli</t>
  </si>
  <si>
    <t>Aarya Vinayak Koli</t>
  </si>
  <si>
    <t>Sachin Sitaram Bhende</t>
  </si>
  <si>
    <t>Swati Sachin Bhende</t>
  </si>
  <si>
    <t>Shourya Sachin Bhende</t>
  </si>
  <si>
    <t>Saish Sachin Bhende</t>
  </si>
  <si>
    <t>Bhushan Prakash Mhatre</t>
  </si>
  <si>
    <t>Rajeshri Bhushan Mhatre</t>
  </si>
  <si>
    <t>Greesha Bhushan Mhatre</t>
  </si>
  <si>
    <t>Sandeep Vasant Patil</t>
  </si>
  <si>
    <t>Pravin Suresh Shinde</t>
  </si>
  <si>
    <t>Amruta Pravin Shinde</t>
  </si>
  <si>
    <t>Nirvika Pravin Shinde</t>
  </si>
  <si>
    <t>Nandita Mehta</t>
  </si>
  <si>
    <t>Liladhar Sati</t>
  </si>
  <si>
    <t>Rekha Sati</t>
  </si>
  <si>
    <t>Ashok Kumar Srivastava</t>
  </si>
  <si>
    <t>Tanishq Srivastava</t>
  </si>
  <si>
    <t>Jaya Srivastava</t>
  </si>
  <si>
    <t>Jaimal Singh Bisht</t>
  </si>
  <si>
    <t>Ravina Bisht</t>
  </si>
  <si>
    <t>Sumati Bisht</t>
  </si>
  <si>
    <t>Ayush Bisht</t>
  </si>
  <si>
    <t>Sushil Kumar Pandey</t>
  </si>
  <si>
    <t>Rekha Pandey</t>
  </si>
  <si>
    <t>Prisha Pandey</t>
  </si>
  <si>
    <t>Rudra Pandey</t>
  </si>
  <si>
    <t>Dhanasekar R A</t>
  </si>
  <si>
    <t>D Vimalabhavani</t>
  </si>
  <si>
    <t>D Gajalakshsmi</t>
  </si>
  <si>
    <t>D Vigneshbalaji</t>
  </si>
  <si>
    <t>Sakthivel Sha V</t>
  </si>
  <si>
    <t>S Rajebai</t>
  </si>
  <si>
    <t>S Priyabai</t>
  </si>
  <si>
    <t>S Prakash Sha</t>
  </si>
  <si>
    <t>Bharathiraja P</t>
  </si>
  <si>
    <t>Geetha</t>
  </si>
  <si>
    <t>B G Vamsi Krishna</t>
  </si>
  <si>
    <t>B G Narun Kanna</t>
  </si>
  <si>
    <t>Rupesh Balan</t>
  </si>
  <si>
    <t>Raji Rupesh</t>
  </si>
  <si>
    <t>Arnav Rupesh</t>
  </si>
  <si>
    <t>Aahan Rupesh</t>
  </si>
  <si>
    <t>Raju S</t>
  </si>
  <si>
    <t>Abirami R</t>
  </si>
  <si>
    <t>Harani R</t>
  </si>
  <si>
    <t>Vignesh R</t>
  </si>
  <si>
    <t>Jayanaik Ml</t>
  </si>
  <si>
    <t>Mokshith J Naik</t>
  </si>
  <si>
    <t>Chaitra Nb</t>
  </si>
  <si>
    <t>Hemanth J Naik</t>
  </si>
  <si>
    <t>R Gokulakrishnan</t>
  </si>
  <si>
    <t>G J Mokshika</t>
  </si>
  <si>
    <t>J Jayasudha</t>
  </si>
  <si>
    <t>Avinash K K</t>
  </si>
  <si>
    <t>Raghavendra K R</t>
  </si>
  <si>
    <t>Tulasi M C</t>
  </si>
  <si>
    <t>Lasya K R</t>
  </si>
  <si>
    <t>Dimpan K R</t>
  </si>
  <si>
    <t>Puttaswamy H M</t>
  </si>
  <si>
    <t>Ashwini H S</t>
  </si>
  <si>
    <t>Chandra Shekar K</t>
  </si>
  <si>
    <t>Advik C</t>
  </si>
  <si>
    <t>Bhagyashree</t>
  </si>
  <si>
    <t>N Murugan</t>
  </si>
  <si>
    <t>M Saraswathy</t>
  </si>
  <si>
    <t>M Vijay</t>
  </si>
  <si>
    <t>M Kanaga</t>
  </si>
  <si>
    <t>M Rajendiran</t>
  </si>
  <si>
    <t>Rkrish</t>
  </si>
  <si>
    <t>Rananthi</t>
  </si>
  <si>
    <t>Rlekhashree</t>
  </si>
  <si>
    <t>Rajesh Krishnaraj</t>
  </si>
  <si>
    <t>R Samyuktha</t>
  </si>
  <si>
    <t>R Umamaheswari</t>
  </si>
  <si>
    <t>Ravi Kumar Rawal</t>
  </si>
  <si>
    <t>Ayush Rawal</t>
  </si>
  <si>
    <t>Prince Rawal</t>
  </si>
  <si>
    <t>Shobha</t>
  </si>
  <si>
    <t>Vivek Kumar</t>
  </si>
  <si>
    <t>Prabal Srivastav</t>
  </si>
  <si>
    <t>Jyoti Srivastav</t>
  </si>
  <si>
    <t>Shri Pal</t>
  </si>
  <si>
    <t>Santosh</t>
  </si>
  <si>
    <t>Preeti</t>
  </si>
  <si>
    <t>Shailendra Singh Thakur</t>
  </si>
  <si>
    <t>Shakuntla Singh</t>
  </si>
  <si>
    <t>Yatharth Singh</t>
  </si>
  <si>
    <t>Rudransh Singh</t>
  </si>
  <si>
    <t>Deepak Pathak</t>
  </si>
  <si>
    <t>Monika Mishra</t>
  </si>
  <si>
    <t>Srishti Pathak</t>
  </si>
  <si>
    <t>Y Praveen</t>
  </si>
  <si>
    <t>Rolla Kusuma</t>
  </si>
  <si>
    <t>Sujay Sarkar</t>
  </si>
  <si>
    <t>Tiasha Sarkar</t>
  </si>
  <si>
    <t>Mampi Sarkar</t>
  </si>
  <si>
    <t>Sampad Kundu</t>
  </si>
  <si>
    <t>Koyel Kundu</t>
  </si>
  <si>
    <t>Purba Kundu</t>
  </si>
  <si>
    <t>Ranendra Kumar Bose</t>
  </si>
  <si>
    <t>Sujata Bose</t>
  </si>
  <si>
    <t>Ajay Goswami</t>
  </si>
  <si>
    <t>Arik Goshwami</t>
  </si>
  <si>
    <t>Sampa Goswami</t>
  </si>
  <si>
    <t>Nanda Dulal Samadder</t>
  </si>
  <si>
    <t>Nayan Samadder</t>
  </si>
  <si>
    <t>Dipti Rani Samadder</t>
  </si>
  <si>
    <t>Chandan Ghosh</t>
  </si>
  <si>
    <t>Dipanita Ghosh</t>
  </si>
  <si>
    <t>Dipon Ghosh</t>
  </si>
  <si>
    <t>Vinay Vijay Vartak</t>
  </si>
  <si>
    <t>Samira Vinay Vartak</t>
  </si>
  <si>
    <t>Muthu Naik</t>
  </si>
  <si>
    <t>Sahana M</t>
  </si>
  <si>
    <t>Geeta</t>
  </si>
  <si>
    <t>Manoj Kumar</t>
  </si>
  <si>
    <t>Naresh Yadavally</t>
  </si>
  <si>
    <t>Annapurna Yadavally</t>
  </si>
  <si>
    <t>Nandini Yadavally</t>
  </si>
  <si>
    <t>Mokshagnanandan Yadavally</t>
  </si>
  <si>
    <t>Akhil Sudhakaran S</t>
  </si>
  <si>
    <t>Alok P Kadam</t>
  </si>
  <si>
    <t>Soumen Halder</t>
  </si>
  <si>
    <t>Mohan V S</t>
  </si>
  <si>
    <t>Sindhu S</t>
  </si>
  <si>
    <t>Jitendra Kumar Kushwaha</t>
  </si>
  <si>
    <t>Arpit Kushwaha</t>
  </si>
  <si>
    <t>Rambha Devi</t>
  </si>
  <si>
    <t>Sachin Ghanshyam Neman</t>
  </si>
  <si>
    <t>Aparna Sachin Neman</t>
  </si>
  <si>
    <t>Shubham Sachin Neman</t>
  </si>
  <si>
    <t>Mayur Dilip Wagh</t>
  </si>
  <si>
    <t>Archana Mayur Wagh</t>
  </si>
  <si>
    <t>Shreeyansh Mayur Wagh</t>
  </si>
  <si>
    <t>Tanisha Mehta</t>
  </si>
  <si>
    <t>Ankit Jain</t>
  </si>
  <si>
    <t>Arham Jain</t>
  </si>
  <si>
    <t>Rajesh Rajendra Kadam</t>
  </si>
  <si>
    <t>Nikita Rajesh Kadam</t>
  </si>
  <si>
    <t>Chitravi Rajesh Kadam</t>
  </si>
  <si>
    <t>Ravindra Shantaram Janaskar</t>
  </si>
  <si>
    <t>Karuna Ravindra Janaskar</t>
  </si>
  <si>
    <t>Nishtha Ravindra Janaskar</t>
  </si>
  <si>
    <t>Rajesh Kumar</t>
  </si>
  <si>
    <t>Bindiya</t>
  </si>
  <si>
    <t>Shivanshi Kaparwan</t>
  </si>
  <si>
    <t>Bhuwan Chandra Bhagat</t>
  </si>
  <si>
    <t>Chandan Singh</t>
  </si>
  <si>
    <t>Pinki Chamyal</t>
  </si>
  <si>
    <t>Sarthak Singh</t>
  </si>
  <si>
    <t>Shreyas Shashidhar Bangera</t>
  </si>
  <si>
    <t>Prasad Kamlakar Mhatre</t>
  </si>
  <si>
    <t>Pratyush Sharma</t>
  </si>
  <si>
    <t>Arjun Bhausaheb Hadawale</t>
  </si>
  <si>
    <t>Deepali Arjun Hadawale</t>
  </si>
  <si>
    <t>Harsh Arjun Hadawale</t>
  </si>
  <si>
    <t>Aditya Arjun Hadawale</t>
  </si>
  <si>
    <t>Jatin Kumar</t>
  </si>
  <si>
    <t>Dharmender</t>
  </si>
  <si>
    <t>Vikram Singh</t>
  </si>
  <si>
    <t>Babeeta Chauhan</t>
  </si>
  <si>
    <t>Shivansh Singh</t>
  </si>
  <si>
    <t>Vishal</t>
  </si>
  <si>
    <t>Vijay Bawari</t>
  </si>
  <si>
    <t>Anita</t>
  </si>
  <si>
    <t>Ayansh Bawari</t>
  </si>
  <si>
    <t>Deepak Sharma</t>
  </si>
  <si>
    <t>Minti Baban Dongre</t>
  </si>
  <si>
    <t>Vrushabh Vinod Patil</t>
  </si>
  <si>
    <t>Chetan Vasant Tandel</t>
  </si>
  <si>
    <t>Sachin Dattaram Padwal</t>
  </si>
  <si>
    <t>Shilpa Sachin Padwal</t>
  </si>
  <si>
    <t>Vedang Sachin Padwal</t>
  </si>
  <si>
    <t>Avani Sachin Padwal</t>
  </si>
  <si>
    <t>Prakash Shamrao Maharnur</t>
  </si>
  <si>
    <t>Laxmi Prakash Maharnur</t>
  </si>
  <si>
    <t>Pranav Prakash Maharnur</t>
  </si>
  <si>
    <t>Bhagwat Singh</t>
  </si>
  <si>
    <t>Geeta Bisht</t>
  </si>
  <si>
    <t>Vaibhav Bisht</t>
  </si>
  <si>
    <t>Ankit Naugain</t>
  </si>
  <si>
    <t>Shivani</t>
  </si>
  <si>
    <t>Ansh Naugain</t>
  </si>
  <si>
    <t>Puneet Jain</t>
  </si>
  <si>
    <t>Nimsa Jain</t>
  </si>
  <si>
    <t>Nipurna Jain</t>
  </si>
  <si>
    <t>Dilip Chaudhari</t>
  </si>
  <si>
    <t>Harish Kumar</t>
  </si>
  <si>
    <t>Bhawana</t>
  </si>
  <si>
    <t>Sonu</t>
  </si>
  <si>
    <t>Nitesh Dilip Koli</t>
  </si>
  <si>
    <t>Rajendra Tulshidas Thakur</t>
  </si>
  <si>
    <t>Bhagyashree Rajendra Thakur</t>
  </si>
  <si>
    <t>Riyansh Rajendra Thakur</t>
  </si>
  <si>
    <t>Amey Kashinath Thakur</t>
  </si>
  <si>
    <t>Mrunali Amey Thakur</t>
  </si>
  <si>
    <t>Isha Amey Thakur</t>
  </si>
  <si>
    <t>Nikesh Mahesh Mhatre</t>
  </si>
  <si>
    <t>Sagarika Nikesh Mhatre</t>
  </si>
  <si>
    <t>Siyara Nikesh Mhatre</t>
  </si>
  <si>
    <t>Atish Gopinath Gawand</t>
  </si>
  <si>
    <t>Shubham Vilas Naik</t>
  </si>
  <si>
    <t>Umesh Kumar Singh</t>
  </si>
  <si>
    <t>Prashant Sudan Sahay</t>
  </si>
  <si>
    <t>Anisha Verma</t>
  </si>
  <si>
    <t>B/O Anisha Verma</t>
  </si>
  <si>
    <t>A Samiullah</t>
  </si>
  <si>
    <t>A Parveen</t>
  </si>
  <si>
    <t>S Ayisha</t>
  </si>
  <si>
    <t>S Fayaaz</t>
  </si>
  <si>
    <t>K Hari</t>
  </si>
  <si>
    <t>H Radha</t>
  </si>
  <si>
    <t>H Thejus</t>
  </si>
  <si>
    <t>H Mukul Madhav</t>
  </si>
  <si>
    <t>Rajendra Janardan Adivarekar</t>
  </si>
  <si>
    <t>Runali Rajendra Adivarekar</t>
  </si>
  <si>
    <t>Ayansh Rajendra Adivarekar</t>
  </si>
  <si>
    <t>Rajesh Tanaji Jadhav</t>
  </si>
  <si>
    <t>Sanchi Rajesh Jadhav</t>
  </si>
  <si>
    <t>Nishiqua Rajesh Jadhav</t>
  </si>
  <si>
    <t>Bhavik Dineshchandra Limbachia</t>
  </si>
  <si>
    <t>Prashant Kumar</t>
  </si>
  <si>
    <t>Komal</t>
  </si>
  <si>
    <t>Arpit</t>
  </si>
  <si>
    <t>Vivekanandan B</t>
  </si>
  <si>
    <t>Priyanga C</t>
  </si>
  <si>
    <t>Shubh Chandra Jha</t>
  </si>
  <si>
    <t>Seema Jha</t>
  </si>
  <si>
    <t>Paridhi Jha</t>
  </si>
  <si>
    <t>Utsav Jha</t>
  </si>
  <si>
    <t>Prince Kumar Singh</t>
  </si>
  <si>
    <t>Chetak Shashikant Tandel</t>
  </si>
  <si>
    <t>Dhanashree Chetak Tandel</t>
  </si>
  <si>
    <t>Tanishka Chetak Tandel</t>
  </si>
  <si>
    <t>Trisha Chetak Tandel</t>
  </si>
  <si>
    <t>C G Naveenraj</t>
  </si>
  <si>
    <t>N. Lalitha Devi</t>
  </si>
  <si>
    <t>N Saesha</t>
  </si>
  <si>
    <t>N Turuvan</t>
  </si>
  <si>
    <t>Mayur Tukaram Parkar</t>
  </si>
  <si>
    <t>Manali Mayur Parkar</t>
  </si>
  <si>
    <t>Durvesh Mayur Parkar</t>
  </si>
  <si>
    <t>Mamta Singh</t>
  </si>
  <si>
    <t>Ramakant Singh</t>
  </si>
  <si>
    <t>Srishti Singh</t>
  </si>
  <si>
    <t>Shanky Batra</t>
  </si>
  <si>
    <t>Karina Rani</t>
  </si>
  <si>
    <t>Aadvik Batra</t>
  </si>
  <si>
    <t>Dharmendra Kumar Singh</t>
  </si>
  <si>
    <t>Roshni Kumari</t>
  </si>
  <si>
    <t>Samridhi Singh</t>
  </si>
  <si>
    <t>Manasa D</t>
  </si>
  <si>
    <t>Jeevabalan M</t>
  </si>
  <si>
    <t>Shailesh Krishna Gharat</t>
  </si>
  <si>
    <t>Sheetal Gharat</t>
  </si>
  <si>
    <t>Pratha Gharat</t>
  </si>
  <si>
    <t>Aarohi Gharat</t>
  </si>
  <si>
    <t>Manish Agrawal</t>
  </si>
  <si>
    <t>Palak Agarwal</t>
  </si>
  <si>
    <t>Girik Agarwal</t>
  </si>
  <si>
    <t>Tanishq Agarwal</t>
  </si>
  <si>
    <t>Shashikant Dhondu Agare</t>
  </si>
  <si>
    <t>Aditi Shahshikant Agare</t>
  </si>
  <si>
    <t>Lavanya Shashikant Agare</t>
  </si>
  <si>
    <t>Chaitanya Shashikant Agare</t>
  </si>
  <si>
    <t>Badruddin Ak</t>
  </si>
  <si>
    <t>M Ramachandran</t>
  </si>
  <si>
    <t>Rpadmesh</t>
  </si>
  <si>
    <t>Rtharun</t>
  </si>
  <si>
    <t>R Gowri</t>
  </si>
  <si>
    <t>R Syed Musthafa</t>
  </si>
  <si>
    <t>S Sameera</t>
  </si>
  <si>
    <t>Syed Shahid</t>
  </si>
  <si>
    <t>S Shazia</t>
  </si>
  <si>
    <t>Anand Kumar Jha</t>
  </si>
  <si>
    <t>Priyadarshani Kumari</t>
  </si>
  <si>
    <t>Sanvi Jha</t>
  </si>
  <si>
    <t>Rajiv Kumar</t>
  </si>
  <si>
    <t>Malti</t>
  </si>
  <si>
    <t>Philip</t>
  </si>
  <si>
    <t>Joy</t>
  </si>
  <si>
    <t>Poonam</t>
  </si>
  <si>
    <t>Mukesh</t>
  </si>
  <si>
    <t>Kanchan</t>
  </si>
  <si>
    <t>Pankaj Sharma</t>
  </si>
  <si>
    <t>Prakash Kumar</t>
  </si>
  <si>
    <t>Anshu Kumari</t>
  </si>
  <si>
    <t>Viraj Kashyap</t>
  </si>
  <si>
    <t>Sgurusaran</t>
  </si>
  <si>
    <t>Subbulakshmi Krishnamoorthy</t>
  </si>
  <si>
    <t>Abhishek Kumar</t>
  </si>
  <si>
    <t>Shweta Kumari</t>
  </si>
  <si>
    <t>Aradhya Kumari</t>
  </si>
  <si>
    <t>Lakshya Kashyap</t>
  </si>
  <si>
    <t>Anand Kumar S</t>
  </si>
  <si>
    <t>Nagashree N S</t>
  </si>
  <si>
    <t>Niharika Anand</t>
  </si>
  <si>
    <t>Pradeep N A</t>
  </si>
  <si>
    <t>Kavya K</t>
  </si>
  <si>
    <t>Rupesh Waman Kadam</t>
  </si>
  <si>
    <t>Nivedita Rupesh Kadam</t>
  </si>
  <si>
    <t>Ovi Rupesh Kadam</t>
  </si>
  <si>
    <t>Ritvik Rupesh Kadam</t>
  </si>
  <si>
    <t>Donepudi Sunitha</t>
  </si>
  <si>
    <t>D Venkaiah Chowdary</t>
  </si>
  <si>
    <t>Donepudi Yeshwanth Venkat Sai</t>
  </si>
  <si>
    <t>Donepudi Amrutha Sai Durga</t>
  </si>
  <si>
    <t>Shweta</t>
  </si>
  <si>
    <t>Chetan Hareshwar Raut</t>
  </si>
  <si>
    <t>Jony Sitaram Gade</t>
  </si>
  <si>
    <t>Sheetal Jony Gade</t>
  </si>
  <si>
    <t>Shweta Jony Gade</t>
  </si>
  <si>
    <t>Sameep Jony Gade</t>
  </si>
  <si>
    <t>Rani Patel</t>
  </si>
  <si>
    <t>Perumal P</t>
  </si>
  <si>
    <t>Rajesh</t>
  </si>
  <si>
    <t>Bhabesh Kumar Jha</t>
  </si>
  <si>
    <t>Mini Kumari</t>
  </si>
  <si>
    <t>Nikunj Kumar Jha</t>
  </si>
  <si>
    <t>Kiruthika</t>
  </si>
  <si>
    <t>S Varuna Sri</t>
  </si>
  <si>
    <t>Nitin Kumar</t>
  </si>
  <si>
    <t>Priya</t>
  </si>
  <si>
    <t>Bhavya</t>
  </si>
  <si>
    <t>Dev Kashyap</t>
  </si>
  <si>
    <t>Ashish Upadhyay</t>
  </si>
  <si>
    <t>Ashi</t>
  </si>
  <si>
    <t>Rishabh Mishra</t>
  </si>
  <si>
    <t>Siddharth Dattatrey Patil</t>
  </si>
  <si>
    <t>Shraddha Siddharth Patil</t>
  </si>
  <si>
    <t>Saarya Siddhath Patil</t>
  </si>
  <si>
    <t>Kashyap Ramesh Foferkar</t>
  </si>
  <si>
    <t>Manisha Banjade</t>
  </si>
  <si>
    <t>Anjali Kumari</t>
  </si>
  <si>
    <t>Kashifa Shakir</t>
  </si>
  <si>
    <t>Mrunmay Shrikrishna Ludbe</t>
  </si>
  <si>
    <t>Sandeep Kumar</t>
  </si>
  <si>
    <t>Varsha B</t>
  </si>
  <si>
    <t>AVGCT1</t>
  </si>
  <si>
    <t>AVGCT2</t>
  </si>
  <si>
    <t>AVGCT3</t>
  </si>
  <si>
    <t>AVGCT4</t>
  </si>
  <si>
    <t>AVGCT5</t>
  </si>
  <si>
    <t>AVGCT6</t>
  </si>
  <si>
    <t>ACK.F683A520250005.1</t>
  </si>
  <si>
    <t>ACK.F683A520250005.2</t>
  </si>
  <si>
    <t>ACK.F683A520250002.1</t>
  </si>
  <si>
    <t>ACK.F683A520250003.1</t>
  </si>
  <si>
    <t>ACK.F683A520250003.2</t>
  </si>
  <si>
    <t>ACK.F683A520250003.3</t>
  </si>
  <si>
    <t>ACK.F683A520250003.4</t>
  </si>
  <si>
    <t>ACK.F683A520250006.1</t>
  </si>
  <si>
    <t>ACK.F683A520250006.2</t>
  </si>
  <si>
    <t>ACK.F683A520250006.3</t>
  </si>
  <si>
    <t>ACK.F683A520250006.4</t>
  </si>
  <si>
    <t>ACK.F683A520250004.1</t>
  </si>
  <si>
    <t>ACK.F683A520250004.2</t>
  </si>
  <si>
    <t>ACK.F683A520250004.3</t>
  </si>
  <si>
    <t>ACK.F683A520250010.1</t>
  </si>
  <si>
    <t>ACK.F683A520250010.2</t>
  </si>
  <si>
    <t>ACK.F683A520250010.3</t>
  </si>
  <si>
    <t>ACK.F683A520250010.4</t>
  </si>
  <si>
    <t>ACK.F683A520250007.1</t>
  </si>
  <si>
    <t>ACK.F683A520250007.2</t>
  </si>
  <si>
    <t>ACK.F683A520250007.3</t>
  </si>
  <si>
    <t>ACK.F683A520250008.1</t>
  </si>
  <si>
    <t>ACK.F683A520250008.2</t>
  </si>
  <si>
    <t>ACK.F683A520250008.3</t>
  </si>
  <si>
    <t>ACK.F683A520250009.1</t>
  </si>
  <si>
    <t>ACK.F683A520250009.2</t>
  </si>
  <si>
    <t>ACK.F683A520250011.1</t>
  </si>
  <si>
    <t>ACK.F683A520250011.2</t>
  </si>
  <si>
    <t>ACK.F683A520250011.3</t>
  </si>
  <si>
    <t>ACK.F683A520250011.4</t>
  </si>
  <si>
    <t>ACK.F683A520250012.1</t>
  </si>
  <si>
    <t>ACK.F683A520250012.2</t>
  </si>
  <si>
    <t>ACK.F683A520250013.1</t>
  </si>
  <si>
    <t>ACK.F683A520250013.2</t>
  </si>
  <si>
    <t>ACK.F683A520250013.3</t>
  </si>
  <si>
    <t>ACK.F683A520250014.1</t>
  </si>
  <si>
    <t>ACK.F683A520250014.2</t>
  </si>
  <si>
    <t>ACK.F683A520250014.3</t>
  </si>
  <si>
    <t>ACK.F683A520250014.4</t>
  </si>
  <si>
    <t>ACK.F683A520250015.1</t>
  </si>
  <si>
    <t>ACK.F683A520250015.2</t>
  </si>
  <si>
    <t>ACK.F683A520250015.3</t>
  </si>
  <si>
    <t>ACK.F683A520250015.4</t>
  </si>
  <si>
    <t>ACK.F683A520250016.1</t>
  </si>
  <si>
    <t>ACK.F683A520250016.2</t>
  </si>
  <si>
    <t>ACK.F683A520250016.3</t>
  </si>
  <si>
    <t>ACK.F683A520250016.4</t>
  </si>
  <si>
    <t>ACK.F683A520250017.1</t>
  </si>
  <si>
    <t>ACK.F683A520250017.2</t>
  </si>
  <si>
    <t>ACK.F683A520250018.1</t>
  </si>
  <si>
    <t>ACK.F683A520250018.2</t>
  </si>
  <si>
    <t>ACK.F683A520250019.1</t>
  </si>
  <si>
    <t>ACK.F683A520250021.1</t>
  </si>
  <si>
    <t>ACK.F683A520250021.2</t>
  </si>
  <si>
    <t>ACK.F683A520250021.3</t>
  </si>
  <si>
    <t>ACK.F683A520250020.1</t>
  </si>
  <si>
    <t>ACK.F683A520250020.2</t>
  </si>
  <si>
    <t>ACK.F683A520250020.3</t>
  </si>
  <si>
    <t>ACK.F683A520250022.1</t>
  </si>
  <si>
    <t>ACK.F683A520250022.2</t>
  </si>
  <si>
    <t>ACK.F683A520250022.3</t>
  </si>
  <si>
    <t>ACK.F683A520250023.1</t>
  </si>
  <si>
    <t>ACK.F683A520250023.2</t>
  </si>
  <si>
    <t>ACK.F683A520250023.3</t>
  </si>
  <si>
    <t>ACK.F683A520250023.4</t>
  </si>
  <si>
    <t>ACK.F683A520250024.1</t>
  </si>
  <si>
    <t>ACK.F683A520250024.2</t>
  </si>
  <si>
    <t>ACK.F683A520250024.3</t>
  </si>
  <si>
    <t>ACK.F683A520250024.4</t>
  </si>
  <si>
    <t>ACK.F683A520250026.1</t>
  </si>
  <si>
    <t>ACK.F683A520250026.2</t>
  </si>
  <si>
    <t>ACK.F683A520250026.3</t>
  </si>
  <si>
    <t>ACK.F683A520250026.4</t>
  </si>
  <si>
    <t>ACK.F683A520250025.1</t>
  </si>
  <si>
    <t>ACK.F683A520250025.2</t>
  </si>
  <si>
    <t>ACK.F683A520250025.3</t>
  </si>
  <si>
    <t>ACK.F683A520250029.1</t>
  </si>
  <si>
    <t>ACK.F683A520250029.2</t>
  </si>
  <si>
    <t>ACK.F683A520250029.3</t>
  </si>
  <si>
    <t>ACK.F683A520250029.4</t>
  </si>
  <si>
    <t>ACK.F683A520250030.1</t>
  </si>
  <si>
    <t>ACK.F683A520250030.2</t>
  </si>
  <si>
    <t>ACK.F683A520250030.3</t>
  </si>
  <si>
    <t>ACK.F683A520250030.4</t>
  </si>
  <si>
    <t>ACK.F683A520250027.1</t>
  </si>
  <si>
    <t>ACK.F683A520250027.2</t>
  </si>
  <si>
    <t>ACK.F683A520250027.3</t>
  </si>
  <si>
    <t>ACK.F683A520250027.4</t>
  </si>
  <si>
    <t>ACK.F683A520250031.1</t>
  </si>
  <si>
    <t>ACK.F683A520250031.2</t>
  </si>
  <si>
    <t>ACK.F683A520250031.3</t>
  </si>
  <si>
    <t>ACK.F683A520250031.4</t>
  </si>
  <si>
    <t>ACK.F683A520250028.1</t>
  </si>
  <si>
    <t>ACK.F683A520250028.2</t>
  </si>
  <si>
    <t>ACK.F683A520250028.3</t>
  </si>
  <si>
    <t>ACK.F683A520250033.1</t>
  </si>
  <si>
    <t>ACK.F683A520250033.2</t>
  </si>
  <si>
    <t>ACK.F683A520250033.3</t>
  </si>
  <si>
    <t>ACK.F683A520250032.1</t>
  </si>
  <si>
    <t>ACK.F683A520250036.1</t>
  </si>
  <si>
    <t>ACK.F683A520250036.2</t>
  </si>
  <si>
    <t>ACK.F683A520250036.3</t>
  </si>
  <si>
    <t>ACK.F683A520250036.4</t>
  </si>
  <si>
    <t>ACK.F683A520250034.1</t>
  </si>
  <si>
    <t>ACK.F683A520250034.2</t>
  </si>
  <si>
    <t>ACK.F683A520250035.1</t>
  </si>
  <si>
    <t>ACK.F683A520250035.2</t>
  </si>
  <si>
    <t>ACK.F683A520250035.3</t>
  </si>
  <si>
    <t>ACK.F683A520250037.1</t>
  </si>
  <si>
    <t>ACK.F683A520250037.2</t>
  </si>
  <si>
    <t>ACK.F683A520250037.3</t>
  </si>
  <si>
    <t>ACK.F683A520250037.4</t>
  </si>
  <si>
    <t>ACK.F683A520250038.1</t>
  </si>
  <si>
    <t>ACK.F683A520250038.2</t>
  </si>
  <si>
    <t>ACK.F683A520250039.1</t>
  </si>
  <si>
    <t>ACK.F683A520250039.2</t>
  </si>
  <si>
    <t>ACK.F683A520250039.3</t>
  </si>
  <si>
    <t>ACK.F683A520250039.4</t>
  </si>
  <si>
    <t>ACK.F683A520250041.1</t>
  </si>
  <si>
    <t>ACK.F683A520250041.2</t>
  </si>
  <si>
    <t>ACK.F683A520250041.3</t>
  </si>
  <si>
    <t>ACK.F683A520250041.4</t>
  </si>
  <si>
    <t>ACK.F683A520250040.1</t>
  </si>
  <si>
    <t>ACK.F683A520250040.2</t>
  </si>
  <si>
    <t>ACK.F683A520250042.1</t>
  </si>
  <si>
    <t>ACK.F683A520250042.2</t>
  </si>
  <si>
    <t>ACK.F683A520250042.3</t>
  </si>
  <si>
    <t>ACK.F683A520250043.1</t>
  </si>
  <si>
    <t>ACK.F683A520250043.2</t>
  </si>
  <si>
    <t>ACK.F683A520250043.3</t>
  </si>
  <si>
    <t>ACK.F683A520250043.4</t>
  </si>
  <si>
    <t>ACK.F683A520250044.1</t>
  </si>
  <si>
    <t>ACK.F683A520250044.2</t>
  </si>
  <si>
    <t>ACK.F683A520250044.3</t>
  </si>
  <si>
    <t>ACK.F683A520250044.4</t>
  </si>
  <si>
    <t>ACK.F683A520250045.1</t>
  </si>
  <si>
    <t>ACK.F683A520250045.2</t>
  </si>
  <si>
    <t>ACK.F683A520250045.3</t>
  </si>
  <si>
    <t>ACK.F683A520250045.4</t>
  </si>
  <si>
    <t>ACK.F683A520250046.1</t>
  </si>
  <si>
    <t>ACK.F683A520250046.2</t>
  </si>
  <si>
    <t>ACK.F683A520250046.3</t>
  </si>
  <si>
    <t>ACK.F683A520250046.4</t>
  </si>
  <si>
    <t>ACK.F683A520250047.1</t>
  </si>
  <si>
    <t>ACK.F683A520250047.2</t>
  </si>
  <si>
    <t>ACK.F683A520250047.3</t>
  </si>
  <si>
    <t>ACK.F683A520250047.4</t>
  </si>
  <si>
    <t>ACK.F683A520250048.1</t>
  </si>
  <si>
    <t>ACK.F683A520250048.2</t>
  </si>
  <si>
    <t>ACK.F683A520250048.3</t>
  </si>
  <si>
    <t>ACK.F683A520250048.4</t>
  </si>
  <si>
    <t>ACK.F683A520250049.1</t>
  </si>
  <si>
    <t>ACK.F683A520250049.2</t>
  </si>
  <si>
    <t>ACK.F683A520250050.1</t>
  </si>
  <si>
    <t>ACK.F683A520250050.2</t>
  </si>
  <si>
    <t>ACK.F683A520250050.3</t>
  </si>
  <si>
    <t>ACK.F683A520250050.4</t>
  </si>
  <si>
    <t>ACK.F683A520250051.1</t>
  </si>
  <si>
    <t>ACK.F683A520250051.2</t>
  </si>
  <si>
    <t>ACK.F683A520250053.1</t>
  </si>
  <si>
    <t>ACK.F683A520250053.2</t>
  </si>
  <si>
    <t>ACK.F683A520250053.3</t>
  </si>
  <si>
    <t>ACK.F683A520250053.4</t>
  </si>
  <si>
    <t>ACK.F683A520250052.1</t>
  </si>
  <si>
    <t>ACK.F683A520250054.1</t>
  </si>
  <si>
    <t>ACK.F683A520250054.2</t>
  </si>
  <si>
    <t>ACK.F683A520250054.3</t>
  </si>
  <si>
    <t>ACK.F683A520250054.4</t>
  </si>
  <si>
    <t>ACK.F683A520250055.1</t>
  </si>
  <si>
    <t>ACK.F683A520250055.2</t>
  </si>
  <si>
    <t>ACK.F683A520250055.3</t>
  </si>
  <si>
    <t>ACK.F683A520250055.4</t>
  </si>
  <si>
    <t>ACK.F683A520250057.1</t>
  </si>
  <si>
    <t>ACK.F683A520250057.2</t>
  </si>
  <si>
    <t>ACK.F683A520250057.3</t>
  </si>
  <si>
    <t>ACK.F683A520250057.4</t>
  </si>
  <si>
    <t>ACK.F683A520250056.1</t>
  </si>
  <si>
    <t>ACK.F683A520250059.1</t>
  </si>
  <si>
    <t>ACK.F683A520250059.2</t>
  </si>
  <si>
    <t>ACK.F683A520250059.3</t>
  </si>
  <si>
    <t>ACK.F683A520250059.4</t>
  </si>
  <si>
    <t>ACK.F683A520250058.1</t>
  </si>
  <si>
    <t>ACK.F683A520250058.2</t>
  </si>
  <si>
    <t>ACK.F683A520250058.3</t>
  </si>
  <si>
    <t>ACK.F683A520250058.4</t>
  </si>
  <si>
    <t>ACK.F683A520250060.1</t>
  </si>
  <si>
    <t>ACK.F683A520250060.2</t>
  </si>
  <si>
    <t>ACK.F683A520250061.1</t>
  </si>
  <si>
    <t>ACK.F683A520250061.2</t>
  </si>
  <si>
    <t>ACK.F683A520250062.1</t>
  </si>
  <si>
    <t>ACK.F683A520250062.2</t>
  </si>
  <si>
    <t>ACK.F683A520250063.1</t>
  </si>
  <si>
    <t>ACK.F683A520250063.2</t>
  </si>
  <si>
    <t>ACK.F683A520250063.3</t>
  </si>
  <si>
    <t>ACK.F683A520250065.1</t>
  </si>
  <si>
    <t>ACK.F683A520250065.2</t>
  </si>
  <si>
    <t>ACK.F683A520250065.3</t>
  </si>
  <si>
    <t>ACK.F683A520250065.4</t>
  </si>
  <si>
    <t>ACK.F683A520250064.1</t>
  </si>
  <si>
    <t>ACK.F683A520250064.2</t>
  </si>
  <si>
    <t>ACK.F683A520250064.3</t>
  </si>
  <si>
    <t>ACK.F683A520250064.4</t>
  </si>
  <si>
    <t>ACK.F683A520250066.1</t>
  </si>
  <si>
    <t>ACK.F683A520250066.2</t>
  </si>
  <si>
    <t>ACK.F683A520250066.3</t>
  </si>
  <si>
    <t>ACK.F683A520250066.4</t>
  </si>
  <si>
    <t>ACK.F683A520250067.1</t>
  </si>
  <si>
    <t>ACK.F683A520250067.2</t>
  </si>
  <si>
    <t>ACK.F683A520250067.3</t>
  </si>
  <si>
    <t>ACK.F683A520250067.4</t>
  </si>
  <si>
    <t>ACK.F683A520250068.1</t>
  </si>
  <si>
    <t>ACK.F683A520250068.2</t>
  </si>
  <si>
    <t>ACK.F683A520250068.3</t>
  </si>
  <si>
    <t>ACK.F683A520250068.4</t>
  </si>
  <si>
    <t>ACK.F683A520250069.1</t>
  </si>
  <si>
    <t>ACK.F683A520250069.2</t>
  </si>
  <si>
    <t>ACK.F683A520250069.3</t>
  </si>
  <si>
    <t>ACK.F683A520250070.1</t>
  </si>
  <si>
    <t>ACK.F683A520250070.2</t>
  </si>
  <si>
    <t>ACK.F683A520250070.3</t>
  </si>
  <si>
    <t>ACK.F683A520250071.1</t>
  </si>
  <si>
    <t>ACK.F683A520250071.2</t>
  </si>
  <si>
    <t>ACK.F683A520250072.1</t>
  </si>
  <si>
    <t>ACK.F683A520250072.2</t>
  </si>
  <si>
    <t>ACK.F683A520250074.1</t>
  </si>
  <si>
    <t>ACK.F683A520250074.2</t>
  </si>
  <si>
    <t>ACK.F683A520250074.3</t>
  </si>
  <si>
    <t>ACK.F683A520250073.1</t>
  </si>
  <si>
    <t>ACK.F683A520250075.1</t>
  </si>
  <si>
    <t>ACK.F683A520250075.2</t>
  </si>
  <si>
    <t>ACK.F683A520250075.3</t>
  </si>
  <si>
    <t>ACK.F683A520250076.1</t>
  </si>
  <si>
    <t>ACK.F683A520250076.2</t>
  </si>
  <si>
    <t>ACK.F683A520250076.3</t>
  </si>
  <si>
    <t>ACK.F683A520250076.4</t>
  </si>
  <si>
    <t>ACK.F683A520250077.1</t>
  </si>
  <si>
    <t>ACK.F683A520250077.2</t>
  </si>
  <si>
    <t>ACK.F683A520250077.3</t>
  </si>
  <si>
    <t>ACK.F683A520250078.1</t>
  </si>
  <si>
    <t>ACK.F683A520250078.2</t>
  </si>
  <si>
    <t>ACK.F683A520250078.3</t>
  </si>
  <si>
    <t>ACK.F683A520250079.1</t>
  </si>
  <si>
    <t>ACK.F683A520250079.2</t>
  </si>
  <si>
    <t>ACK.F683A520250079.3</t>
  </si>
  <si>
    <t>ACK.F683A520250079.4</t>
  </si>
  <si>
    <t>ACK.F683A520250080.1</t>
  </si>
  <si>
    <t>ACK.F683A520250080.2</t>
  </si>
  <si>
    <t>ACK.F683A520250080.3</t>
  </si>
  <si>
    <t>ACK.F683A520250081.1</t>
  </si>
  <si>
    <t>ACK.F683A520250081.2</t>
  </si>
  <si>
    <t>ACK.F683A520250081.3</t>
  </si>
  <si>
    <t>ACK.F683A520250081.4</t>
  </si>
  <si>
    <t>ACK.F683A520250082.1</t>
  </si>
  <si>
    <t>ACK.F683A520250082.2</t>
  </si>
  <si>
    <t>ACK.F683A520250082.3</t>
  </si>
  <si>
    <t>ACK.F683A520250083.1</t>
  </si>
  <si>
    <t>ACK.F683A520250083.2</t>
  </si>
  <si>
    <t>ACK.F683A520250083.3</t>
  </si>
  <si>
    <t>ACK.F683A520250085.1</t>
  </si>
  <si>
    <t>ACK.F683A520250085.2</t>
  </si>
  <si>
    <t>ACK.F683A520250085.3</t>
  </si>
  <si>
    <t>ACK.F683A520250085.4</t>
  </si>
  <si>
    <t>ACK.F683A520250084.1</t>
  </si>
  <si>
    <t>ACK.F683A520250084.2</t>
  </si>
  <si>
    <t>ACK.F683A520250084.3</t>
  </si>
  <si>
    <t>ACK.F683A520250084.4</t>
  </si>
  <si>
    <t>ACK.F683A520250086.1</t>
  </si>
  <si>
    <t>ACK.F683A520250086.2</t>
  </si>
  <si>
    <t>ACK.F683A520250086.3</t>
  </si>
  <si>
    <t>ACK.F683A520250087.1</t>
  </si>
  <si>
    <t>ACK.F683A520250087.2</t>
  </si>
  <si>
    <t>ACK.F683A520250087.3</t>
  </si>
  <si>
    <t>ACK.F683A520250087.4</t>
  </si>
  <si>
    <t>ACK.F683A520250088.1</t>
  </si>
  <si>
    <t>ACK.F683A520250088.2</t>
  </si>
  <si>
    <t>ACK.F683A520250088.3</t>
  </si>
  <si>
    <t>ACK.F683A520250089.1</t>
  </si>
  <si>
    <t>ACK.F683A520250089.2</t>
  </si>
  <si>
    <t>ACK.F683A520250089.3</t>
  </si>
  <si>
    <t>ACK.F683A520250089.4</t>
  </si>
  <si>
    <t>ACK.F683A520250233.1</t>
  </si>
  <si>
    <t>ACK.F683A520250233.2</t>
  </si>
  <si>
    <t>ACK.F683A520250233.3</t>
  </si>
  <si>
    <t>ACK.F683A520250233.4</t>
  </si>
  <si>
    <t>ACK.F683A520250091.1</t>
  </si>
  <si>
    <t>ACK.F683A520250091.2</t>
  </si>
  <si>
    <t>ACK.F683A520250091.3</t>
  </si>
  <si>
    <t>ACK.F683A520250091.4</t>
  </si>
  <si>
    <t>ACK.F683A520250090.1</t>
  </si>
  <si>
    <t>ACK.F683A520250090.2</t>
  </si>
  <si>
    <t>ACK.F683A520250090.3</t>
  </si>
  <si>
    <t>ACK.F683A520250090.4</t>
  </si>
  <si>
    <t>ACK.F683A520250093.1</t>
  </si>
  <si>
    <t>ACK.F683A520250093.2</t>
  </si>
  <si>
    <t>ACK.F683A520250093.3</t>
  </si>
  <si>
    <t>ACK.F683A520250093.4</t>
  </si>
  <si>
    <t>ACK.F683A520250092.1</t>
  </si>
  <si>
    <t>ACK.F683A520250092.2</t>
  </si>
  <si>
    <t>ACK.F683A520250095.1</t>
  </si>
  <si>
    <t>ACK.F683A520250095.2</t>
  </si>
  <si>
    <t>ACK.F683A520250095.3</t>
  </si>
  <si>
    <t>ACK.F683A520250094.1</t>
  </si>
  <si>
    <t>ACK.F683A520250094.2</t>
  </si>
  <si>
    <t>ACK.F683A520250094.3</t>
  </si>
  <si>
    <t>ACK.F683A520250094.4</t>
  </si>
  <si>
    <t>ACK.F683A520250096.1</t>
  </si>
  <si>
    <t>ACK.F683A520250096.2</t>
  </si>
  <si>
    <t>ACK.F683A520250096.3</t>
  </si>
  <si>
    <t>ACK.F683A520250096.4</t>
  </si>
  <si>
    <t>ACK.F683A520250098.1</t>
  </si>
  <si>
    <t>ACK.F683A520250098.2</t>
  </si>
  <si>
    <t>ACK.F683A520250098.3</t>
  </si>
  <si>
    <t>ACK.F683A520250097.1</t>
  </si>
  <si>
    <t>ACK.F683A520250099.1</t>
  </si>
  <si>
    <t>ACK.F683A520250099.2</t>
  </si>
  <si>
    <t>ACK.F683A520250099.3</t>
  </si>
  <si>
    <t>ACK.F683A520250102.1</t>
  </si>
  <si>
    <t>ACK.F683A520250102.2</t>
  </si>
  <si>
    <t>ACK.F683A520250100.1</t>
  </si>
  <si>
    <t>ACK.F683A520250100.2</t>
  </si>
  <si>
    <t>ACK.F683A520250101.1</t>
  </si>
  <si>
    <t>ACK.F683A520250101.2</t>
  </si>
  <si>
    <t>ACK.F683A520250101.3</t>
  </si>
  <si>
    <t>ACK.F683A520250103.1</t>
  </si>
  <si>
    <t>ACK.F683A520250103.2</t>
  </si>
  <si>
    <t>ACK.F683A520250103.3</t>
  </si>
  <si>
    <t>ACK.F683A520250103.4</t>
  </si>
  <si>
    <t>ACK.F683A520250104.1</t>
  </si>
  <si>
    <t>ACK.F683A520250104.2</t>
  </si>
  <si>
    <t>ACK.F683A520250104.3</t>
  </si>
  <si>
    <t>ACK.F683A520250104.4</t>
  </si>
  <si>
    <t>ACK.F683A520250105.1</t>
  </si>
  <si>
    <t>ACK.F683A520250105.2</t>
  </si>
  <si>
    <t>ACK.F683A520250105.3</t>
  </si>
  <si>
    <t>ACK.F683A520250105.4</t>
  </si>
  <si>
    <t>ACK.F683A520250106.1</t>
  </si>
  <si>
    <t>ACK.F683A520250106.2</t>
  </si>
  <si>
    <t>ACK.F683A520250106.3</t>
  </si>
  <si>
    <t>ACK.F683A520250106.4</t>
  </si>
  <si>
    <t>ACK.F683A520250107.1</t>
  </si>
  <si>
    <t>ACK.F683A520250107.2</t>
  </si>
  <si>
    <t>ACK.F683A520250107.3</t>
  </si>
  <si>
    <t>ACK.F683A520250107.4</t>
  </si>
  <si>
    <t>ACK.F683A520250108.1</t>
  </si>
  <si>
    <t>ACK.F683A520250108.2</t>
  </si>
  <si>
    <t>ACK.F683A520250108.3</t>
  </si>
  <si>
    <t>ACK.F683A520250108.4</t>
  </si>
  <si>
    <t>ACK.F683A520250110.1</t>
  </si>
  <si>
    <t>ACK.F683A520250110.2</t>
  </si>
  <si>
    <t>ACK.F683A520250110.3</t>
  </si>
  <si>
    <t>ACK.F683A520250110.4</t>
  </si>
  <si>
    <t>ACK.F683A520250112.1</t>
  </si>
  <si>
    <t>ACK.F683A520250112.2</t>
  </si>
  <si>
    <t>ACK.F683A520250112.3</t>
  </si>
  <si>
    <t>ACK.F683A520250112.4</t>
  </si>
  <si>
    <t>ACK.F683A520250109.1</t>
  </si>
  <si>
    <t>ACK.F683A520250109.2</t>
  </si>
  <si>
    <t>ACK.F683A520250109.3</t>
  </si>
  <si>
    <t>ACK.F683A520250111.1</t>
  </si>
  <si>
    <t>ACK.F683A520250113.1</t>
  </si>
  <si>
    <t>ACK.F683A520250113.2</t>
  </si>
  <si>
    <t>ACK.F683A520250113.3</t>
  </si>
  <si>
    <t>ACK.F683A520250113.4</t>
  </si>
  <si>
    <t>ACK.F683A520250114.1</t>
  </si>
  <si>
    <t>ACK.F683A520250114.2</t>
  </si>
  <si>
    <t>ACK.F683A520250115.1</t>
  </si>
  <si>
    <t>ACK.F683A520250115.2</t>
  </si>
  <si>
    <t>ACK.F683A520250115.3</t>
  </si>
  <si>
    <t>ACK.F683A520250116.1</t>
  </si>
  <si>
    <t>ACK.F683A520250116.2</t>
  </si>
  <si>
    <t>ACK.F683A520250116.3</t>
  </si>
  <si>
    <t>ACK.F683A520250116.4</t>
  </si>
  <si>
    <t>ACK.F683A520250117.1</t>
  </si>
  <si>
    <t>ACK.F683A520250117.2</t>
  </si>
  <si>
    <t>ACK.F683A520250117.3</t>
  </si>
  <si>
    <t>ACK.F683A520250117.4</t>
  </si>
  <si>
    <t>ACK.F683A520250118.1</t>
  </si>
  <si>
    <t>ACK.F683A520250118.2</t>
  </si>
  <si>
    <t>ACK.F683A520250118.3</t>
  </si>
  <si>
    <t>ACK.F683A520250119.1</t>
  </si>
  <si>
    <t>ACK.F683A520250119.2</t>
  </si>
  <si>
    <t>ACK.F683A520250119.3</t>
  </si>
  <si>
    <t>ACK.F683A520250119.4</t>
  </si>
  <si>
    <t>ACK.F683A520250121.1</t>
  </si>
  <si>
    <t>ACK.F683A520250121.2</t>
  </si>
  <si>
    <t>ACK.F683A520250121.3</t>
  </si>
  <si>
    <t>ACK.F683A520250120.1</t>
  </si>
  <si>
    <t>ACK.F683A520250120.2</t>
  </si>
  <si>
    <t>ACK.F683A520250120.3</t>
  </si>
  <si>
    <t>ACK.F683A520250122.1</t>
  </si>
  <si>
    <t>ACK.F683A520250122.2</t>
  </si>
  <si>
    <t>ACK.F683A520250122.3</t>
  </si>
  <si>
    <t>ACK.F683A520250122.4</t>
  </si>
  <si>
    <t>ACK.F683A520250123.1</t>
  </si>
  <si>
    <t>ACK.F683A520250123.2</t>
  </si>
  <si>
    <t>ACK.F683A520250123.3</t>
  </si>
  <si>
    <t>ACK.F683A520250124.1</t>
  </si>
  <si>
    <t>ACK.F683A520250124.2</t>
  </si>
  <si>
    <t>ACK.F683A520250127.1</t>
  </si>
  <si>
    <t>ACK.F683A520250127.2</t>
  </si>
  <si>
    <t>ACK.F683A520250127.3</t>
  </si>
  <si>
    <t>ACK.F683A520250126.1</t>
  </si>
  <si>
    <t>ACK.F683A520250126.2</t>
  </si>
  <si>
    <t>ACK.F683A520250126.3</t>
  </si>
  <si>
    <t>ACK.F683A520250125.1</t>
  </si>
  <si>
    <t>ACK.F683A520250125.2</t>
  </si>
  <si>
    <t>ACK.F683A520250128.1</t>
  </si>
  <si>
    <t>ACK.F683A520250128.2</t>
  </si>
  <si>
    <t>ACK.F683A520250128.3</t>
  </si>
  <si>
    <t>ACK.F683A520250130.1</t>
  </si>
  <si>
    <t>ACK.F683A520250130.2</t>
  </si>
  <si>
    <t>ACK.F683A520250130.3</t>
  </si>
  <si>
    <t>ACK.F683A520250131.1</t>
  </si>
  <si>
    <t>ACK.F683A520250131.2</t>
  </si>
  <si>
    <t>ACK.F683A520250131.3</t>
  </si>
  <si>
    <t>ACK.F683A520250129.1</t>
  </si>
  <si>
    <t>ACK.F683A520250129.2</t>
  </si>
  <si>
    <t>ACK.F683A520250136.1</t>
  </si>
  <si>
    <t>ACK.F683A520250136.2</t>
  </si>
  <si>
    <t>ACK.F683A520250136.3</t>
  </si>
  <si>
    <t>ACK.F683A520250136.4</t>
  </si>
  <si>
    <t>ACK.F683A520250132.1</t>
  </si>
  <si>
    <t>ACK.F683A520250132.2</t>
  </si>
  <si>
    <t>ACK.F683A520250132.3</t>
  </si>
  <si>
    <t>ACK.F683A520250132.4</t>
  </si>
  <si>
    <t>ACK.F683A520250134.1</t>
  </si>
  <si>
    <t>ACK.F683A520250135.1</t>
  </si>
  <si>
    <t>ACK.F683A520250133.1</t>
  </si>
  <si>
    <t>ACK.F683A520250138.1</t>
  </si>
  <si>
    <t>ACK.F683A520250138.2</t>
  </si>
  <si>
    <t>ACK.F683A520250137.1</t>
  </si>
  <si>
    <t>ACK.F683A520250137.2</t>
  </si>
  <si>
    <t>ACK.F683A520250137.3</t>
  </si>
  <si>
    <t>ACK.F683A520250139.1</t>
  </si>
  <si>
    <t>ACK.F683A520250139.2</t>
  </si>
  <si>
    <t>ACK.F683A520250139.3</t>
  </si>
  <si>
    <t>ACK.F683A520250140.1</t>
  </si>
  <si>
    <t>ACK.F683A520250140.2</t>
  </si>
  <si>
    <t>ACK.F683A520250140.3</t>
  </si>
  <si>
    <t>ACK.F683A520250143.1</t>
  </si>
  <si>
    <t>ACK.F683A520250143.2</t>
  </si>
  <si>
    <t>ACK.F683A520250143.3</t>
  </si>
  <si>
    <t>ACK.F683A520250144.1</t>
  </si>
  <si>
    <t>ACK.F683A520250144.2</t>
  </si>
  <si>
    <t>ACK.F683A520250144.3</t>
  </si>
  <si>
    <t>ACK.F683A520250145.1</t>
  </si>
  <si>
    <t>ACK.F683A520250145.2</t>
  </si>
  <si>
    <t>ACK.F683A520250145.3</t>
  </si>
  <si>
    <t>ACK.F683A520250146.1</t>
  </si>
  <si>
    <t>ACK.F683A520250146.2</t>
  </si>
  <si>
    <t>ACK.F683A520250146.3</t>
  </si>
  <si>
    <t>ACK.F683A520250148.1</t>
  </si>
  <si>
    <t>ACK.F683A520250150.1</t>
  </si>
  <si>
    <t>ACK.F683A520250150.2</t>
  </si>
  <si>
    <t>ACK.F683A520250150.3</t>
  </si>
  <si>
    <t>ACK.F683A520250149.1</t>
  </si>
  <si>
    <t>ACK.F683A520250151.1</t>
  </si>
  <si>
    <t>ACK.F683A520250152.1</t>
  </si>
  <si>
    <t>ACK.F683A520250155.1</t>
  </si>
  <si>
    <t>ACK.F683A520250155.2</t>
  </si>
  <si>
    <t>ACK.F683A520250155.3</t>
  </si>
  <si>
    <t>ACK.F683A520250155.4</t>
  </si>
  <si>
    <t>ACK.F683A520250154.1</t>
  </si>
  <si>
    <t>ACK.F683A520250153.1</t>
  </si>
  <si>
    <t>ACK.F683A520250156.1</t>
  </si>
  <si>
    <t>ACK.F683A520250156.2</t>
  </si>
  <si>
    <t>ACK.F683A520250156.3</t>
  </si>
  <si>
    <t>ACK.F683A520250156.4</t>
  </si>
  <si>
    <t>ACK.F683A520250157.1</t>
  </si>
  <si>
    <t>ACK.F683A520250159.1</t>
  </si>
  <si>
    <t>ACK.F683A520250159.2</t>
  </si>
  <si>
    <t>ACK.F683A520250159.3</t>
  </si>
  <si>
    <t>ACK.F683A520250160.1</t>
  </si>
  <si>
    <t>ACK.F683A520250161.1</t>
  </si>
  <si>
    <t>ACK.F683A520250162.1</t>
  </si>
  <si>
    <t>ACK.F683A520250163.1</t>
  </si>
  <si>
    <t>ACK.F683A520250164.1</t>
  </si>
  <si>
    <t>ACK.F683A520250164.2</t>
  </si>
  <si>
    <t>ACK.F683A520250164.3</t>
  </si>
  <si>
    <t>ACK.F683A520250164.4</t>
  </si>
  <si>
    <t>ACK.F683A520250165.1</t>
  </si>
  <si>
    <t>ACK.F683A520250165.2</t>
  </si>
  <si>
    <t>ACK.F683A520250165.3</t>
  </si>
  <si>
    <t>ACK.F683A520250166.1</t>
  </si>
  <si>
    <t>ACK.F683A520250166.2</t>
  </si>
  <si>
    <t>ACK.F683A520250166.3</t>
  </si>
  <si>
    <t>ACK.F683A520250167.1</t>
  </si>
  <si>
    <t>ACK.F683A520250167.2</t>
  </si>
  <si>
    <t>ACK.F683A520250167.3</t>
  </si>
  <si>
    <t>ACK.F683A520250168.1</t>
  </si>
  <si>
    <t>ACK.F683A520250168.2</t>
  </si>
  <si>
    <t>ACK.F683A520250168.3</t>
  </si>
  <si>
    <t>ACK.F683A520250169.1</t>
  </si>
  <si>
    <t>ACK.F683A520250171.1</t>
  </si>
  <si>
    <t>ACK.F683A520250171.2</t>
  </si>
  <si>
    <t>ACK.F683A520250172.1</t>
  </si>
  <si>
    <t>ACK.F683A520250173.1</t>
  </si>
  <si>
    <t>ACK.F683A520250175.1</t>
  </si>
  <si>
    <t>ACK.F683A520250175.2</t>
  </si>
  <si>
    <t>ACK.F683A520250175.3</t>
  </si>
  <si>
    <t>ACK.F683A520250174.1</t>
  </si>
  <si>
    <t>ACK.F683A520250174.2</t>
  </si>
  <si>
    <t>ACK.F683A520250174.3</t>
  </si>
  <si>
    <t>ACK.F683A520250178.1</t>
  </si>
  <si>
    <t>ACK.F683A520250178.2</t>
  </si>
  <si>
    <t>ACK.F683A520250178.3</t>
  </si>
  <si>
    <t>ACK.F683A520250176.1</t>
  </si>
  <si>
    <t>ACK.F683A520250177.1</t>
  </si>
  <si>
    <t>ACK.F683A520250179.1</t>
  </si>
  <si>
    <t>ACK.F683A520250180.1</t>
  </si>
  <si>
    <t>ACK.F683A520250180.2</t>
  </si>
  <si>
    <t>ACK.F683A520250180.3</t>
  </si>
  <si>
    <t>ACK.F683A520250181.1</t>
  </si>
  <si>
    <t>ACK.F683A520250181.2</t>
  </si>
  <si>
    <t>ACK.F683A520250181.3</t>
  </si>
  <si>
    <t>ACK.F683A520250181.4</t>
  </si>
  <si>
    <t>ACK.F683A520250182.1</t>
  </si>
  <si>
    <t>ACK.F683A520250182.2</t>
  </si>
  <si>
    <t>ACK.F683A520250182.3</t>
  </si>
  <si>
    <t>ACK.F683A520250182.4</t>
  </si>
  <si>
    <t>ACK.F683A520250183.1</t>
  </si>
  <si>
    <t>ACK.F683A520250183.2</t>
  </si>
  <si>
    <t>ACK.F683A520250183.3</t>
  </si>
  <si>
    <t>ACK.F683A520250184.1</t>
  </si>
  <si>
    <t>ACK.F683A520250184.2</t>
  </si>
  <si>
    <t>ACK.F683A520250184.3</t>
  </si>
  <si>
    <t>ACK.F683A520250185.1</t>
  </si>
  <si>
    <t>ACK.F683A520250186.1</t>
  </si>
  <si>
    <t>ACK.F683A520250186.2</t>
  </si>
  <si>
    <t>ACK.F683A520250186.3</t>
  </si>
  <si>
    <t>ACK.F683A520250187.1</t>
  </si>
  <si>
    <t>ACK.F683A520250187.2</t>
  </si>
  <si>
    <t>ACK.F683A520250189.1</t>
  </si>
  <si>
    <t>ACK.F683A520250189.2</t>
  </si>
  <si>
    <t>ACK.F683A520250189.3</t>
  </si>
  <si>
    <t>ACK.F683A520250189.4</t>
  </si>
  <si>
    <t>ACK.F683A520250188.1</t>
  </si>
  <si>
    <t>ACK.F683A520250190.1</t>
  </si>
  <si>
    <t>ACK.F683A520250190.2</t>
  </si>
  <si>
    <t>ACK.F683A520250190.3</t>
  </si>
  <si>
    <t>ACK.F683A520250190.4</t>
  </si>
  <si>
    <t>ACK.F683A520250191.1</t>
  </si>
  <si>
    <t>ACK.F683A520250191.2</t>
  </si>
  <si>
    <t>ACK.F683A520250191.3</t>
  </si>
  <si>
    <t>ACK.F683A520250191.4</t>
  </si>
  <si>
    <t>ACK.F683A520250192.1</t>
  </si>
  <si>
    <t>ACK.F683A520250192.2</t>
  </si>
  <si>
    <t>ACK.F683A520250192.3</t>
  </si>
  <si>
    <t>ACK.F683A520250193.1</t>
  </si>
  <si>
    <t>ACK.F683A520250193.2</t>
  </si>
  <si>
    <t>ACK.F683A520250193.3</t>
  </si>
  <si>
    <t>ACK.F683A520250194.1</t>
  </si>
  <si>
    <t>ACK.F683A520250194.2</t>
  </si>
  <si>
    <t>ACK.F683A520250194.3</t>
  </si>
  <si>
    <t>ACK.F683A520250195.1</t>
  </si>
  <si>
    <t>ACK.F683A520250195.2</t>
  </si>
  <si>
    <t>ACK.F683A520250195.3</t>
  </si>
  <si>
    <t>ACK.F683A520250198.1</t>
  </si>
  <si>
    <t>ACK.F683A520250199.1</t>
  </si>
  <si>
    <t>ACK.F683A520250201.1</t>
  </si>
  <si>
    <t>ACK.F683A520250201.2</t>
  </si>
  <si>
    <t>ACK.F683A520250201.3</t>
  </si>
  <si>
    <t>ACK.F683A520250201.4</t>
  </si>
  <si>
    <t>ACK.F683A520250200.1</t>
  </si>
  <si>
    <t>ACK.F683A520250200.2</t>
  </si>
  <si>
    <t>ACK.F683A520250200.3</t>
  </si>
  <si>
    <t>ACK.F683A520250200.4</t>
  </si>
  <si>
    <t>ACK.F683A520250203.1</t>
  </si>
  <si>
    <t>ACK.F683A520250203.2</t>
  </si>
  <si>
    <t>ACK.F683A520250203.3</t>
  </si>
  <si>
    <t>ACK.F683A520250203.4</t>
  </si>
  <si>
    <t>ACK.F683A520250202.1</t>
  </si>
  <si>
    <t>ACK.F683A520250225.1</t>
  </si>
  <si>
    <t>ACK.F683A520250225.2</t>
  </si>
  <si>
    <t>ACK.F683A520250225.3</t>
  </si>
  <si>
    <t>ACK.F683A520250225.4</t>
  </si>
  <si>
    <t>ACK.F683A520250228.1</t>
  </si>
  <si>
    <t>ACK.F683A520250228.2</t>
  </si>
  <si>
    <t>ACK.F683A520250228.3</t>
  </si>
  <si>
    <t>ACK.F683A520250228.4</t>
  </si>
  <si>
    <t>ACK.F683A520250226.1</t>
  </si>
  <si>
    <t>ACK.F683A520250226.2</t>
  </si>
  <si>
    <t>ACK.F683A520250226.3</t>
  </si>
  <si>
    <t>ACK.F683A520250229.1</t>
  </si>
  <si>
    <t>ACK.F683A520250229.2</t>
  </si>
  <si>
    <t>ACK.F683A520250229.3</t>
  </si>
  <si>
    <t>ACK.F683A520250229.4</t>
  </si>
  <si>
    <t>ACK.F683A520250227.1</t>
  </si>
  <si>
    <t>ACK.F683A520250230.1</t>
  </si>
  <si>
    <t>ACK.F683A520250230.2</t>
  </si>
  <si>
    <t>ACK.F683A520250231.1</t>
  </si>
  <si>
    <t>ACK.F683A520250232.1</t>
  </si>
  <si>
    <t>ACK.F683A520250232.2</t>
  </si>
  <si>
    <t>ACK.F683A520250232.3</t>
  </si>
  <si>
    <t>ACK.F683A520250207.1</t>
  </si>
  <si>
    <t>ACK.F683A520250207.2</t>
  </si>
  <si>
    <t>ACK.F683A520250204.1</t>
  </si>
  <si>
    <t>ACK.F683A520250204.2</t>
  </si>
  <si>
    <t>ACK.F683A520250204.3</t>
  </si>
  <si>
    <t>ACK.F683A520250204.4</t>
  </si>
  <si>
    <t>ACK.F683A520250141.1</t>
  </si>
  <si>
    <t>ACK.F683A520250141.2</t>
  </si>
  <si>
    <t>ACK.F683A520250141.3</t>
  </si>
  <si>
    <t>ACK.F683A520250147.1</t>
  </si>
  <si>
    <t>ACK.F683A520250147.2</t>
  </si>
  <si>
    <t>ACK.F683A520250215.1</t>
  </si>
  <si>
    <t>ACK.F683A520250215.2</t>
  </si>
  <si>
    <t>ACK.F683A520250215.3</t>
  </si>
  <si>
    <t>ACK.F683A520250215.4</t>
  </si>
  <si>
    <t>ACK.F683A520250216.1</t>
  </si>
  <si>
    <t>ACK.F683A520250216.2</t>
  </si>
  <si>
    <t>ACK.F683A520250216.3</t>
  </si>
  <si>
    <t>ACK.F683A520250216.4</t>
  </si>
  <si>
    <t>ACK.F683A520250217.1</t>
  </si>
  <si>
    <t>ACK.F683A520250142.1</t>
  </si>
  <si>
    <t>ACK.F683A520250213.1</t>
  </si>
  <si>
    <t>ACK.F683A520250213.2</t>
  </si>
  <si>
    <t>ACK.F683A520250213.3</t>
  </si>
  <si>
    <t>ACK.F683A520250213.4</t>
  </si>
  <si>
    <t>ACK.F683A520250209.1</t>
  </si>
  <si>
    <t>ACK.F683A520250158.1</t>
  </si>
  <si>
    <t>ACK.F683A520250219.1</t>
  </si>
  <si>
    <t>ACK.F683A520250220.1</t>
  </si>
  <si>
    <t>ACK.F683A520250221.1</t>
  </si>
  <si>
    <t>ACK.F683A520250221.2</t>
  </si>
  <si>
    <t>ACK.F683A520250221.3</t>
  </si>
  <si>
    <t>ACK.F683A520250224.1</t>
  </si>
  <si>
    <t>ACK.F683A520250224.2</t>
  </si>
  <si>
    <t>ACK.F683A520250223.1</t>
  </si>
  <si>
    <t>ACK.F683A520250223.2</t>
  </si>
  <si>
    <t>ACK.F683A520250223.3</t>
  </si>
  <si>
    <t>ACK.F683A520250170.1</t>
  </si>
  <si>
    <t>ACK.F683A520250197.1</t>
  </si>
  <si>
    <t>ACK.F683A520250196.1</t>
  </si>
  <si>
    <t>ACK.F683A520250205.1</t>
  </si>
  <si>
    <t>ACK.F683A520250208.1</t>
  </si>
  <si>
    <t>ACK.F683A520250208.2</t>
  </si>
  <si>
    <t>ACK.F683A520250208.3</t>
  </si>
  <si>
    <t>ACK.F683A520250206.1</t>
  </si>
  <si>
    <t>ACK.F683A520250210.1</t>
  </si>
  <si>
    <t>ACK.F683A520250211.1</t>
  </si>
  <si>
    <t>ACK.F683A520250212.1</t>
  </si>
  <si>
    <t>ACK.F683A520250214.1</t>
  </si>
  <si>
    <t>ACK.F683A520250218.1</t>
  </si>
  <si>
    <t>ACK.F683A520250222.1</t>
  </si>
  <si>
    <t>Age Band/SI</t>
  </si>
  <si>
    <t>0-35</t>
  </si>
  <si>
    <t>56-65</t>
  </si>
  <si>
    <t>76-80</t>
  </si>
  <si>
    <t>HDFCH00289610341/AVGLOBA1/A V GLOBAL CORPORATION P LTD</t>
  </si>
  <si>
    <t>HDFCH00372273827/AVGLOBA1/A V GLOBAL CORPORATION P LTD</t>
  </si>
  <si>
    <t>Vishwas Manohar Bhosale</t>
  </si>
  <si>
    <t>Sanmani Vishwas Bhosale</t>
  </si>
  <si>
    <t>Adwait Vishwas Bhosale</t>
  </si>
  <si>
    <t>Aarohi Vishwas Bhosale</t>
  </si>
  <si>
    <t>Amar Ankush Pawar</t>
  </si>
  <si>
    <t>Surekha Amar Pawar</t>
  </si>
  <si>
    <t>Konark Amar Pawar</t>
  </si>
  <si>
    <t>CHANDAN</t>
  </si>
  <si>
    <t>Sonia Kanojiya</t>
  </si>
  <si>
    <t>Himanshu Kannojia</t>
  </si>
  <si>
    <t>B DAMODHARAN</t>
  </si>
  <si>
    <t>Dharani Devaraj</t>
  </si>
  <si>
    <t>D Krishanth</t>
  </si>
  <si>
    <t>RISHABH PANDEY</t>
  </si>
  <si>
    <t>ACK.F683A520250238.1</t>
  </si>
  <si>
    <t>ACK.F683A520250238.2</t>
  </si>
  <si>
    <t>ACK.F683A520250238.3</t>
  </si>
  <si>
    <t>ACK.F683A520250238.4</t>
  </si>
  <si>
    <t>ACK.F683A520250237.1</t>
  </si>
  <si>
    <t>ACK.F683A520250237.2</t>
  </si>
  <si>
    <t>ACK.F683A520250237.3</t>
  </si>
  <si>
    <t>ACK.F683A520250235.1</t>
  </si>
  <si>
    <t>ACK.F683A520250235.2</t>
  </si>
  <si>
    <t>ACK.F683A520250235.3</t>
  </si>
  <si>
    <t>ACK.F683A520250236.1</t>
  </si>
  <si>
    <t>ACK.F683A520250236.2</t>
  </si>
  <si>
    <t>ACK.F683A520250236.3</t>
  </si>
  <si>
    <t>ACK.F683A520250234.1</t>
  </si>
  <si>
    <t>Rajni Kumari</t>
  </si>
  <si>
    <t>ACK.F683A520250231.2</t>
  </si>
  <si>
    <t>Emp id</t>
  </si>
  <si>
    <t>GMC021090101</t>
  </si>
  <si>
    <t>SATISH SAHADEV PAWNAK</t>
  </si>
  <si>
    <t>Sonakshi Satish Pavnak</t>
  </si>
  <si>
    <t xml:space="preserve">Aaryan Satish Pavnak </t>
  </si>
  <si>
    <t>CHANDRA BALLABH</t>
  </si>
  <si>
    <t>AVNI DOBRIYAL</t>
  </si>
  <si>
    <t xml:space="preserve">ABHINAV DOBRIYAL </t>
  </si>
  <si>
    <t>JYOTI</t>
  </si>
  <si>
    <t>VAIBHAV JAGANNATH DESALE</t>
  </si>
  <si>
    <t>ACK.F683A520250240.1</t>
  </si>
  <si>
    <t>ACK.F683A520250240.2</t>
  </si>
  <si>
    <t>ACK.F683A520250240.3</t>
  </si>
  <si>
    <t>ACK.F683A520250241.1</t>
  </si>
  <si>
    <t>ACK.F683A520250241.2</t>
  </si>
  <si>
    <t>ACK.F683A520250241.3</t>
  </si>
  <si>
    <t>ACK.F683A520250241.4</t>
  </si>
  <si>
    <t>ACK.F683A520250239.1</t>
  </si>
  <si>
    <t>GMC021090102</t>
  </si>
  <si>
    <t>GMC021090103</t>
  </si>
  <si>
    <t>Deletion</t>
  </si>
  <si>
    <t>Claim</t>
  </si>
  <si>
    <t>GMC021090104</t>
  </si>
  <si>
    <t>Tarun Kumar Sharma</t>
  </si>
  <si>
    <t>31-Mar-1989</t>
  </si>
  <si>
    <t>Hemlata Sharma</t>
  </si>
  <si>
    <t>07-Jan-1992</t>
  </si>
  <si>
    <t>Ayush Sharma</t>
  </si>
  <si>
    <t>06-Dec-2012</t>
  </si>
  <si>
    <t>Devanshi Sharma</t>
  </si>
  <si>
    <t>26-Dec-2017</t>
  </si>
  <si>
    <t>ACK.F683A520250242.1</t>
  </si>
  <si>
    <t>ACK.F683A520250242.2</t>
  </si>
  <si>
    <t>ACK.F683A520250242.3</t>
  </si>
  <si>
    <t>ACK.F683A520250242.4</t>
  </si>
  <si>
    <t>MALE</t>
  </si>
  <si>
    <t>FEMALE</t>
  </si>
  <si>
    <t>No claim</t>
  </si>
  <si>
    <t>aa</t>
  </si>
  <si>
    <t>GMC021090105</t>
  </si>
  <si>
    <t>SAANVI SACHIN SURYAVANSHI</t>
  </si>
  <si>
    <t>SACHIN CHANDRAKANT SURYAVANSHI</t>
  </si>
  <si>
    <t>SADHVI SACHIN SURYAVANSHI</t>
  </si>
  <si>
    <t>KUSH SACHIN SURYAVANSHI</t>
  </si>
  <si>
    <t>MUKESH SINGH RAWAT</t>
  </si>
  <si>
    <t>VIJAYAKUMAR KRISHNAN</t>
  </si>
  <si>
    <t>RUCHIR RAMESH PALAVAKAR</t>
  </si>
  <si>
    <t>SAYALI HARISHCHANDRA BHAGAT</t>
  </si>
  <si>
    <t>SENTHIL KUMAR M</t>
  </si>
  <si>
    <t>ACK.F683A520250247.1</t>
  </si>
  <si>
    <t>ACK.F683A520250247.2</t>
  </si>
  <si>
    <t>ACK.F683A520250247.3</t>
  </si>
  <si>
    <t>ACK.F683A520250247.4</t>
  </si>
  <si>
    <t>ACK.F683A520250243.1</t>
  </si>
  <si>
    <t>ACK.F683A520250245.1</t>
  </si>
  <si>
    <t>ACK.F683A520250244.1</t>
  </si>
  <si>
    <t>ACK.F683A520250244.2</t>
  </si>
  <si>
    <t>ACK.F683A520250248.1</t>
  </si>
  <si>
    <t>ACK.F683A520250246.1</t>
  </si>
  <si>
    <t>ACK.F683A520250246.2</t>
  </si>
  <si>
    <t>ACK.F683A520250246.3</t>
  </si>
  <si>
    <t>ACK.F683A520250246.4</t>
  </si>
  <si>
    <t>No Claim</t>
  </si>
  <si>
    <t>GMC021090106</t>
  </si>
  <si>
    <t>HDFCH00484406051/AVGLOBA1/A V GLOBAL CORPORATION P LTD</t>
  </si>
  <si>
    <t>Vanya Jinal Patel</t>
  </si>
  <si>
    <t>ACK.F683A520250077.4</t>
  </si>
  <si>
    <t>GMC021090107</t>
  </si>
  <si>
    <t>HIMANI MEHTA</t>
  </si>
  <si>
    <t>ACK.F683A520250249.1</t>
  </si>
  <si>
    <t>GMC021090108</t>
  </si>
  <si>
    <t>NITI MEHTA .</t>
  </si>
  <si>
    <t>VENKATACHALAM SRIDHARAN .</t>
  </si>
  <si>
    <t>THIRIPURA SUNDARI .</t>
  </si>
  <si>
    <t>JASWANT</t>
  </si>
  <si>
    <t>SUKHVINDER KAUR</t>
  </si>
  <si>
    <t>DIGWANSH SINGH</t>
  </si>
  <si>
    <t xml:space="preserve">SAHIBPREET </t>
  </si>
  <si>
    <t>SHIVPRASAD BHENDE</t>
  </si>
  <si>
    <t>ACK.F683A520250250.1</t>
  </si>
  <si>
    <t>ACK.F683A520250251.1</t>
  </si>
  <si>
    <t>ACK.F683A520250251.2</t>
  </si>
  <si>
    <t>ACK.F683A520250253.1</t>
  </si>
  <si>
    <t>ACK.F683A520250253.2</t>
  </si>
  <si>
    <t>ACK.F683A520250253.3</t>
  </si>
  <si>
    <t>ACK.F683A520250253.4</t>
  </si>
  <si>
    <t>ACK.F683A520250252.1</t>
  </si>
  <si>
    <t>GMC021090109</t>
  </si>
  <si>
    <t>Vajr Jain</t>
  </si>
  <si>
    <t>ACK.F683A520250143.4</t>
  </si>
  <si>
    <t>GMC021090110</t>
  </si>
  <si>
    <t>SANTOSH KUMAR MISHRA</t>
  </si>
  <si>
    <t>Pammi Mishra</t>
  </si>
  <si>
    <t>Ayansh Mishra</t>
  </si>
  <si>
    <t>Aavya</t>
  </si>
  <si>
    <t>SHANKAR HALDAR</t>
  </si>
  <si>
    <t xml:space="preserve">Asha </t>
  </si>
  <si>
    <t>Ayansh Haldar</t>
  </si>
  <si>
    <t xml:space="preserve">Shruti </t>
  </si>
  <si>
    <t>RAHUL KUMAR YADAV</t>
  </si>
  <si>
    <t>ACK.F683A520250256.1</t>
  </si>
  <si>
    <t>ACK.F683A520250256.2</t>
  </si>
  <si>
    <t>ACK.F683A520250256.3</t>
  </si>
  <si>
    <t>ACK.F683A520250256.4</t>
  </si>
  <si>
    <t>ACK.F683A520250255.1</t>
  </si>
  <si>
    <t>ACK.F683A520250255.2</t>
  </si>
  <si>
    <t>ACK.F683A520250255.3</t>
  </si>
  <si>
    <t>ACK.F683A520250255.4</t>
  </si>
  <si>
    <t>ACK.F683A520250254.1</t>
  </si>
  <si>
    <t>GMC021090111</t>
  </si>
  <si>
    <t>CD Utilization Statement as on 28th Feb 2026</t>
  </si>
  <si>
    <t>RUCHI DHIRAYAN</t>
  </si>
  <si>
    <t>04-Apr-2000</t>
  </si>
  <si>
    <t>HARSH KAUSHIK</t>
  </si>
  <si>
    <t>12-Apr-1997</t>
  </si>
  <si>
    <t>LALITA SHARMA</t>
  </si>
  <si>
    <t>27-Mar-1994</t>
  </si>
  <si>
    <t>KAMLESH KUMAR</t>
  </si>
  <si>
    <t>25-Jul-1980</t>
  </si>
  <si>
    <t>MEENA DEVI</t>
  </si>
  <si>
    <t>19-Sep-1985</t>
  </si>
  <si>
    <t>VANIYA KUMARI</t>
  </si>
  <si>
    <t>13-Jan-2013</t>
  </si>
  <si>
    <t>TANIYA KUMARI</t>
  </si>
  <si>
    <t>01-Jan-2015</t>
  </si>
  <si>
    <t>RASHABH KUMAR KASHYAP</t>
  </si>
  <si>
    <t>21-Dec-2020</t>
  </si>
  <si>
    <t>K RAJESHWAR REDDY</t>
  </si>
  <si>
    <t>RET02</t>
  </si>
  <si>
    <t>02-Jan-1993</t>
  </si>
  <si>
    <t>M JYOTI REDDY</t>
  </si>
  <si>
    <t>22-Jul-1994</t>
  </si>
  <si>
    <t>VINEETH KUMAR V</t>
  </si>
  <si>
    <t>RET01</t>
  </si>
  <si>
    <t>22-Jan-1988</t>
  </si>
  <si>
    <t>ANU VIJAYAN</t>
  </si>
  <si>
    <t>01-Aug-1996</t>
  </si>
  <si>
    <t>UMA PARVATHY</t>
  </si>
  <si>
    <t>08-Dec-2020</t>
  </si>
  <si>
    <t>HARI SIDHARTH</t>
  </si>
  <si>
    <t>RET03</t>
  </si>
  <si>
    <t>02-Mar-1995</t>
  </si>
  <si>
    <t>SURUTHI.S</t>
  </si>
  <si>
    <t>12-Feb-1999</t>
  </si>
  <si>
    <t>RAKESH KRISHNARAJ.H</t>
  </si>
  <si>
    <t>28-Dec-2021</t>
  </si>
  <si>
    <t>JASHWIN KALEESH.H</t>
  </si>
  <si>
    <t>18-Nov-2023</t>
  </si>
  <si>
    <t>YASH PAL</t>
  </si>
  <si>
    <t>03-Dec-1994</t>
  </si>
  <si>
    <t>MANISHA KUMARI</t>
  </si>
  <si>
    <t>07-Jun-2006</t>
  </si>
  <si>
    <t>ACK.F683A520250257.1</t>
  </si>
  <si>
    <t>ACK.F683A520250258.1</t>
  </si>
  <si>
    <t>ACK.F683A520250258.2</t>
  </si>
  <si>
    <t>ACK.F683A520250259.1</t>
  </si>
  <si>
    <t>ACK.F683A520250259.2</t>
  </si>
  <si>
    <t>ACK.F683A520250259.3</t>
  </si>
  <si>
    <t>ACK.F683A520250259.4</t>
  </si>
  <si>
    <t>ACK.F683A520250259.5</t>
  </si>
  <si>
    <t>ACK.F683A520250260.1</t>
  </si>
  <si>
    <t>ACK.F683A520250260.2</t>
  </si>
  <si>
    <t>ACK.F683A520250261.1</t>
  </si>
  <si>
    <t>ACK.F683A520250261.2</t>
  </si>
  <si>
    <t>ACK.F683A520250261.3</t>
  </si>
  <si>
    <t>ACK.F683A520250262.1</t>
  </si>
  <si>
    <t>ACK.F683A520250262.2</t>
  </si>
  <si>
    <t>ACK.F683A520250262.3</t>
  </si>
  <si>
    <t>ACK.F683A520250262.4</t>
  </si>
  <si>
    <t>ACK.F683A520250263.1</t>
  </si>
  <si>
    <t>ACK.F683A520250263.2</t>
  </si>
  <si>
    <t>GMC021090112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</si>
</sst>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d/mmm/yy"/>
    <numFmt numFmtId="167" formatCode="dd/mmm/yyyy"/>
  </numFmts>
  <fonts count="4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4" tint="-0.249977111117893"/>
      <name val="Calibri"/>
      <family val="2"/>
    </font>
    <font>
      <sz val="11"/>
      <color theme="4" tint="-0.249977111117893"/>
      <name val="Calibri"/>
      <family val="2"/>
    </font>
    <font>
      <b/>
      <sz val="11"/>
      <color theme="4"/>
      <name val="Calibri"/>
      <family val="2"/>
    </font>
    <font>
      <sz val="10"/>
      <name val="Calibri"/>
      <family val="2"/>
      <scheme val="major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850A0"/>
        <bgColor indexed="64"/>
      </patternFill>
    </fill>
    <fill>
      <patternFill patternType="solid">
        <fgColor rgb="FFE9E6F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FFFFFF"/>
      </bottom>
      <diagonal/>
    </border>
  </borders>
  <cellStyleXfs count="76">
    <xf numFmtId="0" fontId="0" fillId="0" borderId="0"/>
    <xf numFmtId="43" fontId="13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7" fillId="0" borderId="0"/>
    <xf numFmtId="0" fontId="8" fillId="0" borderId="0"/>
    <xf numFmtId="0" fontId="4" fillId="0" borderId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7" borderId="9" applyNumberFormat="0" applyAlignment="0" applyProtection="0"/>
    <xf numFmtId="0" fontId="24" fillId="8" borderId="10" applyNumberFormat="0" applyAlignment="0" applyProtection="0"/>
    <xf numFmtId="0" fontId="25" fillId="8" borderId="9" applyNumberFormat="0" applyAlignment="0" applyProtection="0"/>
    <xf numFmtId="0" fontId="26" fillId="0" borderId="11" applyNumberFormat="0" applyFill="0" applyAlignment="0" applyProtection="0"/>
    <xf numFmtId="0" fontId="27" fillId="9" borderId="12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1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1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1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1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1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  <xf numFmtId="0" fontId="3" fillId="10" borderId="13" applyNumberFormat="0" applyFont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4" fillId="0" borderId="0"/>
    <xf numFmtId="0" fontId="35" fillId="0" borderId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1" fillId="10" borderId="13" applyNumberFormat="0" applyFont="0" applyAlignment="0" applyProtection="0"/>
    <xf numFmtId="0" fontId="38" fillId="35" borderId="5" applyNumberFormat="0" applyProtection="0">
      <alignment horizontal="left"/>
    </xf>
    <xf numFmtId="166" fontId="16" fillId="0" borderId="0" applyProtection="0"/>
    <xf numFmtId="0" fontId="34" fillId="0" borderId="0"/>
    <xf numFmtId="9" fontId="4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85">
    <xf numFmtId="0" fontId="0" fillId="0" borderId="0" xfId="0"/>
    <xf numFmtId="0" fontId="7" fillId="0" borderId="0" xfId="0" applyFont="1"/>
    <xf numFmtId="164" fontId="8" fillId="0" borderId="0" xfId="0" applyNumberFormat="1" applyFont="1"/>
    <xf numFmtId="0" fontId="8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17" fontId="7" fillId="2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7" fillId="0" borderId="1" xfId="0" applyFont="1" applyBorder="1"/>
    <xf numFmtId="0" fontId="12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wrapText="1"/>
    </xf>
    <xf numFmtId="164" fontId="7" fillId="0" borderId="1" xfId="0" applyNumberFormat="1" applyFont="1" applyBorder="1"/>
    <xf numFmtId="2" fontId="0" fillId="0" borderId="0" xfId="0" applyNumberFormat="1"/>
    <xf numFmtId="0" fontId="14" fillId="3" borderId="5" xfId="0" applyFont="1" applyFill="1" applyBorder="1" applyAlignment="1">
      <alignment horizontal="center"/>
    </xf>
    <xf numFmtId="0" fontId="0" fillId="0" borderId="5" xfId="0" applyBorder="1"/>
    <xf numFmtId="43" fontId="0" fillId="0" borderId="5" xfId="1" applyFont="1" applyBorder="1" applyAlignment="1"/>
    <xf numFmtId="0" fontId="14" fillId="0" borderId="5" xfId="0" applyFont="1" applyBorder="1"/>
    <xf numFmtId="43" fontId="0" fillId="0" borderId="0" xfId="0" applyNumberFormat="1"/>
    <xf numFmtId="0" fontId="15" fillId="0" borderId="0" xfId="0" applyFont="1"/>
    <xf numFmtId="0" fontId="9" fillId="0" borderId="0" xfId="51" applyFont="1"/>
    <xf numFmtId="0" fontId="6" fillId="0" borderId="0" xfId="51" applyFont="1" applyAlignment="1">
      <alignment vertical="top"/>
    </xf>
    <xf numFmtId="0" fontId="9" fillId="0" borderId="0" xfId="51" applyFont="1" applyAlignment="1">
      <alignment vertical="top"/>
    </xf>
    <xf numFmtId="164" fontId="9" fillId="0" borderId="5" xfId="51" applyNumberFormat="1" applyFont="1" applyBorder="1" applyAlignment="1">
      <alignment vertical="top"/>
    </xf>
    <xf numFmtId="165" fontId="15" fillId="0" borderId="0" xfId="1" applyNumberFormat="1" applyFont="1" applyFill="1" applyBorder="1" applyAlignment="1"/>
    <xf numFmtId="0" fontId="39" fillId="0" borderId="0" xfId="0" applyFont="1" applyAlignment="1">
      <alignment horizontal="center"/>
    </xf>
    <xf numFmtId="14" fontId="39" fillId="0" borderId="0" xfId="0" applyNumberFormat="1" applyFont="1" applyAlignment="1">
      <alignment horizontal="center"/>
    </xf>
    <xf numFmtId="164" fontId="39" fillId="0" borderId="0" xfId="0" applyNumberFormat="1" applyFont="1"/>
    <xf numFmtId="164" fontId="39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0" fontId="15" fillId="0" borderId="0" xfId="0" applyFont="1" applyAlignment="1">
      <alignment horizontal="center"/>
    </xf>
    <xf numFmtId="15" fontId="15" fillId="0" borderId="0" xfId="0" applyNumberFormat="1" applyFont="1"/>
    <xf numFmtId="14" fontId="15" fillId="0" borderId="0" xfId="0" applyNumberFormat="1" applyFont="1" applyAlignment="1">
      <alignment horizontal="center"/>
    </xf>
    <xf numFmtId="3" fontId="15" fillId="0" borderId="0" xfId="0" applyNumberFormat="1" applyFont="1"/>
    <xf numFmtId="164" fontId="15" fillId="0" borderId="0" xfId="0" applyNumberFormat="1" applyFont="1" applyAlignment="1">
      <alignment horizontal="center"/>
    </xf>
    <xf numFmtId="164" fontId="15" fillId="0" borderId="0" xfId="0" applyNumberFormat="1" applyFont="1"/>
    <xf numFmtId="14" fontId="15" fillId="0" borderId="0" xfId="0" applyNumberFormat="1" applyFont="1"/>
    <xf numFmtId="164" fontId="15" fillId="0" borderId="0" xfId="1" applyNumberFormat="1" applyFont="1" applyBorder="1"/>
    <xf numFmtId="0" fontId="8" fillId="0" borderId="5" xfId="0" applyFont="1" applyBorder="1" applyAlignment="1">
      <alignment wrapText="1"/>
    </xf>
    <xf numFmtId="164" fontId="8" fillId="0" borderId="5" xfId="1" applyNumberFormat="1" applyFont="1" applyBorder="1" applyAlignment="1">
      <alignment vertical="center"/>
    </xf>
    <xf numFmtId="164" fontId="9" fillId="0" borderId="5" xfId="1" applyNumberFormat="1" applyFont="1" applyBorder="1" applyAlignment="1">
      <alignment vertical="center"/>
    </xf>
    <xf numFmtId="0" fontId="42" fillId="0" borderId="0" xfId="0" applyFont="1"/>
    <xf numFmtId="164" fontId="4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5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7" fillId="0" borderId="1" xfId="0" applyNumberFormat="1" applyFont="1" applyBorder="1" applyAlignment="1">
      <alignment horizontal="center"/>
    </xf>
    <xf numFmtId="9" fontId="15" fillId="0" borderId="0" xfId="74" applyFont="1" applyBorder="1"/>
    <xf numFmtId="164" fontId="9" fillId="36" borderId="0" xfId="51" applyNumberFormat="1" applyFont="1" applyFill="1"/>
    <xf numFmtId="0" fontId="8" fillId="0" borderId="0" xfId="0" applyFont="1" applyAlignment="1">
      <alignment horizontal="center"/>
    </xf>
    <xf numFmtId="164" fontId="39" fillId="0" borderId="0" xfId="1" applyNumberFormat="1" applyFont="1"/>
    <xf numFmtId="164" fontId="41" fillId="0" borderId="0" xfId="1" applyNumberFormat="1" applyFont="1" applyAlignment="1">
      <alignment horizontal="center" vertical="center" wrapText="1"/>
    </xf>
    <xf numFmtId="164" fontId="15" fillId="0" borderId="0" xfId="1" applyNumberFormat="1" applyFont="1"/>
    <xf numFmtId="164" fontId="8" fillId="0" borderId="0" xfId="1" applyNumberFormat="1" applyFont="1"/>
    <xf numFmtId="167" fontId="15" fillId="0" borderId="0" xfId="0" applyNumberFormat="1" applyFont="1"/>
    <xf numFmtId="167" fontId="15" fillId="0" borderId="0" xfId="0" applyNumberFormat="1" applyFont="1" applyAlignment="1">
      <alignment horizontal="center"/>
    </xf>
    <xf numFmtId="164" fontId="8" fillId="0" borderId="15" xfId="0" applyNumberFormat="1" applyFont="1" applyBorder="1"/>
    <xf numFmtId="164" fontId="8" fillId="0" borderId="2" xfId="0" applyNumberFormat="1" applyFont="1" applyBorder="1"/>
    <xf numFmtId="164" fontId="8" fillId="0" borderId="5" xfId="0" applyNumberFormat="1" applyFont="1" applyBorder="1"/>
    <xf numFmtId="0" fontId="6" fillId="0" borderId="2" xfId="51" applyFont="1" applyBorder="1" applyAlignment="1">
      <alignment horizontal="center" vertical="center"/>
    </xf>
    <xf numFmtId="0" fontId="6" fillId="0" borderId="16" xfId="51" applyFont="1" applyBorder="1" applyAlignment="1">
      <alignment horizontal="center" vertical="center"/>
    </xf>
    <xf numFmtId="0" fontId="6" fillId="0" borderId="17" xfId="51" applyFont="1" applyBorder="1" applyAlignment="1">
      <alignment horizontal="center" vertical="center"/>
    </xf>
    <xf numFmtId="14" fontId="9" fillId="0" borderId="5" xfId="51" applyNumberFormat="1" applyFont="1" applyBorder="1" applyAlignment="1">
      <alignment vertical="top"/>
    </xf>
    <xf numFmtId="164" fontId="9" fillId="0" borderId="5" xfId="51" applyNumberFormat="1" applyFont="1" applyBorder="1" applyAlignment="1">
      <alignment horizontal="center" vertical="top"/>
    </xf>
    <xf numFmtId="164" fontId="15" fillId="0" borderId="0" xfId="1" applyNumberFormat="1" applyFont="1" applyAlignment="1">
      <alignment horizontal="center" vertical="center"/>
    </xf>
    <xf numFmtId="3" fontId="0" fillId="0" borderId="0" xfId="0" applyNumberFormat="1"/>
    <xf numFmtId="0" fontId="13" fillId="0" borderId="0" xfId="0" applyFont="1"/>
    <xf numFmtId="164" fontId="0" fillId="0" borderId="0" xfId="0" applyNumberFormat="1"/>
    <xf numFmtId="10" fontId="15" fillId="0" borderId="0" xfId="74" applyNumberFormat="1" applyFont="1" applyBorder="1"/>
    <xf numFmtId="0" fontId="0" fillId="0" borderId="0" xfId="0" applyAlignment="1">
      <alignment horizontal="center"/>
    </xf>
    <xf numFmtId="0" fontId="44" fillId="37" borderId="18" xfId="0" applyFont="1" applyFill="1" applyBorder="1" applyAlignment="1">
      <alignment horizontal="center" vertical="center"/>
    </xf>
    <xf numFmtId="3" fontId="44" fillId="37" borderId="18" xfId="0" applyNumberFormat="1" applyFont="1" applyFill="1" applyBorder="1" applyAlignment="1">
      <alignment horizontal="center" vertical="center"/>
    </xf>
    <xf numFmtId="0" fontId="45" fillId="38" borderId="0" xfId="0" applyFont="1" applyFill="1" applyAlignment="1">
      <alignment horizontal="center" vertical="center"/>
    </xf>
    <xf numFmtId="4" fontId="45" fillId="38" borderId="0" xfId="0" applyNumberFormat="1" applyFont="1" applyFill="1" applyAlignment="1">
      <alignment horizontal="center" vertical="center"/>
    </xf>
    <xf numFmtId="1" fontId="15" fillId="0" borderId="0" xfId="0" applyNumberFormat="1" applyFont="1" applyAlignment="1">
      <alignment horizontal="center"/>
    </xf>
    <xf numFmtId="164" fontId="15" fillId="36" borderId="0" xfId="1" applyNumberFormat="1" applyFont="1" applyFill="1" applyAlignment="1">
      <alignment horizontal="center" vertical="center"/>
    </xf>
    <xf numFmtId="0" fontId="0" fillId="0" borderId="0" xfId="0" applyNumberFormat="1"/>
  </cellXfs>
  <cellStyles count="76">
    <cellStyle name="20% - Accent1" xfId="22" builtinId="30" customBuiltin="1"/>
    <cellStyle name="20% - Accent1 2" xfId="55" xr:uid="{2C94C2B5-A10D-4F87-AE7B-77D94A833512}"/>
    <cellStyle name="20% - Accent2" xfId="25" builtinId="34" customBuiltin="1"/>
    <cellStyle name="20% - Accent2 2" xfId="57" xr:uid="{34CD524A-CF55-4DFF-9882-3504627B9CF7}"/>
    <cellStyle name="20% - Accent3" xfId="28" builtinId="38" customBuiltin="1"/>
    <cellStyle name="20% - Accent3 2" xfId="59" xr:uid="{ABEF12AE-4F03-468B-BA50-3489766099B3}"/>
    <cellStyle name="20% - Accent4" xfId="31" builtinId="42" customBuiltin="1"/>
    <cellStyle name="20% - Accent4 2" xfId="61" xr:uid="{9B2E3238-28DC-49B3-9B70-1EBD278200B7}"/>
    <cellStyle name="20% - Accent5" xfId="34" builtinId="46" customBuiltin="1"/>
    <cellStyle name="20% - Accent5 2" xfId="63" xr:uid="{560DB4EC-03B2-40EF-BAA8-7417DF54A9A3}"/>
    <cellStyle name="20% - Accent6" xfId="37" builtinId="50" customBuiltin="1"/>
    <cellStyle name="20% - Accent6 2" xfId="65" xr:uid="{3B2413B7-70B4-4EB9-8DA1-0CDA903B3304}"/>
    <cellStyle name="40% - Accent1" xfId="23" builtinId="31" customBuiltin="1"/>
    <cellStyle name="40% - Accent1 2" xfId="56" xr:uid="{7EFC74EA-3B29-4649-BEB0-AF0DF3C600C3}"/>
    <cellStyle name="40% - Accent2" xfId="26" builtinId="35" customBuiltin="1"/>
    <cellStyle name="40% - Accent2 2" xfId="58" xr:uid="{F680AADC-C83C-4DAF-8B18-3535C3F90DB1}"/>
    <cellStyle name="40% - Accent3" xfId="29" builtinId="39" customBuiltin="1"/>
    <cellStyle name="40% - Accent3 2" xfId="60" xr:uid="{8FA1B61B-516D-4044-AE2B-54D9D6B32D66}"/>
    <cellStyle name="40% - Accent4" xfId="32" builtinId="43" customBuiltin="1"/>
    <cellStyle name="40% - Accent4 2" xfId="62" xr:uid="{1DDE76C3-1757-4605-8129-765BA58716EB}"/>
    <cellStyle name="40% - Accent5" xfId="35" builtinId="47" customBuiltin="1"/>
    <cellStyle name="40% - Accent5 2" xfId="64" xr:uid="{DBB1B2A8-629F-415F-A3D3-4EC756A8CAB5}"/>
    <cellStyle name="40% - Accent6" xfId="38" builtinId="51" customBuiltin="1"/>
    <cellStyle name="40% - Accent6 2" xfId="66" xr:uid="{43127A74-1583-4B97-95B7-8C9DD448A610}"/>
    <cellStyle name="60% - Accent1 2" xfId="43" xr:uid="{363523F5-04B5-45EF-A7A0-ED7208208BE3}"/>
    <cellStyle name="60% - Accent2 2" xfId="44" xr:uid="{FCEF29C9-8F09-4FB0-8C82-84230C7A06E9}"/>
    <cellStyle name="60% - Accent3 2" xfId="45" xr:uid="{7D5CEC2E-B177-4AEE-865F-B183998994C2}"/>
    <cellStyle name="60% - Accent4 2" xfId="46" xr:uid="{F52FC876-EA8C-4F0C-AA69-BE72B6263513}"/>
    <cellStyle name="60% - Accent5 2" xfId="47" xr:uid="{142C51C8-4D6C-4AF7-86F7-016BA87414A3}"/>
    <cellStyle name="60% - Accent6 2" xfId="48" xr:uid="{390C4031-AF7B-4C2B-B2A4-577ACF5595DA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Bad 2" xfId="69" xr:uid="{E55DA92F-2469-4AD5-9855-80A389ED2800}"/>
    <cellStyle name="Bad 3" xfId="54" xr:uid="{180E72A3-69A7-4921-AF94-D5746A70C3E2}"/>
    <cellStyle name="border-bottom:black 1px solid;font-family:Arial;text-align:left;width:70px;font-weight:normal;height:37px;color:Black;background-color:White;border-right:black 1px solid;font-style:normal;border-left:black 1px solid;border-top:black 1px solid;border-colla" xfId="71" xr:uid="{D4E87B9C-B22F-4757-8882-20CB37A5FED7}"/>
    <cellStyle name="Calculation" xfId="15" builtinId="22" customBuiltin="1"/>
    <cellStyle name="Check Cell" xfId="17" builtinId="23" customBuiltin="1"/>
    <cellStyle name="Comma" xfId="1" builtinId="3"/>
    <cellStyle name="Comma 2" xfId="3" xr:uid="{140F1E55-4D24-4528-A81C-A852EB22842E}"/>
    <cellStyle name="Comma 3" xfId="49" xr:uid="{41F8FA30-DCBA-4DDE-A861-8024AB202B87}"/>
    <cellStyle name="Explanatory Text" xfId="19" builtinId="53" customBuiltin="1"/>
    <cellStyle name="Good" xfId="11" builtinId="26" customBuiltin="1"/>
    <cellStyle name="Good 2" xfId="68" xr:uid="{EF05253A-5862-4760-8E8C-9D8CFE4436BA}"/>
    <cellStyle name="Good 3" xfId="53" xr:uid="{DDBE7F5B-1856-488C-BB62-641D976837E4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Neutral 2" xfId="41" xr:uid="{CA06783B-0C60-4B4D-9FF0-680D3F3F3D34}"/>
    <cellStyle name="Normal" xfId="0" builtinId="0"/>
    <cellStyle name="Normal 10" xfId="5" xr:uid="{63FB5B16-EC33-4E58-8058-FB757F5CCDEB}"/>
    <cellStyle name="Normal 2" xfId="2" xr:uid="{C9A1CD63-D6F6-431F-989A-56B6D7F7848A}"/>
    <cellStyle name="Normal 2 2" xfId="67" xr:uid="{BF998C56-1F51-4084-8747-632015C39F6E}"/>
    <cellStyle name="Normal 3" xfId="4" xr:uid="{6EBD9004-C2F1-4398-B68B-CD49E4B930B4}"/>
    <cellStyle name="Normal 3 2" xfId="73" xr:uid="{28821842-D33B-4832-9836-2FAB3CBD6B3D}"/>
    <cellStyle name="Normal 4" xfId="39" xr:uid="{268B5209-5A3E-4117-980A-9034144CBE6C}"/>
    <cellStyle name="Normal 5" xfId="50" xr:uid="{93AF0A56-03AC-4172-B0DC-2E21D4FB3E6F}"/>
    <cellStyle name="Normal 6" xfId="51" xr:uid="{879A211B-E99F-41FA-BCA4-18654480AC2C}"/>
    <cellStyle name="Normal 7" xfId="52" xr:uid="{FE90D49F-291E-4206-89F7-D537EA20D561}"/>
    <cellStyle name="Normal 9" xfId="6" xr:uid="{199F9E54-0E7F-4430-8518-26E62A01D2D0}"/>
    <cellStyle name="Note 2" xfId="42" xr:uid="{48CC88A1-1C87-4132-AB5D-C4BF97AAD403}"/>
    <cellStyle name="Note 2 2" xfId="70" xr:uid="{CA78D779-CBA5-450B-9CAF-707C00E5841C}"/>
    <cellStyle name="Output" xfId="14" builtinId="21" customBuiltin="1"/>
    <cellStyle name="Percent" xfId="74" builtinId="5"/>
    <cellStyle name="Percent 2" xfId="75" xr:uid="{6F129147-B182-405A-9157-4295C3551109}"/>
    <cellStyle name="Style 1" xfId="72" xr:uid="{E9E460F8-667A-4DC1-8862-5757ED53219E}"/>
    <cellStyle name="Title 2" xfId="40" xr:uid="{B8CCFB5C-7993-4E24-9452-EACCBDC428CE}"/>
    <cellStyle name="Total" xfId="20" builtinId="25" customBuiltin="1"/>
    <cellStyle name="Warning Text" xfId="18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2</xdr:col>
      <xdr:colOff>469901</xdr:colOff>
      <xdr:row>3</xdr:row>
      <xdr:rowOff>149571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0F15A-14EF-485D-B2AD-D597A68D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1" y="184150"/>
          <a:ext cx="1219200" cy="517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ntesh m Gundalli" refreshedDate="46063.685226157409" createdVersion="8" refreshedVersion="8" minRefreshableVersion="3" recordCount="760" xr:uid="{43774D14-923C-42C2-820D-F634814136B1}">
  <cacheSource type="worksheet">
    <worksheetSource ref="A2:AP762" sheet="Details"/>
  </cacheSource>
  <cacheFields count="42">
    <cacheField name="Status" numFmtId="0">
      <sharedItems/>
    </cacheField>
    <cacheField name="Acct. Month" numFmtId="0">
      <sharedItems containsSemiMixedTypes="0" containsString="0" containsNumber="1" containsInteger="1" minValue="202506" maxValue="202602"/>
    </cacheField>
    <cacheField name="Master Policy No" numFmtId="0">
      <sharedItems/>
    </cacheField>
    <cacheField name="Master Policy Holder Name" numFmtId="0">
      <sharedItems/>
    </cacheField>
    <cacheField name="Master Policy Risk Start Date" numFmtId="167">
      <sharedItems containsSemiMixedTypes="0" containsNonDate="0" containsDate="1" containsString="0" minDate="2025-06-10T00:00:00" maxDate="2025-06-11T00:00:00"/>
    </cacheField>
    <cacheField name="Master Policy Risk End Date" numFmtId="167">
      <sharedItems containsSemiMixedTypes="0" containsNonDate="0" containsDate="1" containsString="0" minDate="2026-06-09T00:00:00" maxDate="2026-06-10T00:00:00"/>
    </cacheField>
    <cacheField name="Name" numFmtId="15">
      <sharedItems/>
    </cacheField>
    <cacheField name="Emp ID" numFmtId="0">
      <sharedItems containsMixedTypes="1" containsNumber="1" containsInteger="1" minValue="1001" maxValue="5004" count="261">
        <n v="1001"/>
        <n v="1002"/>
        <n v="1004"/>
        <n v="1005"/>
        <n v="1006"/>
        <n v="1007"/>
        <n v="1008"/>
        <n v="1016"/>
        <n v="1017"/>
        <n v="1019"/>
        <n v="1022"/>
        <n v="1023"/>
        <n v="1024"/>
        <n v="1026"/>
        <n v="1027"/>
        <n v="1028"/>
        <n v="1032"/>
        <n v="1033"/>
        <n v="1035"/>
        <n v="1036"/>
        <n v="1044"/>
        <n v="1047"/>
        <n v="1049"/>
        <n v="1055"/>
        <n v="1056"/>
        <n v="1057"/>
        <n v="1059"/>
        <n v="1060"/>
        <n v="1061"/>
        <n v="1062"/>
        <n v="1063"/>
        <n v="1067"/>
        <n v="1075"/>
        <n v="1076"/>
        <n v="1080"/>
        <n v="1085"/>
        <n v="1087"/>
        <n v="1088"/>
        <n v="1090"/>
        <n v="1098"/>
        <n v="1099"/>
        <n v="1103"/>
        <n v="1104"/>
        <n v="1107"/>
        <n v="1109"/>
        <n v="1112"/>
        <n v="1114"/>
        <n v="1115"/>
        <n v="1118"/>
        <n v="1121"/>
        <n v="1123"/>
        <n v="2008"/>
        <n v="2009"/>
        <n v="2011"/>
        <n v="2012"/>
        <n v="2016"/>
        <n v="2017"/>
        <n v="2021"/>
        <n v="2022"/>
        <n v="2025"/>
        <n v="2026"/>
        <n v="2027"/>
        <n v="2029"/>
        <n v="2030"/>
        <n v="2031"/>
        <n v="2032"/>
        <n v="2036"/>
        <n v="2037"/>
        <n v="2038"/>
        <n v="2040"/>
        <n v="2041"/>
        <n v="2045"/>
        <n v="2047"/>
        <n v="2049"/>
        <n v="2053"/>
        <n v="2054"/>
        <n v="2055"/>
        <n v="2057"/>
        <n v="2058"/>
        <n v="2061"/>
        <n v="2062"/>
        <n v="2067"/>
        <n v="2068"/>
        <n v="2070"/>
        <n v="2071"/>
        <n v="2082"/>
        <n v="2084"/>
        <n v="2085"/>
        <n v="2086"/>
        <n v="2093"/>
        <n v="2094"/>
        <n v="2098"/>
        <n v="2100"/>
        <n v="2102"/>
        <n v="2107"/>
        <n v="2108"/>
        <n v="2109"/>
        <n v="2110"/>
        <n v="2111"/>
        <n v="2112"/>
        <n v="2117"/>
        <n v="2119"/>
        <n v="2120"/>
        <n v="2124"/>
        <n v="2129"/>
        <n v="2130"/>
        <n v="2131"/>
        <n v="2136"/>
        <n v="2139"/>
        <n v="2140"/>
        <n v="2142"/>
        <n v="2145"/>
        <n v="2147"/>
        <n v="2148"/>
        <n v="2150"/>
        <n v="2153"/>
        <n v="2154"/>
        <n v="2155"/>
        <n v="2159"/>
        <n v="2162"/>
        <n v="2163"/>
        <n v="2165"/>
        <n v="2166"/>
        <n v="2167"/>
        <n v="2171"/>
        <n v="2172"/>
        <n v="2173"/>
        <n v="2174"/>
        <n v="2175"/>
        <n v="2177"/>
        <n v="2179"/>
        <n v="2183"/>
        <n v="2188"/>
        <n v="2194"/>
        <n v="2195"/>
        <n v="2198"/>
        <n v="2200"/>
        <n v="2206"/>
        <n v="2212"/>
        <n v="2216"/>
        <n v="2218"/>
        <n v="2221"/>
        <n v="2222"/>
        <n v="2227"/>
        <n v="2231"/>
        <n v="2232"/>
        <n v="2233"/>
        <n v="2234"/>
        <n v="2238"/>
        <n v="2244"/>
        <n v="2245"/>
        <n v="2246"/>
        <n v="2247"/>
        <n v="2249"/>
        <n v="2254"/>
        <n v="2255"/>
        <n v="2263"/>
        <n v="2264"/>
        <n v="2265"/>
        <n v="2266"/>
        <n v="2267"/>
        <n v="2271"/>
        <n v="2272"/>
        <n v="2273"/>
        <n v="2275"/>
        <n v="2278"/>
        <n v="2279"/>
        <n v="2281"/>
        <n v="2282"/>
        <n v="2283"/>
        <n v="2284"/>
        <n v="2285"/>
        <n v="2286"/>
        <n v="2288"/>
        <n v="2289"/>
        <n v="2290"/>
        <n v="2291"/>
        <n v="2293"/>
        <n v="2294"/>
        <n v="2295"/>
        <n v="2298"/>
        <n v="2303"/>
        <n v="2304"/>
        <n v="2305"/>
        <n v="2306"/>
        <n v="2307"/>
        <n v="2310"/>
        <n v="2311"/>
        <n v="2312"/>
        <n v="2313"/>
        <n v="2317"/>
        <n v="2318"/>
        <n v="2319"/>
        <n v="2320"/>
        <n v="2322"/>
        <n v="2323"/>
        <n v="4010"/>
        <n v="4019"/>
        <s v="AVGCT1"/>
        <s v="AVGCT2"/>
        <s v="AVGCT3"/>
        <s v="AVGCT4"/>
        <s v="AVGCT5"/>
        <s v="AVGCT6"/>
        <n v="2327"/>
        <n v="2324"/>
        <n v="2215"/>
        <n v="2229"/>
        <n v="2337"/>
        <n v="2338"/>
        <n v="2339"/>
        <n v="2219"/>
        <n v="2335"/>
        <n v="2331"/>
        <n v="2250"/>
        <n v="2345"/>
        <n v="2346"/>
        <n v="2347"/>
        <n v="2350"/>
        <n v="2349"/>
        <n v="2276"/>
        <n v="2314"/>
        <n v="2315"/>
        <n v="2325"/>
        <n v="2328"/>
        <n v="2329"/>
        <n v="2332"/>
        <n v="2333"/>
        <n v="2334"/>
        <n v="2336"/>
        <n v="2342"/>
        <n v="2348"/>
        <n v="2357"/>
        <n v="2356"/>
        <n v="2354"/>
        <n v="2355"/>
        <n v="2277"/>
        <n v="2220"/>
        <n v="2353"/>
        <n v="2352"/>
        <n v="2359"/>
        <n v="2361"/>
        <n v="2360"/>
        <n v="2362"/>
        <n v="2363"/>
        <n v="2364"/>
        <n v="2365"/>
        <n v="5002"/>
        <n v="5004"/>
        <n v="2367"/>
        <n v="2373"/>
        <n v="2374"/>
        <n v="2375"/>
        <n v="2376"/>
        <n v="2382"/>
        <n v="2380"/>
        <n v="2099"/>
        <s v="RET02"/>
        <s v="RET01"/>
        <s v="RET03"/>
        <n v="2381"/>
      </sharedItems>
    </cacheField>
    <cacheField name="DOB" numFmtId="167">
      <sharedItems containsDate="1" containsMixedTypes="1" minDate="1954-09-15T00:00:00" maxDate="2025-11-07T00:00:00"/>
    </cacheField>
    <cacheField name="UHID" numFmtId="0">
      <sharedItems count="724">
        <s v="ACK.F683A520250005.1"/>
        <s v="ACK.F683A520250005.2"/>
        <s v="ACK.F683A520250002.1"/>
        <s v="ACK.F683A520250003.1"/>
        <s v="ACK.F683A520250003.2"/>
        <s v="ACK.F683A520250003.3"/>
        <s v="ACK.F683A520250003.4"/>
        <s v="ACK.F683A520250006.1"/>
        <s v="ACK.F683A520250006.2"/>
        <s v="ACK.F683A520250006.3"/>
        <s v="ACK.F683A520250006.4"/>
        <s v="ACK.F683A520250004.1"/>
        <s v="ACK.F683A520250004.2"/>
        <s v="ACK.F683A520250004.3"/>
        <s v="ACK.F683A520250010.1"/>
        <s v="ACK.F683A520250010.2"/>
        <s v="ACK.F683A520250010.3"/>
        <s v="ACK.F683A520250010.4"/>
        <s v="ACK.F683A520250007.1"/>
        <s v="ACK.F683A520250007.2"/>
        <s v="ACK.F683A520250007.3"/>
        <s v="ACK.F683A520250008.1"/>
        <s v="ACK.F683A520250008.2"/>
        <s v="ACK.F683A520250008.3"/>
        <s v="ACK.F683A520250009.1"/>
        <s v="ACK.F683A520250009.2"/>
        <s v="ACK.F683A520250011.1"/>
        <s v="ACK.F683A520250011.2"/>
        <s v="ACK.F683A520250011.3"/>
        <s v="ACK.F683A520250011.4"/>
        <s v="ACK.F683A520250012.1"/>
        <s v="ACK.F683A520250012.2"/>
        <s v="ACK.F683A520250013.1"/>
        <s v="ACK.F683A520250013.2"/>
        <s v="ACK.F683A520250013.3"/>
        <s v="ACK.F683A520250014.1"/>
        <s v="ACK.F683A520250014.2"/>
        <s v="ACK.F683A520250014.3"/>
        <s v="ACK.F683A520250014.4"/>
        <s v="ACK.F683A520250015.1"/>
        <s v="ACK.F683A520250015.2"/>
        <s v="ACK.F683A520250015.3"/>
        <s v="ACK.F683A520250015.4"/>
        <s v="ACK.F683A520250016.1"/>
        <s v="ACK.F683A520250016.2"/>
        <s v="ACK.F683A520250016.3"/>
        <s v="ACK.F683A520250016.4"/>
        <s v="ACK.F683A520250017.1"/>
        <s v="ACK.F683A520250017.2"/>
        <s v="ACK.F683A520250018.1"/>
        <s v="ACK.F683A520250018.2"/>
        <s v="ACK.F683A520250019.1"/>
        <s v="ACK.F683A520250021.1"/>
        <s v="ACK.F683A520250021.2"/>
        <s v="ACK.F683A520250021.3"/>
        <s v="ACK.F683A520250020.1"/>
        <s v="ACK.F683A520250020.2"/>
        <s v="ACK.F683A520250020.3"/>
        <s v="ACK.F683A520250022.1"/>
        <s v="ACK.F683A520250022.2"/>
        <s v="ACK.F683A520250022.3"/>
        <s v="ACK.F683A520250023.1"/>
        <s v="ACK.F683A520250023.2"/>
        <s v="ACK.F683A520250023.3"/>
        <s v="ACK.F683A520250023.4"/>
        <s v="ACK.F683A520250024.1"/>
        <s v="ACK.F683A520250024.2"/>
        <s v="ACK.F683A520250024.3"/>
        <s v="ACK.F683A520250024.4"/>
        <s v="ACK.F683A520250026.1"/>
        <s v="ACK.F683A520250026.2"/>
        <s v="ACK.F683A520250026.3"/>
        <s v="ACK.F683A520250026.4"/>
        <s v="ACK.F683A520250025.1"/>
        <s v="ACK.F683A520250025.2"/>
        <s v="ACK.F683A520250025.3"/>
        <s v="ACK.F683A520250029.1"/>
        <s v="ACK.F683A520250029.2"/>
        <s v="ACK.F683A520250029.3"/>
        <s v="ACK.F683A520250029.4"/>
        <s v="ACK.F683A520250030.1"/>
        <s v="ACK.F683A520250030.2"/>
        <s v="ACK.F683A520250030.3"/>
        <s v="ACK.F683A520250030.4"/>
        <s v="ACK.F683A520250027.1"/>
        <s v="ACK.F683A520250027.2"/>
        <s v="ACK.F683A520250027.3"/>
        <s v="ACK.F683A520250027.4"/>
        <s v="ACK.F683A520250031.1"/>
        <s v="ACK.F683A520250031.2"/>
        <s v="ACK.F683A520250031.3"/>
        <s v="ACK.F683A520250031.4"/>
        <s v="ACK.F683A520250028.1"/>
        <s v="ACK.F683A520250028.2"/>
        <s v="ACK.F683A520250028.3"/>
        <s v="ACK.F683A520250033.1"/>
        <s v="ACK.F683A520250033.2"/>
        <s v="ACK.F683A520250033.3"/>
        <s v="ACK.F683A520250032.1"/>
        <s v="ACK.F683A520250036.1"/>
        <s v="ACK.F683A520250036.2"/>
        <s v="ACK.F683A520250036.3"/>
        <s v="ACK.F683A520250036.4"/>
        <s v="ACK.F683A520250034.1"/>
        <s v="ACK.F683A520250034.2"/>
        <s v="ACK.F683A520250035.1"/>
        <s v="ACK.F683A520250035.2"/>
        <s v="ACK.F683A520250035.3"/>
        <s v="ACK.F683A520250037.1"/>
        <s v="ACK.F683A520250037.2"/>
        <s v="ACK.F683A520250037.3"/>
        <s v="ACK.F683A520250037.4"/>
        <s v="ACK.F683A520250038.1"/>
        <s v="ACK.F683A520250038.2"/>
        <s v="ACK.F683A520250039.1"/>
        <s v="ACK.F683A520250039.2"/>
        <s v="ACK.F683A520250039.3"/>
        <s v="ACK.F683A520250039.4"/>
        <s v="ACK.F683A520250041.1"/>
        <s v="ACK.F683A520250041.2"/>
        <s v="ACK.F683A520250041.3"/>
        <s v="ACK.F683A520250041.4"/>
        <s v="ACK.F683A520250040.1"/>
        <s v="ACK.F683A520250040.2"/>
        <s v="ACK.F683A520250042.1"/>
        <s v="ACK.F683A520250042.2"/>
        <s v="ACK.F683A520250042.3"/>
        <s v="ACK.F683A520250043.1"/>
        <s v="ACK.F683A520250043.2"/>
        <s v="ACK.F683A520250043.3"/>
        <s v="ACK.F683A520250043.4"/>
        <s v="ACK.F683A520250044.1"/>
        <s v="ACK.F683A520250044.2"/>
        <s v="ACK.F683A520250044.3"/>
        <s v="ACK.F683A520250044.4"/>
        <s v="ACK.F683A520250045.1"/>
        <s v="ACK.F683A520250045.2"/>
        <s v="ACK.F683A520250045.3"/>
        <s v="ACK.F683A520250045.4"/>
        <s v="ACK.F683A520250046.1"/>
        <s v="ACK.F683A520250046.2"/>
        <s v="ACK.F683A520250046.3"/>
        <s v="ACK.F683A520250046.4"/>
        <s v="ACK.F683A520250047.1"/>
        <s v="ACK.F683A520250047.2"/>
        <s v="ACK.F683A520250047.3"/>
        <s v="ACK.F683A520250047.4"/>
        <s v="ACK.F683A520250048.1"/>
        <s v="ACK.F683A520250048.2"/>
        <s v="ACK.F683A520250048.3"/>
        <s v="ACK.F683A520250048.4"/>
        <s v="ACK.F683A520250049.1"/>
        <s v="ACK.F683A520250049.2"/>
        <s v="ACK.F683A520250050.1"/>
        <s v="ACK.F683A520250050.2"/>
        <s v="ACK.F683A520250050.3"/>
        <s v="ACK.F683A520250050.4"/>
        <s v="ACK.F683A520250051.1"/>
        <s v="ACK.F683A520250051.2"/>
        <s v="ACK.F683A520250053.1"/>
        <s v="ACK.F683A520250053.2"/>
        <s v="ACK.F683A520250053.3"/>
        <s v="ACK.F683A520250053.4"/>
        <s v="ACK.F683A520250052.1"/>
        <s v="ACK.F683A520250054.1"/>
        <s v="ACK.F683A520250054.2"/>
        <s v="ACK.F683A520250054.3"/>
        <s v="ACK.F683A520250054.4"/>
        <s v="ACK.F683A520250055.1"/>
        <s v="ACK.F683A520250055.2"/>
        <s v="ACK.F683A520250055.3"/>
        <s v="ACK.F683A520250055.4"/>
        <s v="ACK.F683A520250057.1"/>
        <s v="ACK.F683A520250057.2"/>
        <s v="ACK.F683A520250057.3"/>
        <s v="ACK.F683A520250057.4"/>
        <s v="ACK.F683A520250056.1"/>
        <s v="ACK.F683A520250059.1"/>
        <s v="ACK.F683A520250059.2"/>
        <s v="ACK.F683A520250059.3"/>
        <s v="ACK.F683A520250059.4"/>
        <s v="ACK.F683A520250058.1"/>
        <s v="ACK.F683A520250058.2"/>
        <s v="ACK.F683A520250058.3"/>
        <s v="ACK.F683A520250058.4"/>
        <s v="ACK.F683A520250060.1"/>
        <s v="ACK.F683A520250060.2"/>
        <s v="ACK.F683A520250061.1"/>
        <s v="ACK.F683A520250061.2"/>
        <s v="ACK.F683A520250062.1"/>
        <s v="ACK.F683A520250062.2"/>
        <s v="ACK.F683A520250063.1"/>
        <s v="ACK.F683A520250063.2"/>
        <s v="ACK.F683A520250063.3"/>
        <s v="ACK.F683A520250065.1"/>
        <s v="ACK.F683A520250065.2"/>
        <s v="ACK.F683A520250065.3"/>
        <s v="ACK.F683A520250065.4"/>
        <s v="ACK.F683A520250064.1"/>
        <s v="ACK.F683A520250064.2"/>
        <s v="ACK.F683A520250064.3"/>
        <s v="ACK.F683A520250064.4"/>
        <s v="ACK.F683A520250066.1"/>
        <s v="ACK.F683A520250066.2"/>
        <s v="ACK.F683A520250066.3"/>
        <s v="ACK.F683A520250066.4"/>
        <s v="ACK.F683A520250067.1"/>
        <s v="ACK.F683A520250067.2"/>
        <s v="ACK.F683A520250067.3"/>
        <s v="ACK.F683A520250067.4"/>
        <s v="ACK.F683A520250068.1"/>
        <s v="ACK.F683A520250068.2"/>
        <s v="ACK.F683A520250068.3"/>
        <s v="ACK.F683A520250068.4"/>
        <s v="ACK.F683A520250069.1"/>
        <s v="ACK.F683A520250069.2"/>
        <s v="ACK.F683A520250069.3"/>
        <s v="ACK.F683A520250070.1"/>
        <s v="ACK.F683A520250070.2"/>
        <s v="ACK.F683A520250070.3"/>
        <s v="ACK.F683A520250071.1"/>
        <s v="ACK.F683A520250071.2"/>
        <s v="ACK.F683A520250072.1"/>
        <s v="ACK.F683A520250072.2"/>
        <s v="ACK.F683A520250074.1"/>
        <s v="ACK.F683A520250074.2"/>
        <s v="ACK.F683A520250074.3"/>
        <s v="ACK.F683A520250073.1"/>
        <s v="ACK.F683A520250075.1"/>
        <s v="ACK.F683A520250075.2"/>
        <s v="ACK.F683A520250075.3"/>
        <s v="ACK.F683A520250076.1"/>
        <s v="ACK.F683A520250076.2"/>
        <s v="ACK.F683A520250076.3"/>
        <s v="ACK.F683A520250076.4"/>
        <s v="ACK.F683A520250077.1"/>
        <s v="ACK.F683A520250077.2"/>
        <s v="ACK.F683A520250077.3"/>
        <s v="ACK.F683A520250078.1"/>
        <s v="ACK.F683A520250078.2"/>
        <s v="ACK.F683A520250078.3"/>
        <s v="ACK.F683A520250079.1"/>
        <s v="ACK.F683A520250079.2"/>
        <s v="ACK.F683A520250079.3"/>
        <s v="ACK.F683A520250079.4"/>
        <s v="ACK.F683A520250080.1"/>
        <s v="ACK.F683A520250080.2"/>
        <s v="ACK.F683A520250080.3"/>
        <s v="ACK.F683A520250081.1"/>
        <s v="ACK.F683A520250081.2"/>
        <s v="ACK.F683A520250081.3"/>
        <s v="ACK.F683A520250081.4"/>
        <s v="ACK.F683A520250082.1"/>
        <s v="ACK.F683A520250082.2"/>
        <s v="ACK.F683A520250082.3"/>
        <s v="ACK.F683A520250083.1"/>
        <s v="ACK.F683A520250083.2"/>
        <s v="ACK.F683A520250083.3"/>
        <s v="ACK.F683A520250085.1"/>
        <s v="ACK.F683A520250085.2"/>
        <s v="ACK.F683A520250085.3"/>
        <s v="ACK.F683A520250085.4"/>
        <s v="ACK.F683A520250084.1"/>
        <s v="ACK.F683A520250084.2"/>
        <s v="ACK.F683A520250084.3"/>
        <s v="ACK.F683A520250084.4"/>
        <s v="ACK.F683A520250086.1"/>
        <s v="ACK.F683A520250086.2"/>
        <s v="ACK.F683A520250086.3"/>
        <s v="ACK.F683A520250087.1"/>
        <s v="ACK.F683A520250087.2"/>
        <s v="ACK.F683A520250087.3"/>
        <s v="ACK.F683A520250087.4"/>
        <s v="ACK.F683A520250088.1"/>
        <s v="ACK.F683A520250088.2"/>
        <s v="ACK.F683A520250088.3"/>
        <s v="ACK.F683A520250089.1"/>
        <s v="ACK.F683A520250089.2"/>
        <s v="ACK.F683A520250089.3"/>
        <s v="ACK.F683A520250089.4"/>
        <s v="ACK.F683A520250233.1"/>
        <s v="ACK.F683A520250233.2"/>
        <s v="ACK.F683A520250233.3"/>
        <s v="ACK.F683A520250233.4"/>
        <s v="ACK.F683A520250091.1"/>
        <s v="ACK.F683A520250091.2"/>
        <s v="ACK.F683A520250091.3"/>
        <s v="ACK.F683A520250091.4"/>
        <s v="ACK.F683A520250090.1"/>
        <s v="ACK.F683A520250090.2"/>
        <s v="ACK.F683A520250090.3"/>
        <s v="ACK.F683A520250090.4"/>
        <s v="ACK.F683A520250093.1"/>
        <s v="ACK.F683A520250093.2"/>
        <s v="ACK.F683A520250093.3"/>
        <s v="ACK.F683A520250093.4"/>
        <s v="ACK.F683A520250092.1"/>
        <s v="ACK.F683A520250092.2"/>
        <s v="ACK.F683A520250095.1"/>
        <s v="ACK.F683A520250095.2"/>
        <s v="ACK.F683A520250095.3"/>
        <s v="ACK.F683A520250094.1"/>
        <s v="ACK.F683A520250094.2"/>
        <s v="ACK.F683A520250094.3"/>
        <s v="ACK.F683A520250094.4"/>
        <s v="ACK.F683A520250096.1"/>
        <s v="ACK.F683A520250096.2"/>
        <s v="ACK.F683A520250096.3"/>
        <s v="ACK.F683A520250096.4"/>
        <s v="ACK.F683A520250098.1"/>
        <s v="ACK.F683A520250098.2"/>
        <s v="ACK.F683A520250098.3"/>
        <s v="ACK.F683A520250097.1"/>
        <s v="ACK.F683A520250099.1"/>
        <s v="ACK.F683A520250099.2"/>
        <s v="ACK.F683A520250099.3"/>
        <s v="ACK.F683A520250102.1"/>
        <s v="ACK.F683A520250102.2"/>
        <s v="ACK.F683A520250100.1"/>
        <s v="ACK.F683A520250100.2"/>
        <s v="ACK.F683A520250101.1"/>
        <s v="ACK.F683A520250101.2"/>
        <s v="ACK.F683A520250101.3"/>
        <s v="ACK.F683A520250103.1"/>
        <s v="ACK.F683A520250103.2"/>
        <s v="ACK.F683A520250103.3"/>
        <s v="ACK.F683A520250103.4"/>
        <s v="ACK.F683A520250104.1"/>
        <s v="ACK.F683A520250104.2"/>
        <s v="ACK.F683A520250104.3"/>
        <s v="ACK.F683A520250104.4"/>
        <s v="ACK.F683A520250105.1"/>
        <s v="ACK.F683A520250105.2"/>
        <s v="ACK.F683A520250105.3"/>
        <s v="ACK.F683A520250105.4"/>
        <s v="ACK.F683A520250106.1"/>
        <s v="ACK.F683A520250106.2"/>
        <s v="ACK.F683A520250106.3"/>
        <s v="ACK.F683A520250106.4"/>
        <s v="ACK.F683A520250107.1"/>
        <s v="ACK.F683A520250107.2"/>
        <s v="ACK.F683A520250107.3"/>
        <s v="ACK.F683A520250107.4"/>
        <s v="ACK.F683A520250108.1"/>
        <s v="ACK.F683A520250108.2"/>
        <s v="ACK.F683A520250108.3"/>
        <s v="ACK.F683A520250108.4"/>
        <s v="ACK.F683A520250110.1"/>
        <s v="ACK.F683A520250110.2"/>
        <s v="ACK.F683A520250110.3"/>
        <s v="ACK.F683A520250110.4"/>
        <s v="ACK.F683A520250112.1"/>
        <s v="ACK.F683A520250112.2"/>
        <s v="ACK.F683A520250112.3"/>
        <s v="ACK.F683A520250112.4"/>
        <s v="ACK.F683A520250109.1"/>
        <s v="ACK.F683A520250109.2"/>
        <s v="ACK.F683A520250109.3"/>
        <s v="ACK.F683A520250111.1"/>
        <s v="ACK.F683A520250113.1"/>
        <s v="ACK.F683A520250113.2"/>
        <s v="ACK.F683A520250113.3"/>
        <s v="ACK.F683A520250113.4"/>
        <s v="ACK.F683A520250114.1"/>
        <s v="ACK.F683A520250114.2"/>
        <s v="ACK.F683A520250115.1"/>
        <s v="ACK.F683A520250115.2"/>
        <s v="ACK.F683A520250115.3"/>
        <s v="ACK.F683A520250116.1"/>
        <s v="ACK.F683A520250116.2"/>
        <s v="ACK.F683A520250116.3"/>
        <s v="ACK.F683A520250116.4"/>
        <s v="ACK.F683A520250117.1"/>
        <s v="ACK.F683A520250117.2"/>
        <s v="ACK.F683A520250117.3"/>
        <s v="ACK.F683A520250117.4"/>
        <s v="ACK.F683A520250118.1"/>
        <s v="ACK.F683A520250118.2"/>
        <s v="ACK.F683A520250118.3"/>
        <s v="ACK.F683A520250119.1"/>
        <s v="ACK.F683A520250119.2"/>
        <s v="ACK.F683A520250119.3"/>
        <s v="ACK.F683A520250119.4"/>
        <s v="ACK.F683A520250121.1"/>
        <s v="ACK.F683A520250121.2"/>
        <s v="ACK.F683A520250121.3"/>
        <s v="ACK.F683A520250120.1"/>
        <s v="ACK.F683A520250120.2"/>
        <s v="ACK.F683A520250120.3"/>
        <s v="ACK.F683A520250122.1"/>
        <s v="ACK.F683A520250122.2"/>
        <s v="ACK.F683A520250122.3"/>
        <s v="ACK.F683A520250122.4"/>
        <s v="ACK.F683A520250123.1"/>
        <s v="ACK.F683A520250123.2"/>
        <s v="ACK.F683A520250123.3"/>
        <s v="ACK.F683A520250124.1"/>
        <s v="ACK.F683A520250124.2"/>
        <s v="ACK.F683A520250127.1"/>
        <s v="ACK.F683A520250127.2"/>
        <s v="ACK.F683A520250127.3"/>
        <s v="ACK.F683A520250126.1"/>
        <s v="ACK.F683A520250126.2"/>
        <s v="ACK.F683A520250126.3"/>
        <s v="ACK.F683A520250125.1"/>
        <s v="ACK.F683A520250125.2"/>
        <s v="ACK.F683A520250128.1"/>
        <s v="ACK.F683A520250128.2"/>
        <s v="ACK.F683A520250128.3"/>
        <s v="ACK.F683A520250130.1"/>
        <s v="ACK.F683A520250130.2"/>
        <s v="ACK.F683A520250130.3"/>
        <s v="ACK.F683A520250131.1"/>
        <s v="ACK.F683A520250131.2"/>
        <s v="ACK.F683A520250131.3"/>
        <s v="ACK.F683A520250129.1"/>
        <s v="ACK.F683A520250129.2"/>
        <s v="ACK.F683A520250136.1"/>
        <s v="ACK.F683A520250136.2"/>
        <s v="ACK.F683A520250136.3"/>
        <s v="ACK.F683A520250136.4"/>
        <s v="ACK.F683A520250132.1"/>
        <s v="ACK.F683A520250132.2"/>
        <s v="ACK.F683A520250132.3"/>
        <s v="ACK.F683A520250132.4"/>
        <s v="ACK.F683A520250134.1"/>
        <s v="ACK.F683A520250135.1"/>
        <s v="ACK.F683A520250133.1"/>
        <s v="ACK.F683A520250138.1"/>
        <s v="ACK.F683A520250138.2"/>
        <s v="ACK.F683A520250137.1"/>
        <s v="ACK.F683A520250137.2"/>
        <s v="ACK.F683A520250137.3"/>
        <s v="ACK.F683A520250139.1"/>
        <s v="ACK.F683A520250139.2"/>
        <s v="ACK.F683A520250139.3"/>
        <s v="ACK.F683A520250140.1"/>
        <s v="ACK.F683A520250140.2"/>
        <s v="ACK.F683A520250140.3"/>
        <s v="ACK.F683A520250143.1"/>
        <s v="ACK.F683A520250143.2"/>
        <s v="ACK.F683A520250143.3"/>
        <s v="ACK.F683A520250144.1"/>
        <s v="ACK.F683A520250144.2"/>
        <s v="ACK.F683A520250144.3"/>
        <s v="ACK.F683A520250145.1"/>
        <s v="ACK.F683A520250145.2"/>
        <s v="ACK.F683A520250145.3"/>
        <s v="ACK.F683A520250146.1"/>
        <s v="ACK.F683A520250146.2"/>
        <s v="ACK.F683A520250146.3"/>
        <s v="ACK.F683A520250148.1"/>
        <s v="ACK.F683A520250150.1"/>
        <s v="ACK.F683A520250150.2"/>
        <s v="ACK.F683A520250150.3"/>
        <s v="ACK.F683A520250149.1"/>
        <s v="ACK.F683A520250151.1"/>
        <s v="ACK.F683A520250152.1"/>
        <s v="ACK.F683A520250155.1"/>
        <s v="ACK.F683A520250155.2"/>
        <s v="ACK.F683A520250155.3"/>
        <s v="ACK.F683A520250155.4"/>
        <s v="ACK.F683A520250154.1"/>
        <s v="ACK.F683A520250153.1"/>
        <s v="ACK.F683A520250156.1"/>
        <s v="ACK.F683A520250156.2"/>
        <s v="ACK.F683A520250156.3"/>
        <s v="ACK.F683A520250156.4"/>
        <s v="ACK.F683A520250157.1"/>
        <s v="ACK.F683A520250159.1"/>
        <s v="ACK.F683A520250159.2"/>
        <s v="ACK.F683A520250159.3"/>
        <s v="ACK.F683A520250160.1"/>
        <s v="ACK.F683A520250161.1"/>
        <s v="ACK.F683A520250162.1"/>
        <s v="ACK.F683A520250163.1"/>
        <s v="ACK.F683A520250164.1"/>
        <s v="ACK.F683A520250164.2"/>
        <s v="ACK.F683A520250164.3"/>
        <s v="ACK.F683A520250164.4"/>
        <s v="ACK.F683A520250165.1"/>
        <s v="ACK.F683A520250165.2"/>
        <s v="ACK.F683A520250165.3"/>
        <s v="ACK.F683A520250166.1"/>
        <s v="ACK.F683A520250166.2"/>
        <s v="ACK.F683A520250166.3"/>
        <s v="ACK.F683A520250167.1"/>
        <s v="ACK.F683A520250167.2"/>
        <s v="ACK.F683A520250167.3"/>
        <s v="ACK.F683A520250168.1"/>
        <s v="ACK.F683A520250168.2"/>
        <s v="ACK.F683A520250168.3"/>
        <s v="ACK.F683A520250169.1"/>
        <s v="ACK.F683A520250171.1"/>
        <s v="ACK.F683A520250171.2"/>
        <s v="ACK.F683A520250172.1"/>
        <s v="ACK.F683A520250173.1"/>
        <s v="ACK.F683A520250175.1"/>
        <s v="ACK.F683A520250175.2"/>
        <s v="ACK.F683A520250175.3"/>
        <s v="ACK.F683A520250174.1"/>
        <s v="ACK.F683A520250174.2"/>
        <s v="ACK.F683A520250174.3"/>
        <s v="ACK.F683A520250178.1"/>
        <s v="ACK.F683A520250178.2"/>
        <s v="ACK.F683A520250178.3"/>
        <s v="ACK.F683A520250176.1"/>
        <s v="ACK.F683A520250177.1"/>
        <s v="ACK.F683A520250179.1"/>
        <s v="ACK.F683A520250180.1"/>
        <s v="ACK.F683A520250180.2"/>
        <s v="ACK.F683A520250180.3"/>
        <s v="ACK.F683A520250181.1"/>
        <s v="ACK.F683A520250181.2"/>
        <s v="ACK.F683A520250181.3"/>
        <s v="ACK.F683A520250181.4"/>
        <s v="ACK.F683A520250182.1"/>
        <s v="ACK.F683A520250182.2"/>
        <s v="ACK.F683A520250182.3"/>
        <s v="ACK.F683A520250182.4"/>
        <s v="ACK.F683A520250183.1"/>
        <s v="ACK.F683A520250183.2"/>
        <s v="ACK.F683A520250183.3"/>
        <s v="ACK.F683A520250184.1"/>
        <s v="ACK.F683A520250184.2"/>
        <s v="ACK.F683A520250184.3"/>
        <s v="ACK.F683A520250185.1"/>
        <s v="ACK.F683A520250186.1"/>
        <s v="ACK.F683A520250186.2"/>
        <s v="ACK.F683A520250186.3"/>
        <s v="ACK.F683A520250187.1"/>
        <s v="ACK.F683A520250187.2"/>
        <s v="ACK.F683A520250189.1"/>
        <s v="ACK.F683A520250189.2"/>
        <s v="ACK.F683A520250189.3"/>
        <s v="ACK.F683A520250189.4"/>
        <s v="ACK.F683A520250188.1"/>
        <s v="ACK.F683A520250190.1"/>
        <s v="ACK.F683A520250190.2"/>
        <s v="ACK.F683A520250190.3"/>
        <s v="ACK.F683A520250190.4"/>
        <s v="ACK.F683A520250191.1"/>
        <s v="ACK.F683A520250191.2"/>
        <s v="ACK.F683A520250191.3"/>
        <s v="ACK.F683A520250191.4"/>
        <s v="ACK.F683A520250192.1"/>
        <s v="ACK.F683A520250192.2"/>
        <s v="ACK.F683A520250192.3"/>
        <s v="ACK.F683A520250193.1"/>
        <s v="ACK.F683A520250193.2"/>
        <s v="ACK.F683A520250193.3"/>
        <s v="ACK.F683A520250194.1"/>
        <s v="ACK.F683A520250194.2"/>
        <s v="ACK.F683A520250194.3"/>
        <s v="ACK.F683A520250195.1"/>
        <s v="ACK.F683A520250195.2"/>
        <s v="ACK.F683A520250195.3"/>
        <s v="ACK.F683A520250198.1"/>
        <s v="ACK.F683A520250199.1"/>
        <s v="ACK.F683A520250201.1"/>
        <s v="ACK.F683A520250201.2"/>
        <s v="ACK.F683A520250201.3"/>
        <s v="ACK.F683A520250201.4"/>
        <s v="ACK.F683A520250200.1"/>
        <s v="ACK.F683A520250200.2"/>
        <s v="ACK.F683A520250200.3"/>
        <s v="ACK.F683A520250200.4"/>
        <s v="ACK.F683A520250203.1"/>
        <s v="ACK.F683A520250203.2"/>
        <s v="ACK.F683A520250203.3"/>
        <s v="ACK.F683A520250203.4"/>
        <s v="ACK.F683A520250202.1"/>
        <s v="ACK.F683A520250225.1"/>
        <s v="ACK.F683A520250225.2"/>
        <s v="ACK.F683A520250225.3"/>
        <s v="ACK.F683A520250225.4"/>
        <s v="ACK.F683A520250228.1"/>
        <s v="ACK.F683A520250228.2"/>
        <s v="ACK.F683A520250228.3"/>
        <s v="ACK.F683A520250228.4"/>
        <s v="ACK.F683A520250226.1"/>
        <s v="ACK.F683A520250226.2"/>
        <s v="ACK.F683A520250226.3"/>
        <s v="ACK.F683A520250229.1"/>
        <s v="ACK.F683A520250229.2"/>
        <s v="ACK.F683A520250229.3"/>
        <s v="ACK.F683A520250229.4"/>
        <s v="ACK.F683A520250227.1"/>
        <s v="ACK.F683A520250230.1"/>
        <s v="ACK.F683A520250230.2"/>
        <s v="ACK.F683A520250231.1"/>
        <s v="ACK.F683A520250232.1"/>
        <s v="ACK.F683A520250232.2"/>
        <s v="ACK.F683A520250232.3"/>
        <s v="ACK.F683A520250207.1"/>
        <s v="ACK.F683A520250207.2"/>
        <s v="ACK.F683A520250204.1"/>
        <s v="ACK.F683A520250204.2"/>
        <s v="ACK.F683A520250204.3"/>
        <s v="ACK.F683A520250204.4"/>
        <s v="ACK.F683A520250141.1"/>
        <s v="ACK.F683A520250141.2"/>
        <s v="ACK.F683A520250141.3"/>
        <s v="ACK.F683A520250147.1"/>
        <s v="ACK.F683A520250147.2"/>
        <s v="ACK.F683A520250215.1"/>
        <s v="ACK.F683A520250215.2"/>
        <s v="ACK.F683A520250215.3"/>
        <s v="ACK.F683A520250215.4"/>
        <s v="ACK.F683A520250216.1"/>
        <s v="ACK.F683A520250216.2"/>
        <s v="ACK.F683A520250216.3"/>
        <s v="ACK.F683A520250216.4"/>
        <s v="ACK.F683A520250217.1"/>
        <s v="ACK.F683A520250142.1"/>
        <s v="ACK.F683A520250213.1"/>
        <s v="ACK.F683A520250213.2"/>
        <s v="ACK.F683A520250213.3"/>
        <s v="ACK.F683A520250213.4"/>
        <s v="ACK.F683A520250209.1"/>
        <s v="ACK.F683A520250158.1"/>
        <s v="ACK.F683A520250219.1"/>
        <s v="ACK.F683A520250220.1"/>
        <s v="ACK.F683A520250221.1"/>
        <s v="ACK.F683A520250221.2"/>
        <s v="ACK.F683A520250221.3"/>
        <s v="ACK.F683A520250224.1"/>
        <s v="ACK.F683A520250224.2"/>
        <s v="ACK.F683A520250223.1"/>
        <s v="ACK.F683A520250223.2"/>
        <s v="ACK.F683A520250223.3"/>
        <s v="ACK.F683A520250170.1"/>
        <s v="ACK.F683A520250197.1"/>
        <s v="ACK.F683A520250196.1"/>
        <s v="ACK.F683A520250205.1"/>
        <s v="ACK.F683A520250208.1"/>
        <s v="ACK.F683A520250208.2"/>
        <s v="ACK.F683A520250208.3"/>
        <s v="ACK.F683A520250206.1"/>
        <s v="ACK.F683A520250210.1"/>
        <s v="ACK.F683A520250211.1"/>
        <s v="ACK.F683A520250212.1"/>
        <s v="ACK.F683A520250214.1"/>
        <s v="ACK.F683A520250218.1"/>
        <s v="ACK.F683A520250222.1"/>
        <s v="ACK.F683A520250238.1"/>
        <s v="ACK.F683A520250238.2"/>
        <s v="ACK.F683A520250238.3"/>
        <s v="ACK.F683A520250238.4"/>
        <s v="ACK.F683A520250237.1"/>
        <s v="ACK.F683A520250237.2"/>
        <s v="ACK.F683A520250237.3"/>
        <s v="ACK.F683A520250235.1"/>
        <s v="ACK.F683A520250235.2"/>
        <s v="ACK.F683A520250235.3"/>
        <s v="ACK.F683A520250236.1"/>
        <s v="ACK.F683A520250236.2"/>
        <s v="ACK.F683A520250236.3"/>
        <s v="ACK.F683A520250234.1"/>
        <s v="ACK.F683A520250231.2"/>
        <s v="ACK.F683A520250240.1"/>
        <s v="ACK.F683A520250240.2"/>
        <s v="ACK.F683A520250240.3"/>
        <s v="ACK.F683A520250241.1"/>
        <s v="ACK.F683A520250241.2"/>
        <s v="ACK.F683A520250241.3"/>
        <s v="ACK.F683A520250241.4"/>
        <s v="ACK.F683A520250239.1"/>
        <s v="ACK.F683A520250242.1"/>
        <s v="ACK.F683A520250242.2"/>
        <s v="ACK.F683A520250242.3"/>
        <s v="ACK.F683A520250242.4"/>
        <s v="ACK.F683A520250247.1"/>
        <s v="ACK.F683A520250247.2"/>
        <s v="ACK.F683A520250247.3"/>
        <s v="ACK.F683A520250247.4"/>
        <s v="ACK.F683A520250243.1"/>
        <s v="ACK.F683A520250245.1"/>
        <s v="ACK.F683A520250244.1"/>
        <s v="ACK.F683A520250244.2"/>
        <s v="ACK.F683A520250248.1"/>
        <s v="ACK.F683A520250246.1"/>
        <s v="ACK.F683A520250246.2"/>
        <s v="ACK.F683A520250246.3"/>
        <s v="ACK.F683A520250246.4"/>
        <s v="ACK.F683A520250077.4"/>
        <s v="ACK.F683A520250249.1"/>
        <s v="ACK.F683A520250250.1"/>
        <s v="ACK.F683A520250251.1"/>
        <s v="ACK.F683A520250251.2"/>
        <s v="ACK.F683A520250253.1"/>
        <s v="ACK.F683A520250253.2"/>
        <s v="ACK.F683A520250253.3"/>
        <s v="ACK.F683A520250253.4"/>
        <s v="ACK.F683A520250252.1"/>
        <s v="ACK.F683A520250143.4"/>
        <s v="ACK.F683A520250256.1"/>
        <s v="ACK.F683A520250256.2"/>
        <s v="ACK.F683A520250256.3"/>
        <s v="ACK.F683A520250256.4"/>
        <s v="ACK.F683A520250255.1"/>
        <s v="ACK.F683A520250255.2"/>
        <s v="ACK.F683A520250255.3"/>
        <s v="ACK.F683A520250255.4"/>
        <s v="ACK.F683A520250254.1"/>
        <s v="ACK.F683A520250257.1"/>
        <s v="ACK.F683A520250258.1"/>
        <s v="ACK.F683A520250258.2"/>
        <s v="ACK.F683A520250259.1"/>
        <s v="ACK.F683A520250259.2"/>
        <s v="ACK.F683A520250259.3"/>
        <s v="ACK.F683A520250259.4"/>
        <s v="ACK.F683A520250259.5"/>
        <s v="ACK.F683A520250260.1"/>
        <s v="ACK.F683A520250260.2"/>
        <s v="ACK.F683A520250261.1"/>
        <s v="ACK.F683A520250261.2"/>
        <s v="ACK.F683A520250261.3"/>
        <s v="ACK.F683A520250262.1"/>
        <s v="ACK.F683A520250262.2"/>
        <s v="ACK.F683A520250262.3"/>
        <s v="ACK.F683A520250262.4"/>
        <s v="ACK.F683A520250263.1"/>
        <s v="ACK.F683A520250263.2"/>
      </sharedItems>
    </cacheField>
    <cacheField name="Policy Risk Start Date" numFmtId="167">
      <sharedItems containsSemiMixedTypes="0" containsNonDate="0" containsDate="1" containsString="0" minDate="2025-06-10T00:00:00" maxDate="2026-01-26T00:00:00"/>
    </cacheField>
    <cacheField name="Ri Obligatory" numFmtId="9">
      <sharedItems containsSemiMixedTypes="0" containsString="0" containsNumber="1" minValue="0.04" maxValue="0.04"/>
    </cacheField>
    <cacheField name="RI Quota" numFmtId="10">
      <sharedItems containsSemiMixedTypes="0" containsString="0" containsNumber="1" minValue="0.22500000000000001" maxValue="0.22500000000000001"/>
    </cacheField>
    <cacheField name="Risk Start Date" numFmtId="167">
      <sharedItems containsSemiMixedTypes="0" containsNonDate="0" containsDate="1" containsString="0" minDate="2025-06-10T00:00:00" maxDate="2026-01-26T00:00:00"/>
    </cacheField>
    <cacheField name="Risk End Date" numFmtId="167">
      <sharedItems containsSemiMixedTypes="0" containsNonDate="0" containsDate="1" containsString="0" minDate="2026-06-09T00:00:00" maxDate="2026-06-10T00:00:00"/>
    </cacheField>
    <cacheField name="Last Working Day" numFmtId="167">
      <sharedItems containsNonDate="0" containsDate="1" containsString="0" containsBlank="1" minDate="2025-07-31T00:00:00" maxDate="2026-02-01T00:00:00"/>
    </cacheField>
    <cacheField name="Reversal Date" numFmtId="167">
      <sharedItems containsNonDate="0" containsDate="1" containsString="0" containsBlank="1" minDate="2025-08-01T00:00:00" maxDate="2026-02-02T00:00:00"/>
    </cacheField>
    <cacheField name="Age" numFmtId="1">
      <sharedItems containsSemiMixedTypes="0" containsString="0" containsNumber="1" containsInteger="1" minValue="0" maxValue="70"/>
    </cacheField>
    <cacheField name="Age Band" numFmtId="167">
      <sharedItems/>
    </cacheField>
    <cacheField name="Gender" numFmtId="14">
      <sharedItems count="2">
        <s v="Male"/>
        <s v="Female"/>
      </sharedItems>
    </cacheField>
    <cacheField name="Relationship" numFmtId="0">
      <sharedItems count="4">
        <s v="Self"/>
        <s v="Spouse"/>
        <s v="Son"/>
        <s v="Daughter"/>
      </sharedItems>
    </cacheField>
    <cacheField name="Sum Insured" numFmtId="0">
      <sharedItems containsSemiMixedTypes="0" containsString="0" containsNumber="1" containsInteger="1" minValue="-300000" maxValue="1000000"/>
    </cacheField>
    <cacheField name="Reporting Sum Insured" numFmtId="3">
      <sharedItems containsSemiMixedTypes="0" containsString="0" containsNumber="1" containsInteger="1" minValue="-300000" maxValue="1000000"/>
    </cacheField>
    <cacheField name="No of Policies" numFmtId="165">
      <sharedItems containsSemiMixedTypes="0" containsString="0" containsNumber="1" containsInteger="1" minValue="-1" maxValue="1"/>
    </cacheField>
    <cacheField name="Risk Days" numFmtId="164">
      <sharedItems containsSemiMixedTypes="0" containsString="0" containsNumber="1" containsInteger="1" minValue="129" maxValue="365"/>
    </cacheField>
    <cacheField name="Base Date" numFmtId="14">
      <sharedItems containsSemiMixedTypes="0" containsNonDate="0" containsDate="1" containsString="0" minDate="2026-02-28T00:00:00" maxDate="2026-03-01T00:00:00"/>
    </cacheField>
    <cacheField name="Used" numFmtId="164">
      <sharedItems containsSemiMixedTypes="0" containsString="0" containsNumber="1" containsInteger="1" minValue="28" maxValue="264"/>
    </cacheField>
    <cacheField name="State" numFmtId="0">
      <sharedItems/>
    </cacheField>
    <cacheField name="Gross Premium " numFmtId="164">
      <sharedItems containsSemiMixedTypes="0" containsString="0" containsNumber="1" minValue="-7879.7199452054792" maxValue="64504.381400000013"/>
    </cacheField>
    <cacheField name="No of Person Cover Per Day" numFmtId="164">
      <sharedItems containsSemiMixedTypes="0" containsString="0" containsNumber="1" containsInteger="1" minValue="-1" maxValue="1"/>
    </cacheField>
    <cacheField name="GWP " numFmtId="164">
      <sharedItems containsSemiMixedTypes="0" containsString="0" containsNumber="1" minValue="-6677.728767123288" maxValue="54664.73000000001"/>
    </cacheField>
    <cacheField name="SGST/UGST" numFmtId="164">
      <sharedItems containsSemiMixedTypes="0" containsString="0" containsNumber="1" containsInteger="1" minValue="0" maxValue="0"/>
    </cacheField>
    <cacheField name="CGST" numFmtId="164">
      <sharedItems containsSemiMixedTypes="0" containsString="0" containsNumber="1" containsInteger="1" minValue="0" maxValue="0"/>
    </cacheField>
    <cacheField name="IGST" numFmtId="164">
      <sharedItems containsSemiMixedTypes="0" containsString="0" containsNumber="1" minValue="-1201.9911780821917" maxValue="9839.6514000000006"/>
    </cacheField>
    <cacheField name="Reinsurance Premium -Obligatory" numFmtId="164">
      <sharedItems containsSemiMixedTypes="0" containsString="0" containsNumber="1" minValue="-267.10915068493154" maxValue="2186.5892000000003"/>
    </cacheField>
    <cacheField name="Reinsurance Premium -Quota" numFmtId="164">
      <sharedItems containsSemiMixedTypes="0" containsString="0" containsNumber="1" minValue="-1502.4889726027398" maxValue="12299.564250000003"/>
    </cacheField>
    <cacheField name="GEP" numFmtId="164">
      <sharedItems containsSemiMixedTypes="0" containsString="0" containsNumber="1" minValue="-4429.5600821917806" maxValue="39538.325260273981"/>
    </cacheField>
    <cacheField name="NEP" numFmtId="164">
      <sharedItems containsSemiMixedTypes="0" containsString="0" containsNumber="1" minValue="-3255.7266604109586" maxValue="29060.669066301376"/>
    </cacheField>
    <cacheField name="NURR" numFmtId="164">
      <sharedItems containsSemiMixedTypes="0" containsString="0" containsNumber="1" minValue="-1652.403983424658" maxValue="11117.907483698629"/>
    </cacheField>
    <cacheField name="Unexpired Premium Date" numFmtId="14">
      <sharedItems containsSemiMixedTypes="0" containsNonDate="0" containsDate="1" containsString="0" minDate="2025-02-27T00:00:00" maxDate="2025-02-28T00:00:00"/>
    </cacheField>
    <cacheField name="Unexpired Premium" numFmtId="164">
      <sharedItems containsSemiMixedTypes="0" containsString="0" containsNumber="1" minValue="-6677.728767123288" maxValue="54664.73000000001"/>
    </cacheField>
    <cacheField name="Claim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0">
  <r>
    <s v="Valid"/>
    <n v="202506"/>
    <s v="GMC021090100AV"/>
    <s v="A V GLOBAL CORPORATION PRIVATE LIMITED"/>
    <d v="2025-06-10T00:00:00"/>
    <d v="2026-06-09T00:00:00"/>
    <s v="Vijay Mehta"/>
    <x v="0"/>
    <d v="1955-08-22T00:00:00"/>
    <x v="0"/>
    <d v="2025-06-10T00:00:00"/>
    <n v="0.04"/>
    <n v="0.22500000000000001"/>
    <d v="2025-06-10T00:00:00"/>
    <d v="2026-06-09T00:00:00"/>
    <m/>
    <m/>
    <n v="69"/>
    <s v="66-70"/>
    <x v="0"/>
    <x v="0"/>
    <n v="1000000"/>
    <n v="1000000"/>
    <n v="1"/>
    <n v="365"/>
    <d v="2026-02-28T00:00:00"/>
    <n v="264"/>
    <s v="Delhi"/>
    <n v="64504.381400000013"/>
    <n v="1"/>
    <n v="54664.73000000001"/>
    <n v="0"/>
    <n v="0"/>
    <n v="9839.6514000000006"/>
    <n v="2186.5892000000003"/>
    <n v="12299.564250000003"/>
    <n v="39538.325260273981"/>
    <n v="29060.669066301376"/>
    <n v="11117.907483698629"/>
    <d v="2025-02-27T00:00:00"/>
    <n v="54664.73000000001"/>
    <m/>
  </r>
  <r>
    <s v="Valid"/>
    <n v="202506"/>
    <s v="GMC021090100AV"/>
    <s v="A V GLOBAL CORPORATION PRIVATE LIMITED"/>
    <d v="2025-06-10T00:00:00"/>
    <d v="2026-06-09T00:00:00"/>
    <s v="Geeta Mehta"/>
    <x v="0"/>
    <d v="1962-03-12T00:00:00"/>
    <x v="1"/>
    <d v="2025-06-10T00:00:00"/>
    <n v="0.04"/>
    <n v="0.22500000000000001"/>
    <d v="2025-06-10T00:00:00"/>
    <d v="2026-06-09T00:00:00"/>
    <m/>
    <m/>
    <n v="63"/>
    <s v="56-65"/>
    <x v="1"/>
    <x v="1"/>
    <n v="1000000"/>
    <n v="0"/>
    <n v="0"/>
    <n v="365"/>
    <d v="2026-02-28T00:00:00"/>
    <n v="264"/>
    <s v="Delhi"/>
    <n v="30696.578999999998"/>
    <n v="1"/>
    <n v="26014.05"/>
    <n v="0"/>
    <n v="0"/>
    <n v="4682.5289999999995"/>
    <n v="1040.5619999999999"/>
    <n v="5853.1612500000001"/>
    <n v="18815.641643835617"/>
    <n v="13829.496608219179"/>
    <n v="5290.8301417808188"/>
    <d v="2025-02-27T00:00:00"/>
    <n v="26014.05"/>
    <m/>
  </r>
  <r>
    <s v="Valid"/>
    <n v="202506"/>
    <s v="GMC021090100AV"/>
    <s v="A V GLOBAL CORPORATION PRIVATE LIMITED"/>
    <d v="2025-06-10T00:00:00"/>
    <d v="2026-06-09T00:00:00"/>
    <s v="Ashok Kumar Mehta"/>
    <x v="1"/>
    <d v="1954-09-15T00:00:00"/>
    <x v="2"/>
    <d v="2025-06-10T00:00:00"/>
    <n v="0.04"/>
    <n v="0.22500000000000001"/>
    <d v="2025-06-10T00:00:00"/>
    <d v="2026-06-09T00:00:00"/>
    <m/>
    <m/>
    <n v="70"/>
    <s v="66-70"/>
    <x v="0"/>
    <x v="0"/>
    <n v="1000000"/>
    <n v="1000000"/>
    <n v="1"/>
    <n v="365"/>
    <d v="2026-02-28T00:00:00"/>
    <n v="264"/>
    <s v="Delhi"/>
    <n v="64504.381400000013"/>
    <n v="1"/>
    <n v="54664.73000000001"/>
    <n v="0"/>
    <n v="0"/>
    <n v="9839.6514000000006"/>
    <n v="2186.5892000000003"/>
    <n v="12299.564250000003"/>
    <n v="39538.325260273981"/>
    <n v="29060.669066301376"/>
    <n v="11117.907483698629"/>
    <d v="2025-02-27T00:00:00"/>
    <n v="54664.73000000001"/>
    <m/>
  </r>
  <r>
    <s v="Valid"/>
    <n v="202506"/>
    <s v="GMC021090100AV"/>
    <s v="A V GLOBAL CORPORATION PRIVATE LIMITED"/>
    <d v="2025-06-10T00:00:00"/>
    <d v="2026-06-09T00:00:00"/>
    <s v="Ratnesh Kumar Jha"/>
    <x v="2"/>
    <d v="1977-03-01T00:00:00"/>
    <x v="3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shwani Kumar Jha"/>
    <x v="2"/>
    <d v="2004-11-06T00:00:00"/>
    <x v="4"/>
    <d v="2025-06-10T00:00:00"/>
    <n v="0.04"/>
    <n v="0.22500000000000001"/>
    <d v="2025-06-10T00:00:00"/>
    <d v="2026-06-09T00:00:00"/>
    <m/>
    <m/>
    <n v="2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kit Kumar Jha"/>
    <x v="2"/>
    <d v="2008-10-02T00:00:00"/>
    <x v="5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udiya Jha"/>
    <x v="2"/>
    <d v="1985-06-17T00:00:00"/>
    <x v="6"/>
    <d v="2025-06-10T00:00:00"/>
    <n v="0.04"/>
    <n v="0.22500000000000001"/>
    <d v="2025-06-10T00:00:00"/>
    <d v="2026-06-09T00:00:00"/>
    <m/>
    <m/>
    <n v="39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itesh Ranjan"/>
    <x v="3"/>
    <d v="1976-03-01T00:00:00"/>
    <x v="7"/>
    <d v="2025-06-10T00:00:00"/>
    <n v="0.04"/>
    <n v="0.22500000000000001"/>
    <d v="2025-06-10T00:00:00"/>
    <d v="2026-06-09T00:00:00"/>
    <m/>
    <m/>
    <n v="49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Neetu Singh"/>
    <x v="3"/>
    <d v="1984-02-10T00:00:00"/>
    <x v="8"/>
    <d v="2025-06-10T00:00:00"/>
    <n v="0.04"/>
    <n v="0.22500000000000001"/>
    <d v="2025-06-10T00:00:00"/>
    <d v="2026-06-09T00:00:00"/>
    <m/>
    <m/>
    <n v="41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anshika Singh"/>
    <x v="3"/>
    <d v="2006-02-09T00:00:00"/>
    <x v="9"/>
    <d v="2025-06-10T00:00:00"/>
    <n v="0.04"/>
    <n v="0.22500000000000001"/>
    <d v="2025-06-10T00:00:00"/>
    <d v="2026-06-09T00:00:00"/>
    <m/>
    <m/>
    <n v="1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aibhav Singh"/>
    <x v="3"/>
    <d v="2007-03-09T00:00:00"/>
    <x v="10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ini Surendran"/>
    <x v="4"/>
    <d v="1969-06-09T00:00:00"/>
    <x v="11"/>
    <d v="2025-06-10T00:00:00"/>
    <n v="0.04"/>
    <n v="0.22500000000000001"/>
    <d v="2025-06-10T00:00:00"/>
    <d v="2026-06-09T00:00:00"/>
    <m/>
    <m/>
    <n v="56"/>
    <s v="56-65"/>
    <x v="1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K M Surendran"/>
    <x v="4"/>
    <d v="1963-06-16T00:00:00"/>
    <x v="12"/>
    <d v="2025-06-10T00:00:00"/>
    <n v="0.04"/>
    <n v="0.22500000000000001"/>
    <d v="2025-06-10T00:00:00"/>
    <d v="2026-06-09T00:00:00"/>
    <m/>
    <m/>
    <n v="61"/>
    <s v="56-65"/>
    <x v="0"/>
    <x v="1"/>
    <n v="300000"/>
    <n v="0"/>
    <n v="0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Siddharth S K"/>
    <x v="4"/>
    <d v="2001-12-02T00:00:00"/>
    <x v="13"/>
    <d v="2025-06-10T00:00:00"/>
    <n v="0.04"/>
    <n v="0.22500000000000001"/>
    <d v="2025-06-10T00:00:00"/>
    <d v="2026-06-09T00:00:00"/>
    <m/>
    <m/>
    <n v="2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jay Mahar"/>
    <x v="5"/>
    <d v="1974-09-10T00:00:00"/>
    <x v="14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Bhumi"/>
    <x v="5"/>
    <d v="2005-05-08T00:00:00"/>
    <x v="15"/>
    <d v="2025-06-10T00:00:00"/>
    <n v="0.04"/>
    <n v="0.22500000000000001"/>
    <d v="2025-06-10T00:00:00"/>
    <d v="2026-06-09T00:00:00"/>
    <m/>
    <m/>
    <n v="2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eena"/>
    <x v="5"/>
    <d v="1984-09-10T00:00:00"/>
    <x v="16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Himanshu"/>
    <x v="5"/>
    <d v="2007-10-14T00:00:00"/>
    <x v="17"/>
    <d v="2025-06-10T00:00:00"/>
    <n v="0.04"/>
    <n v="0.22500000000000001"/>
    <d v="2025-06-10T00:00:00"/>
    <d v="2026-06-09T00:00:00"/>
    <m/>
    <m/>
    <n v="1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m Charan"/>
    <x v="6"/>
    <d v="1970-04-18T00:00:00"/>
    <x v="18"/>
    <d v="2025-06-10T00:00:00"/>
    <n v="0.04"/>
    <n v="0.22500000000000001"/>
    <d v="2025-06-10T00:00:00"/>
    <d v="2026-06-09T00:00:00"/>
    <m/>
    <m/>
    <n v="55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ushma Rani"/>
    <x v="6"/>
    <d v="1977-01-16T00:00:00"/>
    <x v="19"/>
    <d v="2025-06-10T00:00:00"/>
    <n v="0.04"/>
    <n v="0.22500000000000001"/>
    <d v="2025-06-10T00:00:00"/>
    <d v="2026-06-09T00:00:00"/>
    <m/>
    <m/>
    <n v="48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onak Udesi"/>
    <x v="6"/>
    <d v="2001-06-11T00:00:00"/>
    <x v="20"/>
    <d v="2025-06-10T00:00:00"/>
    <n v="0.04"/>
    <n v="0.22500000000000001"/>
    <d v="2025-06-10T00:00:00"/>
    <d v="2026-06-09T00:00:00"/>
    <m/>
    <m/>
    <n v="2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desh Sharma"/>
    <x v="7"/>
    <d v="1972-06-09T00:00:00"/>
    <x v="21"/>
    <d v="2025-06-10T00:00:00"/>
    <n v="0.04"/>
    <n v="0.22500000000000001"/>
    <d v="2025-06-10T00:00:00"/>
    <d v="2026-06-09T00:00:00"/>
    <m/>
    <m/>
    <n v="53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eema Sharma"/>
    <x v="7"/>
    <d v="1973-10-26T00:00:00"/>
    <x v="22"/>
    <d v="2025-06-10T00:00:00"/>
    <n v="0.04"/>
    <n v="0.22500000000000001"/>
    <d v="2025-06-10T00:00:00"/>
    <d v="2026-06-09T00:00:00"/>
    <m/>
    <m/>
    <n v="51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Gaurav Sharma"/>
    <x v="7"/>
    <d v="2003-01-06T00:00:00"/>
    <x v="23"/>
    <d v="2025-06-10T00:00:00"/>
    <n v="0.04"/>
    <n v="0.22500000000000001"/>
    <d v="2025-06-10T00:00:00"/>
    <d v="2026-06-09T00:00:00"/>
    <m/>
    <m/>
    <n v="2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inesh Singh"/>
    <x v="8"/>
    <d v="1970-06-08T00:00:00"/>
    <x v="24"/>
    <d v="2025-06-10T00:00:00"/>
    <n v="0.04"/>
    <n v="0.22500000000000001"/>
    <d v="2025-06-10T00:00:00"/>
    <d v="2026-06-09T00:00:00"/>
    <m/>
    <m/>
    <n v="55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Uma Devi"/>
    <x v="8"/>
    <d v="1971-07-15T00:00:00"/>
    <x v="25"/>
    <d v="2025-06-10T00:00:00"/>
    <n v="0.04"/>
    <n v="0.22500000000000001"/>
    <d v="2025-06-10T00:00:00"/>
    <d v="2026-06-09T00:00:00"/>
    <m/>
    <m/>
    <n v="53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Dinesh Kumar Singh"/>
    <x v="9"/>
    <d v="1976-08-01T00:00:00"/>
    <x v="26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hreya Singh"/>
    <x v="9"/>
    <d v="2005-03-13T00:00:00"/>
    <x v="27"/>
    <d v="2025-06-10T00:00:00"/>
    <n v="0.04"/>
    <n v="0.22500000000000001"/>
    <d v="2025-06-10T00:00:00"/>
    <d v="2026-06-09T00:00:00"/>
    <m/>
    <m/>
    <n v="2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vi Singh"/>
    <x v="9"/>
    <d v="2006-11-11T00:00:00"/>
    <x v="28"/>
    <d v="2025-06-10T00:00:00"/>
    <n v="0.04"/>
    <n v="0.22500000000000001"/>
    <d v="2025-06-10T00:00:00"/>
    <d v="2026-06-09T00:00:00"/>
    <m/>
    <m/>
    <n v="18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nju Singh"/>
    <x v="9"/>
    <d v="1977-10-01T00:00:00"/>
    <x v="29"/>
    <d v="2025-06-10T00:00:00"/>
    <n v="0.04"/>
    <n v="0.22500000000000001"/>
    <d v="2025-06-10T00:00:00"/>
    <d v="2026-06-09T00:00:00"/>
    <m/>
    <m/>
    <n v="47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ubhash A"/>
    <x v="10"/>
    <d v="1965-04-30T00:00:00"/>
    <x v="30"/>
    <d v="2025-06-10T00:00:00"/>
    <n v="0.04"/>
    <n v="0.22500000000000001"/>
    <d v="2025-06-10T00:00:00"/>
    <d v="2026-06-09T00:00:00"/>
    <m/>
    <m/>
    <n v="60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Sheeba Subhash"/>
    <x v="10"/>
    <d v="1975-03-05T00:00:00"/>
    <x v="31"/>
    <d v="2025-06-10T00:00:00"/>
    <n v="0.04"/>
    <n v="0.22500000000000001"/>
    <d v="2025-06-10T00:00:00"/>
    <d v="2026-06-09T00:00:00"/>
    <m/>
    <m/>
    <n v="50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Jogy P Kurien"/>
    <x v="11"/>
    <d v="1967-07-28T00:00:00"/>
    <x v="32"/>
    <d v="2025-06-10T00:00:00"/>
    <n v="0.04"/>
    <n v="0.22500000000000001"/>
    <d v="2025-06-10T00:00:00"/>
    <d v="2026-06-09T00:00:00"/>
    <m/>
    <m/>
    <n v="57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Anisha M Jogy"/>
    <x v="11"/>
    <d v="2002-06-08T00:00:00"/>
    <x v="33"/>
    <d v="2025-06-10T00:00:00"/>
    <n v="0.04"/>
    <n v="0.22500000000000001"/>
    <d v="2025-06-10T00:00:00"/>
    <d v="2026-06-09T00:00:00"/>
    <m/>
    <m/>
    <n v="2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olly Jogy"/>
    <x v="11"/>
    <d v="1971-03-04T00:00:00"/>
    <x v="34"/>
    <d v="2025-06-10T00:00:00"/>
    <n v="0.04"/>
    <n v="0.22500000000000001"/>
    <d v="2025-06-10T00:00:00"/>
    <d v="2026-06-09T00:00:00"/>
    <m/>
    <m/>
    <n v="54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wdhesh Kumar Tiwari"/>
    <x v="12"/>
    <d v="1971-05-08T00:00:00"/>
    <x v="35"/>
    <d v="2025-06-10T00:00:00"/>
    <n v="0.04"/>
    <n v="0.22500000000000001"/>
    <d v="2025-06-10T00:00:00"/>
    <d v="2026-06-09T00:00:00"/>
    <m/>
    <m/>
    <n v="54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vitri Tiwari"/>
    <x v="12"/>
    <d v="1977-01-01T00:00:00"/>
    <x v="36"/>
    <d v="2025-06-10T00:00:00"/>
    <n v="0.04"/>
    <n v="0.22500000000000001"/>
    <d v="2025-06-10T00:00:00"/>
    <d v="2026-06-09T00:00:00"/>
    <m/>
    <m/>
    <n v="48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Priya Tiwari"/>
    <x v="12"/>
    <d v="2004-06-14T00:00:00"/>
    <x v="37"/>
    <d v="2025-06-10T00:00:00"/>
    <n v="0.04"/>
    <n v="0.22500000000000001"/>
    <d v="2025-06-10T00:00:00"/>
    <d v="2026-06-09T00:00:00"/>
    <m/>
    <m/>
    <n v="2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lok Tiwari"/>
    <x v="12"/>
    <d v="2009-06-25T00:00:00"/>
    <x v="38"/>
    <d v="2025-06-10T00:00:00"/>
    <n v="0.04"/>
    <n v="0.22500000000000001"/>
    <d v="2025-06-10T00:00:00"/>
    <d v="2026-06-09T00:00:00"/>
    <m/>
    <m/>
    <n v="1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ankaj Semalty"/>
    <x v="13"/>
    <d v="1981-04-13T00:00:00"/>
    <x v="39"/>
    <d v="2025-06-10T00:00:00"/>
    <n v="0.04"/>
    <n v="0.22500000000000001"/>
    <d v="2025-06-10T00:00:00"/>
    <d v="2026-06-09T00:00:00"/>
    <m/>
    <m/>
    <n v="44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eena Semalty"/>
    <x v="13"/>
    <d v="1988-06-14T00:00:00"/>
    <x v="40"/>
    <d v="2025-06-10T00:00:00"/>
    <n v="0.04"/>
    <n v="0.22500000000000001"/>
    <d v="2025-06-10T00:00:00"/>
    <d v="2026-06-09T00:00:00"/>
    <m/>
    <m/>
    <n v="36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rohi Semalty"/>
    <x v="13"/>
    <d v="2014-08-16T00:00:00"/>
    <x v="41"/>
    <d v="2025-06-10T00:00:00"/>
    <n v="0.04"/>
    <n v="0.22500000000000001"/>
    <d v="2025-06-10T00:00:00"/>
    <d v="2026-06-09T00:00:00"/>
    <m/>
    <m/>
    <n v="1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nav Semalty"/>
    <x v="13"/>
    <d v="2009-11-30T00:00:00"/>
    <x v="42"/>
    <d v="2025-06-10T00:00:00"/>
    <n v="0.04"/>
    <n v="0.22500000000000001"/>
    <d v="2025-06-10T00:00:00"/>
    <d v="2026-06-09T00:00:00"/>
    <m/>
    <m/>
    <n v="1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eev Kumar"/>
    <x v="14"/>
    <d v="1971-12-02T00:00:00"/>
    <x v="43"/>
    <d v="2025-06-10T00:00:00"/>
    <n v="0.04"/>
    <n v="0.22500000000000001"/>
    <d v="2025-06-10T00:00:00"/>
    <d v="2026-06-09T00:00:00"/>
    <m/>
    <m/>
    <n v="53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lpana Kumari"/>
    <x v="14"/>
    <d v="1976-06-12T00:00:00"/>
    <x v="44"/>
    <d v="2025-06-10T00:00:00"/>
    <n v="0.04"/>
    <n v="0.22500000000000001"/>
    <d v="2025-06-10T00:00:00"/>
    <d v="2026-06-09T00:00:00"/>
    <m/>
    <m/>
    <n v="48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Mukund Kumar"/>
    <x v="14"/>
    <d v="2006-01-17T00:00:00"/>
    <x v="45"/>
    <d v="2025-06-10T00:00:00"/>
    <n v="0.04"/>
    <n v="0.22500000000000001"/>
    <d v="2025-06-10T00:00:00"/>
    <d v="2026-06-09T00:00:00"/>
    <m/>
    <m/>
    <n v="1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ya Priya"/>
    <x v="14"/>
    <d v="2003-06-01T00:00:00"/>
    <x v="46"/>
    <d v="2025-06-10T00:00:00"/>
    <n v="0.04"/>
    <n v="0.22500000000000001"/>
    <d v="2025-06-10T00:00:00"/>
    <d v="2026-06-09T00:00:00"/>
    <m/>
    <m/>
    <n v="2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shok Singh"/>
    <x v="15"/>
    <d v="1974-10-02T00:00:00"/>
    <x v="47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unita Singh"/>
    <x v="15"/>
    <d v="1981-06-04T00:00:00"/>
    <x v="48"/>
    <d v="2025-06-10T00:00:00"/>
    <n v="0.04"/>
    <n v="0.22500000000000001"/>
    <d v="2025-06-10T00:00:00"/>
    <d v="2026-06-09T00:00:00"/>
    <m/>
    <m/>
    <n v="44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aman Kumar Jha"/>
    <x v="16"/>
    <d v="1967-07-05T00:00:00"/>
    <x v="49"/>
    <d v="2025-06-10T00:00:00"/>
    <n v="0.04"/>
    <n v="0.22500000000000001"/>
    <d v="2025-06-10T00:00:00"/>
    <d v="2026-06-09T00:00:00"/>
    <m/>
    <m/>
    <n v="57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Neelam Jha"/>
    <x v="16"/>
    <d v="1971-07-06T00:00:00"/>
    <x v="50"/>
    <d v="2025-06-10T00:00:00"/>
    <n v="0.04"/>
    <n v="0.22500000000000001"/>
    <d v="2025-06-10T00:00:00"/>
    <d v="2026-06-09T00:00:00"/>
    <m/>
    <m/>
    <n v="53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Bhagwati Sharma"/>
    <x v="17"/>
    <d v="1979-07-26T00:00:00"/>
    <x v="51"/>
    <d v="2025-06-10T00:00:00"/>
    <n v="0.04"/>
    <n v="0.22500000000000001"/>
    <d v="2025-06-10T00:00:00"/>
    <d v="2026-06-09T00:00:00"/>
    <m/>
    <m/>
    <n v="45"/>
    <s v="36-45"/>
    <x v="1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anjeet Singh Khanuja"/>
    <x v="18"/>
    <d v="1980-06-08T00:00:00"/>
    <x v="52"/>
    <d v="2025-06-10T00:00:00"/>
    <n v="0.04"/>
    <n v="0.22500000000000001"/>
    <d v="2025-06-10T00:00:00"/>
    <d v="2026-06-09T00:00:00"/>
    <m/>
    <m/>
    <n v="45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Kuljeet Kaur"/>
    <x v="18"/>
    <d v="1980-12-06T00:00:00"/>
    <x v="53"/>
    <d v="2025-06-10T00:00:00"/>
    <n v="0.04"/>
    <n v="0.22500000000000001"/>
    <d v="2025-06-10T00:00:00"/>
    <d v="2026-06-09T00:00:00"/>
    <m/>
    <m/>
    <n v="44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Ishpreet Singh Khanuja"/>
    <x v="18"/>
    <d v="2009-03-09T00:00:00"/>
    <x v="54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jeev Kumar"/>
    <x v="19"/>
    <d v="1966-11-19T00:00:00"/>
    <x v="55"/>
    <d v="2025-06-10T00:00:00"/>
    <n v="0.04"/>
    <n v="0.22500000000000001"/>
    <d v="2025-06-10T00:00:00"/>
    <d v="2026-06-09T00:00:00"/>
    <m/>
    <m/>
    <n v="58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Charu Sharma"/>
    <x v="19"/>
    <d v="2001-01-12T00:00:00"/>
    <x v="56"/>
    <d v="2025-06-10T00:00:00"/>
    <n v="0.04"/>
    <n v="0.22500000000000001"/>
    <d v="2025-06-10T00:00:00"/>
    <d v="2026-06-09T00:00:00"/>
    <m/>
    <m/>
    <n v="2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indu Sharma"/>
    <x v="19"/>
    <d v="1971-02-16T00:00:00"/>
    <x v="57"/>
    <d v="2025-06-10T00:00:00"/>
    <n v="0.04"/>
    <n v="0.22500000000000001"/>
    <d v="2025-06-10T00:00:00"/>
    <d v="2026-06-09T00:00:00"/>
    <m/>
    <m/>
    <n v="54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nil Paswan"/>
    <x v="20"/>
    <d v="1969-07-01T00:00:00"/>
    <x v="58"/>
    <d v="2025-06-10T00:00:00"/>
    <n v="0.04"/>
    <n v="0.22500000000000001"/>
    <d v="2025-06-10T00:00:00"/>
    <d v="2026-06-09T00:00:00"/>
    <m/>
    <m/>
    <n v="55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ditya Paswan"/>
    <x v="20"/>
    <d v="2002-03-31T00:00:00"/>
    <x v="59"/>
    <d v="2025-06-10T00:00:00"/>
    <n v="0.04"/>
    <n v="0.22500000000000001"/>
    <d v="2025-06-10T00:00:00"/>
    <d v="2026-06-09T00:00:00"/>
    <m/>
    <m/>
    <n v="2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rda Devi"/>
    <x v="20"/>
    <d v="1973-05-12T00:00:00"/>
    <x v="60"/>
    <d v="2025-06-10T00:00:00"/>
    <n v="0.04"/>
    <n v="0.22500000000000001"/>
    <d v="2025-06-10T00:00:00"/>
    <d v="2026-06-09T00:00:00"/>
    <m/>
    <m/>
    <n v="52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Vijay Arora"/>
    <x v="21"/>
    <d v="1961-11-17T00:00:00"/>
    <x v="61"/>
    <d v="2025-06-10T00:00:00"/>
    <n v="0.04"/>
    <n v="0.22500000000000001"/>
    <d v="2025-06-10T00:00:00"/>
    <d v="2026-06-09T00:00:00"/>
    <m/>
    <m/>
    <n v="63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Pooja Arora"/>
    <x v="21"/>
    <d v="1976-06-01T00:00:00"/>
    <x v="62"/>
    <d v="2025-06-10T00:00:00"/>
    <n v="0.04"/>
    <n v="0.22500000000000001"/>
    <d v="2025-06-10T00:00:00"/>
    <d v="2026-06-09T00:00:00"/>
    <m/>
    <m/>
    <n v="49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wayam Arora"/>
    <x v="21"/>
    <d v="2005-07-24T00:00:00"/>
    <x v="63"/>
    <d v="2025-06-10T00:00:00"/>
    <n v="0.04"/>
    <n v="0.22500000000000001"/>
    <d v="2025-06-10T00:00:00"/>
    <d v="2026-06-09T00:00:00"/>
    <m/>
    <m/>
    <n v="1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ansh Arora"/>
    <x v="21"/>
    <d v="2001-05-27T00:00:00"/>
    <x v="64"/>
    <d v="2025-06-10T00:00:00"/>
    <n v="0.04"/>
    <n v="0.22500000000000001"/>
    <d v="2025-06-10T00:00:00"/>
    <d v="2026-06-09T00:00:00"/>
    <m/>
    <m/>
    <n v="2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Lovely Kumar"/>
    <x v="22"/>
    <d v="1975-03-01T00:00:00"/>
    <x v="65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Tanya"/>
    <x v="22"/>
    <d v="1978-04-19T00:00:00"/>
    <x v="66"/>
    <d v="2025-06-10T00:00:00"/>
    <n v="0.04"/>
    <n v="0.22500000000000001"/>
    <d v="2025-06-10T00:00:00"/>
    <d v="2026-06-09T00:00:00"/>
    <m/>
    <m/>
    <n v="47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Naksh"/>
    <x v="22"/>
    <d v="2014-06-11T00:00:00"/>
    <x v="67"/>
    <d v="2025-06-10T00:00:00"/>
    <n v="0.04"/>
    <n v="0.22500000000000001"/>
    <d v="2025-06-10T00:00:00"/>
    <d v="2026-06-09T00:00:00"/>
    <m/>
    <m/>
    <n v="1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ushker"/>
    <x v="22"/>
    <d v="2006-02-16T00:00:00"/>
    <x v="68"/>
    <d v="2025-06-10T00:00:00"/>
    <n v="0.04"/>
    <n v="0.22500000000000001"/>
    <d v="2025-06-10T00:00:00"/>
    <d v="2026-06-09T00:00:00"/>
    <m/>
    <m/>
    <n v="1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an Bajaj"/>
    <x v="23"/>
    <d v="1980-03-14T00:00:00"/>
    <x v="69"/>
    <d v="2025-06-10T00:00:00"/>
    <n v="0.04"/>
    <n v="0.22500000000000001"/>
    <d v="2025-06-10T00:00:00"/>
    <d v="2026-06-09T00:00:00"/>
    <m/>
    <m/>
    <n v="45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Tripti Bajaj"/>
    <x v="23"/>
    <d v="2017-05-10T00:00:00"/>
    <x v="70"/>
    <d v="2025-06-10T00:00:00"/>
    <n v="0.04"/>
    <n v="0.22500000000000001"/>
    <d v="2025-06-10T00:00:00"/>
    <d v="2026-06-09T00:00:00"/>
    <m/>
    <m/>
    <n v="8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eeta Bajaj"/>
    <x v="23"/>
    <d v="1981-10-16T00:00:00"/>
    <x v="71"/>
    <d v="2025-06-10T00:00:00"/>
    <n v="0.04"/>
    <n v="0.22500000000000001"/>
    <d v="2025-06-10T00:00:00"/>
    <d v="2026-06-09T00:00:00"/>
    <m/>
    <m/>
    <n v="43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ivyanshi Bajaj"/>
    <x v="23"/>
    <d v="2009-01-03T00:00:00"/>
    <x v="72"/>
    <d v="2025-06-10T00:00:00"/>
    <n v="0.04"/>
    <n v="0.22500000000000001"/>
    <d v="2025-06-10T00:00:00"/>
    <d v="2026-06-09T00:00:00"/>
    <m/>
    <m/>
    <n v="1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nkar Dayal Singh"/>
    <x v="24"/>
    <d v="1974-08-02T00:00:00"/>
    <x v="73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ngeeta Kumari Singh"/>
    <x v="24"/>
    <d v="1974-03-01T00:00:00"/>
    <x v="74"/>
    <d v="2025-06-10T00:00:00"/>
    <n v="0.04"/>
    <n v="0.22500000000000001"/>
    <d v="2025-06-10T00:00:00"/>
    <d v="2026-06-09T00:00:00"/>
    <m/>
    <m/>
    <n v="51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chin Kumar Singh"/>
    <x v="24"/>
    <d v="2001-08-14T00:00:00"/>
    <x v="75"/>
    <d v="2025-06-10T00:00:00"/>
    <n v="0.04"/>
    <n v="0.22500000000000001"/>
    <d v="2025-06-10T00:00:00"/>
    <d v="2026-06-09T00:00:00"/>
    <m/>
    <m/>
    <n v="2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il D Sharma"/>
    <x v="25"/>
    <d v="1982-01-12T00:00:00"/>
    <x v="76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ince"/>
    <x v="25"/>
    <d v="2010-08-24T00:00:00"/>
    <x v="77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arshana Sharma"/>
    <x v="25"/>
    <d v="1987-07-15T00:00:00"/>
    <x v="78"/>
    <d v="2025-06-10T00:00:00"/>
    <n v="0.04"/>
    <n v="0.22500000000000001"/>
    <d v="2025-06-10T00:00:00"/>
    <d v="2026-06-09T00:00:00"/>
    <m/>
    <m/>
    <n v="37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Yashdeep"/>
    <x v="25"/>
    <d v="2006-10-26T00:00:00"/>
    <x v="79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ans Raj Sharma"/>
    <x v="26"/>
    <d v="1975-07-01T00:00:00"/>
    <x v="80"/>
    <d v="2025-06-10T00:00:00"/>
    <n v="0.04"/>
    <n v="0.22500000000000001"/>
    <d v="2025-06-10T00:00:00"/>
    <d v="2026-06-09T00:00:00"/>
    <m/>
    <m/>
    <n v="49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Ekta Sharma"/>
    <x v="26"/>
    <d v="2005-11-28T00:00:00"/>
    <x v="81"/>
    <d v="2025-06-10T00:00:00"/>
    <n v="0.04"/>
    <n v="0.22500000000000001"/>
    <d v="2025-06-10T00:00:00"/>
    <d v="2026-06-09T00:00:00"/>
    <m/>
    <m/>
    <n v="1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ourav Sharma"/>
    <x v="26"/>
    <d v="2004-05-24T00:00:00"/>
    <x v="82"/>
    <d v="2025-06-10T00:00:00"/>
    <n v="0.04"/>
    <n v="0.22500000000000001"/>
    <d v="2025-06-10T00:00:00"/>
    <d v="2026-06-09T00:00:00"/>
    <m/>
    <m/>
    <n v="2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man Devi"/>
    <x v="26"/>
    <d v="1984-02-05T00:00:00"/>
    <x v="83"/>
    <d v="2025-06-10T00:00:00"/>
    <n v="0.04"/>
    <n v="0.22500000000000001"/>
    <d v="2025-06-10T00:00:00"/>
    <d v="2026-06-09T00:00:00"/>
    <m/>
    <m/>
    <n v="41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anjeet Singh"/>
    <x v="27"/>
    <d v="1982-09-08T00:00:00"/>
    <x v="84"/>
    <d v="2025-06-10T00:00:00"/>
    <n v="0.04"/>
    <n v="0.22500000000000001"/>
    <d v="2025-06-10T00:00:00"/>
    <d v="2026-06-09T00:00:00"/>
    <m/>
    <m/>
    <n v="42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Chirag Singh"/>
    <x v="27"/>
    <d v="2006-10-08T00:00:00"/>
    <x v="85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ishabh Singh"/>
    <x v="27"/>
    <d v="2010-12-11T00:00:00"/>
    <x v="86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geeta"/>
    <x v="27"/>
    <d v="1983-08-01T00:00:00"/>
    <x v="87"/>
    <d v="2025-06-10T00:00:00"/>
    <n v="0.04"/>
    <n v="0.22500000000000001"/>
    <d v="2025-06-10T00:00:00"/>
    <d v="2026-06-09T00:00:00"/>
    <m/>
    <m/>
    <n v="41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ikas"/>
    <x v="28"/>
    <d v="1976-07-08T00:00:00"/>
    <x v="88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Lalita"/>
    <x v="28"/>
    <d v="1980-12-02T00:00:00"/>
    <x v="89"/>
    <d v="2025-06-10T00:00:00"/>
    <n v="0.04"/>
    <n v="0.22500000000000001"/>
    <d v="2025-06-10T00:00:00"/>
    <d v="2026-06-09T00:00:00"/>
    <m/>
    <m/>
    <n v="44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ev"/>
    <x v="28"/>
    <d v="2013-12-11T00:00:00"/>
    <x v="90"/>
    <d v="2025-06-10T00:00:00"/>
    <n v="0.04"/>
    <n v="0.22500000000000001"/>
    <d v="2025-06-10T00:00:00"/>
    <d v="2026-06-09T00:00:00"/>
    <m/>
    <m/>
    <n v="1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kunj"/>
    <x v="28"/>
    <d v="2005-08-28T00:00:00"/>
    <x v="91"/>
    <d v="2025-06-10T00:00:00"/>
    <n v="0.04"/>
    <n v="0.22500000000000001"/>
    <d v="2025-06-10T00:00:00"/>
    <d v="2026-06-09T00:00:00"/>
    <m/>
    <m/>
    <n v="1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ushpendra Singh"/>
    <x v="29"/>
    <d v="1987-03-11T00:00:00"/>
    <x v="92"/>
    <d v="2025-06-10T00:00:00"/>
    <n v="0.04"/>
    <n v="0.22500000000000001"/>
    <d v="2025-06-10T00:00:00"/>
    <d v="2026-06-09T00:00:00"/>
    <m/>
    <m/>
    <n v="38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atibha Kumari"/>
    <x v="29"/>
    <d v="1988-01-07T00:00:00"/>
    <x v="93"/>
    <d v="2025-06-10T00:00:00"/>
    <n v="0.04"/>
    <n v="0.22500000000000001"/>
    <d v="2025-06-10T00:00:00"/>
    <d v="2026-06-09T00:00:00"/>
    <m/>
    <m/>
    <n v="37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heeren Singh"/>
    <x v="29"/>
    <d v="2010-02-10T00:00:00"/>
    <x v="94"/>
    <d v="2025-06-10T00:00:00"/>
    <n v="0.04"/>
    <n v="0.22500000000000001"/>
    <d v="2025-06-10T00:00:00"/>
    <d v="2026-06-09T00:00:00"/>
    <m/>
    <m/>
    <n v="1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jay Kumar"/>
    <x v="30"/>
    <d v="1967-11-24T00:00:00"/>
    <x v="95"/>
    <d v="2025-06-10T00:00:00"/>
    <n v="0.04"/>
    <n v="0.22500000000000001"/>
    <d v="2025-06-10T00:00:00"/>
    <d v="2026-06-09T00:00:00"/>
    <m/>
    <m/>
    <n v="57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Naman"/>
    <x v="30"/>
    <d v="2000-08-11T00:00:00"/>
    <x v="96"/>
    <d v="2025-06-10T00:00:00"/>
    <n v="0.04"/>
    <n v="0.22500000000000001"/>
    <d v="2025-06-10T00:00:00"/>
    <d v="2026-06-09T00:00:00"/>
    <m/>
    <m/>
    <n v="2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uradha"/>
    <x v="30"/>
    <d v="1972-12-27T00:00:00"/>
    <x v="97"/>
    <d v="2025-06-10T00:00:00"/>
    <n v="0.04"/>
    <n v="0.22500000000000001"/>
    <d v="2025-06-10T00:00:00"/>
    <d v="2026-06-09T00:00:00"/>
    <m/>
    <m/>
    <n v="52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hweta Mehta"/>
    <x v="31"/>
    <d v="1983-05-30T00:00:00"/>
    <x v="98"/>
    <d v="2025-06-10T00:00:00"/>
    <n v="0.04"/>
    <n v="0.22500000000000001"/>
    <d v="2025-06-10T00:00:00"/>
    <d v="2026-06-09T00:00:00"/>
    <m/>
    <m/>
    <n v="42"/>
    <s v="36-45"/>
    <x v="1"/>
    <x v="0"/>
    <n v="1000000"/>
    <n v="1000000"/>
    <n v="1"/>
    <n v="365"/>
    <d v="2026-02-28T00:00:00"/>
    <n v="264"/>
    <s v="Delhi"/>
    <n v="9014.0436000000009"/>
    <n v="1"/>
    <n v="7639.02"/>
    <n v="0"/>
    <n v="0"/>
    <n v="1375.0236"/>
    <n v="305.56080000000003"/>
    <n v="1718.7795000000001"/>
    <n v="5525.2089863013698"/>
    <n v="4061.0286049315068"/>
    <n v="1553.6510950684933"/>
    <d v="2025-02-27T00:00:00"/>
    <n v="7639.02"/>
    <m/>
  </r>
  <r>
    <s v="Valid"/>
    <n v="202506"/>
    <s v="GMC021090100AV"/>
    <s v="A V GLOBAL CORPORATION PRIVATE LIMITED"/>
    <d v="2025-06-10T00:00:00"/>
    <d v="2026-06-09T00:00:00"/>
    <s v="Lalit Mohan"/>
    <x v="32"/>
    <d v="1983-07-14T00:00:00"/>
    <x v="99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anshika Kumari"/>
    <x v="32"/>
    <d v="2017-04-02T00:00:00"/>
    <x v="100"/>
    <d v="2025-06-10T00:00:00"/>
    <n v="0.04"/>
    <n v="0.22500000000000001"/>
    <d v="2025-06-10T00:00:00"/>
    <d v="2026-06-09T00:00:00"/>
    <m/>
    <m/>
    <n v="8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Tanish Kumar"/>
    <x v="32"/>
    <d v="2012-09-20T00:00:00"/>
    <x v="101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ya"/>
    <x v="32"/>
    <d v="1986-04-05T00:00:00"/>
    <x v="102"/>
    <d v="2025-06-10T00:00:00"/>
    <n v="0.04"/>
    <n v="0.22500000000000001"/>
    <d v="2025-06-10T00:00:00"/>
    <d v="2026-06-09T00:00:00"/>
    <m/>
    <m/>
    <n v="39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Gaurav Tangri"/>
    <x v="33"/>
    <d v="1989-12-04T00:00:00"/>
    <x v="103"/>
    <d v="2025-06-10T00:00:00"/>
    <n v="0.04"/>
    <n v="0.22500000000000001"/>
    <d v="2025-06-10T00:00:00"/>
    <d v="2026-06-09T00:00:00"/>
    <m/>
    <m/>
    <n v="3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wati Chopra"/>
    <x v="33"/>
    <d v="1991-08-03T00:00:00"/>
    <x v="104"/>
    <d v="2025-06-10T00:00:00"/>
    <n v="0.04"/>
    <n v="0.22500000000000001"/>
    <d v="2025-06-10T00:00:00"/>
    <d v="2026-06-09T00:00:00"/>
    <m/>
    <m/>
    <n v="33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mit Mohan"/>
    <x v="34"/>
    <d v="1982-04-02T00:00:00"/>
    <x v="105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mita"/>
    <x v="34"/>
    <d v="1986-10-12T00:00:00"/>
    <x v="106"/>
    <d v="2025-06-10T00:00:00"/>
    <n v="0.04"/>
    <n v="0.22500000000000001"/>
    <d v="2025-06-10T00:00:00"/>
    <d v="2026-06-09T00:00:00"/>
    <m/>
    <m/>
    <n v="38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ihaan"/>
    <x v="34"/>
    <d v="2013-08-02T00:00:00"/>
    <x v="107"/>
    <d v="2025-06-10T00:00:00"/>
    <n v="0.04"/>
    <n v="0.22500000000000001"/>
    <d v="2025-06-10T00:00:00"/>
    <d v="2026-06-09T00:00:00"/>
    <m/>
    <m/>
    <n v="1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tya Prakash Yadav"/>
    <x v="35"/>
    <d v="1983-07-05T00:00:00"/>
    <x v="108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darsh Yadav"/>
    <x v="35"/>
    <d v="2006-07-11T00:00:00"/>
    <x v="109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omila"/>
    <x v="35"/>
    <d v="1980-01-14T00:00:00"/>
    <x v="110"/>
    <d v="2025-06-10T00:00:00"/>
    <n v="0.04"/>
    <n v="0.22500000000000001"/>
    <d v="2025-06-10T00:00:00"/>
    <d v="2026-06-09T00:00:00"/>
    <m/>
    <m/>
    <n v="45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nsh Yadav"/>
    <x v="35"/>
    <d v="2011-03-02T00:00:00"/>
    <x v="111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aswinder Paul"/>
    <x v="36"/>
    <d v="1967-07-10T00:00:00"/>
    <x v="112"/>
    <d v="2025-06-10T00:00:00"/>
    <n v="0.04"/>
    <n v="0.22500000000000001"/>
    <d v="2025-06-10T00:00:00"/>
    <d v="2026-06-09T00:00:00"/>
    <m/>
    <m/>
    <n v="57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Rita Paul"/>
    <x v="36"/>
    <d v="1971-05-25T00:00:00"/>
    <x v="113"/>
    <d v="2025-06-10T00:00:00"/>
    <n v="0.04"/>
    <n v="0.22500000000000001"/>
    <d v="2025-06-10T00:00:00"/>
    <d v="2026-06-09T00:00:00"/>
    <m/>
    <m/>
    <n v="54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aghu Nath"/>
    <x v="37"/>
    <d v="1981-07-04T00:00:00"/>
    <x v="114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Tanushka Saini"/>
    <x v="37"/>
    <d v="2012-12-11T00:00:00"/>
    <x v="115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inky Saini"/>
    <x v="37"/>
    <d v="1987-03-05T00:00:00"/>
    <x v="116"/>
    <d v="2025-06-10T00:00:00"/>
    <n v="0.04"/>
    <n v="0.22500000000000001"/>
    <d v="2025-06-10T00:00:00"/>
    <d v="2026-06-09T00:00:00"/>
    <m/>
    <m/>
    <n v="38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Harshita Saini"/>
    <x v="37"/>
    <d v="2009-01-12T00:00:00"/>
    <x v="117"/>
    <d v="2025-06-10T00:00:00"/>
    <n v="0.04"/>
    <n v="0.22500000000000001"/>
    <d v="2025-06-10T00:00:00"/>
    <d v="2026-06-09T00:00:00"/>
    <m/>
    <m/>
    <n v="1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u Kashyap"/>
    <x v="38"/>
    <d v="1975-08-01T00:00:00"/>
    <x v="118"/>
    <d v="2025-06-10T00:00:00"/>
    <n v="0.04"/>
    <n v="0.22500000000000001"/>
    <d v="2025-06-10T00:00:00"/>
    <d v="2026-06-09T00:00:00"/>
    <m/>
    <m/>
    <n v="49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ekha Kashyap"/>
    <x v="38"/>
    <d v="1978-05-17T00:00:00"/>
    <x v="119"/>
    <d v="2025-06-10T00:00:00"/>
    <n v="0.04"/>
    <n v="0.22500000000000001"/>
    <d v="2025-06-10T00:00:00"/>
    <d v="2026-06-09T00:00:00"/>
    <m/>
    <m/>
    <n v="47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yushi Kashyap"/>
    <x v="38"/>
    <d v="2000-12-23T00:00:00"/>
    <x v="120"/>
    <d v="2025-06-10T00:00:00"/>
    <n v="0.04"/>
    <n v="0.22500000000000001"/>
    <d v="2025-06-10T00:00:00"/>
    <d v="2026-06-09T00:00:00"/>
    <m/>
    <m/>
    <n v="2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rishna Kashyap"/>
    <x v="38"/>
    <d v="2002-08-31T00:00:00"/>
    <x v="121"/>
    <d v="2025-06-10T00:00:00"/>
    <n v="0.04"/>
    <n v="0.22500000000000001"/>
    <d v="2025-06-10T00:00:00"/>
    <d v="2026-06-09T00:00:00"/>
    <m/>
    <m/>
    <n v="2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shutosh Kumar"/>
    <x v="39"/>
    <d v="1984-01-08T00:00:00"/>
    <x v="122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iyanka Kumari"/>
    <x v="39"/>
    <d v="1985-06-02T00:00:00"/>
    <x v="123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nubhav Kumar"/>
    <x v="40"/>
    <d v="1982-01-06T00:00:00"/>
    <x v="124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parna Bathla"/>
    <x v="40"/>
    <d v="1984-11-16T00:00:00"/>
    <x v="125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ihaan Bathla"/>
    <x v="40"/>
    <d v="2012-12-03T00:00:00"/>
    <x v="126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uldeep Singh"/>
    <x v="41"/>
    <d v="1985-07-20T00:00:00"/>
    <x v="127"/>
    <d v="2025-06-10T00:00:00"/>
    <n v="0.04"/>
    <n v="0.22500000000000001"/>
    <d v="2025-06-10T00:00:00"/>
    <d v="2026-06-09T00:00:00"/>
    <m/>
    <m/>
    <n v="39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iyanshi"/>
    <x v="41"/>
    <d v="2019-08-05T00:00:00"/>
    <x v="128"/>
    <d v="2025-06-10T00:00:00"/>
    <n v="0.04"/>
    <n v="0.22500000000000001"/>
    <d v="2025-06-10T00:00:00"/>
    <d v="2026-06-09T00:00:00"/>
    <m/>
    <m/>
    <n v="5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nisha Devi"/>
    <x v="41"/>
    <d v="1995-05-03T00:00:00"/>
    <x v="129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evanshu Singh"/>
    <x v="41"/>
    <d v="2015-01-20T00:00:00"/>
    <x v="130"/>
    <d v="2025-06-10T00:00:00"/>
    <n v="0.04"/>
    <n v="0.22500000000000001"/>
    <d v="2025-06-10T00:00:00"/>
    <d v="2026-06-09T00:00:00"/>
    <m/>
    <m/>
    <n v="1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amal Mohan Sharma"/>
    <x v="42"/>
    <d v="1977-09-30T00:00:00"/>
    <x v="131"/>
    <d v="2025-06-10T00:00:00"/>
    <n v="0.04"/>
    <n v="0.22500000000000001"/>
    <d v="2025-06-10T00:00:00"/>
    <d v="2026-06-09T00:00:00"/>
    <m/>
    <m/>
    <n v="47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eema"/>
    <x v="42"/>
    <d v="1977-04-01T00:00:00"/>
    <x v="132"/>
    <d v="2025-06-10T00:00:00"/>
    <n v="0.04"/>
    <n v="0.22500000000000001"/>
    <d v="2025-06-10T00:00:00"/>
    <d v="2026-06-09T00:00:00"/>
    <m/>
    <m/>
    <n v="48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Dhairya Mohan"/>
    <x v="42"/>
    <d v="2003-07-24T00:00:00"/>
    <x v="133"/>
    <d v="2025-06-10T00:00:00"/>
    <n v="0.04"/>
    <n v="0.22500000000000001"/>
    <d v="2025-06-10T00:00:00"/>
    <d v="2026-06-09T00:00:00"/>
    <m/>
    <m/>
    <n v="2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urya"/>
    <x v="42"/>
    <d v="2013-06-05T00:00:00"/>
    <x v="134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an Kapoor"/>
    <x v="43"/>
    <d v="1977-04-30T00:00:00"/>
    <x v="135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Deepika Kapoor"/>
    <x v="43"/>
    <d v="2008-11-19T00:00:00"/>
    <x v="136"/>
    <d v="2025-06-10T00:00:00"/>
    <n v="0.04"/>
    <n v="0.22500000000000001"/>
    <d v="2025-06-10T00:00:00"/>
    <d v="2026-06-09T00:00:00"/>
    <m/>
    <m/>
    <n v="1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ooja Kapoor"/>
    <x v="43"/>
    <d v="1977-08-01T00:00:00"/>
    <x v="137"/>
    <d v="2025-06-10T00:00:00"/>
    <n v="0.04"/>
    <n v="0.22500000000000001"/>
    <d v="2025-06-10T00:00:00"/>
    <d v="2026-06-09T00:00:00"/>
    <m/>
    <m/>
    <n v="47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onika Kapoor"/>
    <x v="43"/>
    <d v="2001-10-28T00:00:00"/>
    <x v="138"/>
    <d v="2025-06-10T00:00:00"/>
    <n v="0.04"/>
    <n v="0.22500000000000001"/>
    <d v="2025-06-10T00:00:00"/>
    <d v="2026-06-09T00:00:00"/>
    <m/>
    <m/>
    <n v="2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ajendra Singh"/>
    <x v="44"/>
    <d v="1984-04-30T00:00:00"/>
    <x v="139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iksha Chauhan"/>
    <x v="44"/>
    <d v="2005-12-10T00:00:00"/>
    <x v="140"/>
    <d v="2025-06-10T00:00:00"/>
    <n v="0.04"/>
    <n v="0.22500000000000001"/>
    <d v="2025-06-10T00:00:00"/>
    <d v="2026-06-09T00:00:00"/>
    <m/>
    <m/>
    <n v="1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ishabh Chauhan"/>
    <x v="44"/>
    <d v="2008-02-03T00:00:00"/>
    <x v="141"/>
    <d v="2025-06-10T00:00:00"/>
    <n v="0.04"/>
    <n v="0.22500000000000001"/>
    <d v="2025-06-10T00:00:00"/>
    <d v="2026-06-09T00:00:00"/>
    <m/>
    <m/>
    <n v="1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eena Devi"/>
    <x v="44"/>
    <d v="1986-10-24T00:00:00"/>
    <x v="142"/>
    <d v="2025-06-10T00:00:00"/>
    <n v="0.04"/>
    <n v="0.22500000000000001"/>
    <d v="2025-06-10T00:00:00"/>
    <d v="2026-06-09T00:00:00"/>
    <m/>
    <m/>
    <n v="38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ijendra Singh"/>
    <x v="45"/>
    <d v="1983-08-11T00:00:00"/>
    <x v="143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ivyanshi Singh"/>
    <x v="45"/>
    <d v="2014-08-05T00:00:00"/>
    <x v="144"/>
    <d v="2025-06-10T00:00:00"/>
    <n v="0.04"/>
    <n v="0.22500000000000001"/>
    <d v="2025-06-10T00:00:00"/>
    <d v="2026-06-09T00:00:00"/>
    <m/>
    <m/>
    <n v="1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norama Singh"/>
    <x v="45"/>
    <d v="1986-02-10T00:00:00"/>
    <x v="145"/>
    <d v="2025-06-10T00:00:00"/>
    <n v="0.04"/>
    <n v="0.22500000000000001"/>
    <d v="2025-06-10T00:00:00"/>
    <d v="2026-06-09T00:00:00"/>
    <m/>
    <m/>
    <n v="39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kshat Singh"/>
    <x v="45"/>
    <d v="2017-01-30T00:00:00"/>
    <x v="146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arveen Kumar"/>
    <x v="46"/>
    <d v="1985-01-03T00:00:00"/>
    <x v="147"/>
    <d v="2025-06-10T00:00:00"/>
    <n v="0.04"/>
    <n v="0.22500000000000001"/>
    <d v="2025-06-10T00:00:00"/>
    <d v="2026-06-09T00:00:00"/>
    <m/>
    <m/>
    <n v="40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ooja"/>
    <x v="46"/>
    <d v="1989-08-19T00:00:00"/>
    <x v="148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arsh Jamdagni"/>
    <x v="46"/>
    <d v="2017-05-29T00:00:00"/>
    <x v="149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ansh Jamdagni"/>
    <x v="46"/>
    <d v="2010-02-23T00:00:00"/>
    <x v="150"/>
    <d v="2025-06-10T00:00:00"/>
    <n v="0.04"/>
    <n v="0.22500000000000001"/>
    <d v="2025-06-10T00:00:00"/>
    <d v="2026-06-09T00:00:00"/>
    <m/>
    <m/>
    <n v="1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emant Kumar Dimri"/>
    <x v="47"/>
    <d v="1969-01-11T00:00:00"/>
    <x v="151"/>
    <d v="2025-06-10T00:00:00"/>
    <n v="0.04"/>
    <n v="0.22500000000000001"/>
    <d v="2025-06-10T00:00:00"/>
    <d v="2026-06-09T00:00:00"/>
    <m/>
    <m/>
    <n v="56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Nanda Dimri"/>
    <x v="47"/>
    <d v="1974-10-07T00:00:00"/>
    <x v="152"/>
    <d v="2025-06-10T00:00:00"/>
    <n v="0.04"/>
    <n v="0.22500000000000001"/>
    <d v="2025-06-10T00:00:00"/>
    <d v="2026-06-09T00:00:00"/>
    <m/>
    <m/>
    <n v="50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Mayank Kumar"/>
    <x v="48"/>
    <d v="1981-03-01T00:00:00"/>
    <x v="153"/>
    <d v="2025-06-10T00:00:00"/>
    <n v="0.04"/>
    <n v="0.22500000000000001"/>
    <d v="2025-06-10T00:00:00"/>
    <d v="2026-06-09T00:00:00"/>
    <m/>
    <m/>
    <n v="44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ibha Kumari"/>
    <x v="48"/>
    <d v="1981-12-25T00:00:00"/>
    <x v="154"/>
    <d v="2025-06-10T00:00:00"/>
    <n v="0.04"/>
    <n v="0.22500000000000001"/>
    <d v="2025-06-10T00:00:00"/>
    <d v="2026-06-09T00:00:00"/>
    <m/>
    <m/>
    <n v="43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yush Kumar"/>
    <x v="48"/>
    <d v="2011-11-06T00:00:00"/>
    <x v="155"/>
    <d v="2025-06-10T00:00:00"/>
    <n v="0.04"/>
    <n v="0.22500000000000001"/>
    <d v="2025-06-10T00:00:00"/>
    <d v="2026-06-09T00:00:00"/>
    <m/>
    <m/>
    <n v="1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chi"/>
    <x v="48"/>
    <d v="2004-02-28T00:00:00"/>
    <x v="156"/>
    <d v="2025-06-10T00:00:00"/>
    <n v="0.04"/>
    <n v="0.22500000000000001"/>
    <d v="2025-06-10T00:00:00"/>
    <d v="2026-06-09T00:00:00"/>
    <m/>
    <m/>
    <n v="2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gyat Verma"/>
    <x v="49"/>
    <d v="1966-02-11T00:00:00"/>
    <x v="157"/>
    <d v="2025-06-10T00:00:00"/>
    <n v="0.04"/>
    <n v="0.22500000000000001"/>
    <d v="2025-06-10T00:00:00"/>
    <d v="2026-06-09T00:00:00"/>
    <m/>
    <m/>
    <n v="59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Richa Verma"/>
    <x v="49"/>
    <d v="1976-02-07T00:00:00"/>
    <x v="158"/>
    <d v="2025-06-10T00:00:00"/>
    <n v="0.04"/>
    <n v="0.22500000000000001"/>
    <d v="2025-06-10T00:00:00"/>
    <d v="2026-06-09T00:00:00"/>
    <m/>
    <m/>
    <n v="49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mit Ranjan"/>
    <x v="50"/>
    <d v="1988-04-06T00:00:00"/>
    <x v="159"/>
    <d v="2025-06-10T00:00:00"/>
    <n v="0.04"/>
    <n v="0.22500000000000001"/>
    <d v="2025-06-10T00:00:00"/>
    <d v="2026-06-09T00:00:00"/>
    <m/>
    <m/>
    <n v="37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arikshit Ranjan"/>
    <x v="50"/>
    <d v="2017-08-11T00:00:00"/>
    <x v="160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harika Ranjan"/>
    <x v="50"/>
    <d v="1993-03-10T00:00:00"/>
    <x v="161"/>
    <d v="2025-06-10T00:00:00"/>
    <n v="0.04"/>
    <n v="0.22500000000000001"/>
    <d v="2025-06-10T00:00:00"/>
    <d v="2026-06-09T00:00:00"/>
    <m/>
    <m/>
    <n v="32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vanshi Singh"/>
    <x v="50"/>
    <d v="2023-11-01T00:00:00"/>
    <x v="162"/>
    <d v="2025-06-10T00:00:00"/>
    <n v="0.04"/>
    <n v="0.22500000000000001"/>
    <d v="2025-06-10T00:00:00"/>
    <d v="2026-06-09T00:00:00"/>
    <m/>
    <m/>
    <n v="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kumar C Jaiswal"/>
    <x v="51"/>
    <d v="1974-10-20T00:00:00"/>
    <x v="163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Bipin B Trivedi"/>
    <x v="52"/>
    <d v="1966-11-29T00:00:00"/>
    <x v="164"/>
    <d v="2025-06-10T00:00:00"/>
    <n v="0.04"/>
    <n v="0.22500000000000001"/>
    <d v="2025-06-10T00:00:00"/>
    <d v="2026-06-09T00:00:00"/>
    <m/>
    <m/>
    <n v="58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Shivani B Trivedi"/>
    <x v="52"/>
    <d v="2002-01-18T00:00:00"/>
    <x v="165"/>
    <d v="2025-06-10T00:00:00"/>
    <n v="0.04"/>
    <n v="0.22500000000000001"/>
    <d v="2025-06-10T00:00:00"/>
    <d v="2026-06-09T00:00:00"/>
    <m/>
    <m/>
    <n v="2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eet B Trivedi"/>
    <x v="52"/>
    <d v="2008-10-09T00:00:00"/>
    <x v="166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Lata B Trivedi"/>
    <x v="52"/>
    <d v="1970-10-15T00:00:00"/>
    <x v="167"/>
    <d v="2025-06-10T00:00:00"/>
    <n v="0.04"/>
    <n v="0.22500000000000001"/>
    <d v="2025-06-10T00:00:00"/>
    <d v="2026-06-09T00:00:00"/>
    <m/>
    <m/>
    <n v="54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ntosh D Shirke"/>
    <x v="53"/>
    <d v="1977-05-15T00:00:00"/>
    <x v="168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Gargi S Shirke"/>
    <x v="53"/>
    <d v="2012-09-26T00:00:00"/>
    <x v="169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Trigyaa Santosh Shirke"/>
    <x v="53"/>
    <d v="2017-12-08T00:00:00"/>
    <x v="170"/>
    <d v="2025-06-10T00:00:00"/>
    <n v="0.04"/>
    <n v="0.22500000000000001"/>
    <d v="2025-06-10T00:00:00"/>
    <d v="2026-06-09T00:00:00"/>
    <m/>
    <m/>
    <n v="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mrudhi S Shirke"/>
    <x v="53"/>
    <d v="1985-01-29T00:00:00"/>
    <x v="171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amesh Pandurang Kadu"/>
    <x v="54"/>
    <d v="1971-05-24T00:00:00"/>
    <x v="172"/>
    <d v="2025-06-10T00:00:00"/>
    <n v="0.04"/>
    <n v="0.22500000000000001"/>
    <d v="2025-06-10T00:00:00"/>
    <d v="2026-06-09T00:00:00"/>
    <m/>
    <m/>
    <n v="54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hutuja R Kadu"/>
    <x v="54"/>
    <d v="1973-04-26T00:00:00"/>
    <x v="173"/>
    <d v="2025-06-10T00:00:00"/>
    <n v="0.04"/>
    <n v="0.22500000000000001"/>
    <d v="2025-06-10T00:00:00"/>
    <d v="2026-06-09T00:00:00"/>
    <m/>
    <m/>
    <n v="52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Nidhi R Kadu"/>
    <x v="54"/>
    <d v="2008-09-06T00:00:00"/>
    <x v="174"/>
    <d v="2025-06-10T00:00:00"/>
    <n v="0.04"/>
    <n v="0.22500000000000001"/>
    <d v="2025-06-10T00:00:00"/>
    <d v="2026-06-09T00:00:00"/>
    <m/>
    <m/>
    <n v="1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isha R Kadu"/>
    <x v="54"/>
    <d v="2010-01-03T00:00:00"/>
    <x v="175"/>
    <d v="2025-06-10T00:00:00"/>
    <n v="0.04"/>
    <n v="0.22500000000000001"/>
    <d v="2025-06-10T00:00:00"/>
    <d v="2026-06-09T00:00:00"/>
    <m/>
    <m/>
    <n v="15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ofia Fernandes"/>
    <x v="55"/>
    <d v="1968-12-25T00:00:00"/>
    <x v="176"/>
    <d v="2025-06-10T00:00:00"/>
    <n v="0.04"/>
    <n v="0.22500000000000001"/>
    <d v="2025-06-10T00:00:00"/>
    <d v="2026-06-09T00:00:00"/>
    <m/>
    <m/>
    <n v="56"/>
    <s v="56-65"/>
    <x v="1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Mohan Poojary"/>
    <x v="56"/>
    <d v="1975-06-20T00:00:00"/>
    <x v="177"/>
    <d v="2025-06-10T00:00:00"/>
    <n v="0.04"/>
    <n v="0.22500000000000001"/>
    <d v="2025-06-10T00:00:00"/>
    <d v="2026-06-09T00:00:00"/>
    <m/>
    <m/>
    <n v="49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Manvit Mohan Poojary"/>
    <x v="56"/>
    <d v="2014-08-14T00:00:00"/>
    <x v="178"/>
    <d v="2025-06-10T00:00:00"/>
    <n v="0.04"/>
    <n v="0.22500000000000001"/>
    <d v="2025-06-10T00:00:00"/>
    <d v="2026-06-09T00:00:00"/>
    <m/>
    <m/>
    <n v="1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asanthi Poojary"/>
    <x v="56"/>
    <d v="1978-06-01T00:00:00"/>
    <x v="179"/>
    <d v="2025-06-10T00:00:00"/>
    <n v="0.04"/>
    <n v="0.22500000000000001"/>
    <d v="2025-06-10T00:00:00"/>
    <d v="2026-06-09T00:00:00"/>
    <m/>
    <m/>
    <n v="47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Mithali Poojary"/>
    <x v="56"/>
    <d v="2007-10-11T00:00:00"/>
    <x v="180"/>
    <d v="2025-06-10T00:00:00"/>
    <n v="0.04"/>
    <n v="0.22500000000000001"/>
    <d v="2025-06-10T00:00:00"/>
    <d v="2026-06-09T00:00:00"/>
    <m/>
    <m/>
    <n v="1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lchandra R Devrukhkar"/>
    <x v="57"/>
    <d v="1974-03-18T00:00:00"/>
    <x v="181"/>
    <d v="2025-06-10T00:00:00"/>
    <n v="0.04"/>
    <n v="0.22500000000000001"/>
    <d v="2025-06-10T00:00:00"/>
    <d v="2026-06-09T00:00:00"/>
    <m/>
    <m/>
    <n v="51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Vedant B Devrukhkar"/>
    <x v="57"/>
    <d v="2006-04-16T00:00:00"/>
    <x v="182"/>
    <d v="2025-06-10T00:00:00"/>
    <n v="0.04"/>
    <n v="0.22500000000000001"/>
    <d v="2025-06-10T00:00:00"/>
    <d v="2026-06-09T00:00:00"/>
    <m/>
    <m/>
    <n v="1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ubham B Devrukhkar"/>
    <x v="57"/>
    <d v="2011-06-20T00:00:00"/>
    <x v="183"/>
    <d v="2025-06-10T00:00:00"/>
    <n v="0.04"/>
    <n v="0.22500000000000001"/>
    <d v="2025-06-10T00:00:00"/>
    <d v="2026-06-09T00:00:00"/>
    <m/>
    <m/>
    <n v="1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vana B Devrukhkar"/>
    <x v="57"/>
    <d v="1981-07-25T00:00:00"/>
    <x v="184"/>
    <d v="2025-06-10T00:00:00"/>
    <n v="0.04"/>
    <n v="0.22500000000000001"/>
    <d v="2025-06-10T00:00:00"/>
    <d v="2026-06-09T00:00:00"/>
    <m/>
    <m/>
    <n v="43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anjay Sampatrai Desai"/>
    <x v="58"/>
    <d v="1967-08-20T00:00:00"/>
    <x v="185"/>
    <d v="2025-06-10T00:00:00"/>
    <n v="0.04"/>
    <n v="0.22500000000000001"/>
    <d v="2025-06-10T00:00:00"/>
    <d v="2026-06-09T00:00:00"/>
    <m/>
    <m/>
    <n v="57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Madhuri Sanjay Desai"/>
    <x v="58"/>
    <d v="1972-03-28T00:00:00"/>
    <x v="186"/>
    <d v="2025-06-10T00:00:00"/>
    <n v="0.04"/>
    <n v="0.22500000000000001"/>
    <d v="2025-06-10T00:00:00"/>
    <d v="2026-06-09T00:00:00"/>
    <m/>
    <m/>
    <n v="53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amlal R Lukad"/>
    <x v="59"/>
    <d v="1974-11-14T00:00:00"/>
    <x v="187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Jyoti R Lukad"/>
    <x v="59"/>
    <d v="1976-01-26T00:00:00"/>
    <x v="188"/>
    <d v="2025-06-10T00:00:00"/>
    <n v="0.04"/>
    <n v="0.22500000000000001"/>
    <d v="2025-06-10T00:00:00"/>
    <d v="2026-06-09T00:00:00"/>
    <m/>
    <m/>
    <n v="49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ntosh Narayan Chikane"/>
    <x v="60"/>
    <d v="1972-06-01T00:00:00"/>
    <x v="189"/>
    <d v="2025-06-10T00:00:00"/>
    <n v="0.04"/>
    <n v="0.22500000000000001"/>
    <d v="2025-06-10T00:00:00"/>
    <d v="2026-06-09T00:00:00"/>
    <m/>
    <m/>
    <n v="53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arti Santosh Chikane"/>
    <x v="60"/>
    <d v="1974-10-24T00:00:00"/>
    <x v="190"/>
    <d v="2025-06-10T00:00:00"/>
    <n v="0.04"/>
    <n v="0.22500000000000001"/>
    <d v="2025-06-10T00:00:00"/>
    <d v="2026-06-09T00:00:00"/>
    <m/>
    <m/>
    <n v="50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Vikas Bhau Prabhulkar"/>
    <x v="61"/>
    <d v="1984-01-05T00:00:00"/>
    <x v="191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idhi Vikas Prabhulkar"/>
    <x v="61"/>
    <d v="1994-08-29T00:00:00"/>
    <x v="192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urva Vikas Prabhulkar"/>
    <x v="61"/>
    <d v="2015-11-22T00:00:00"/>
    <x v="193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vindra Harischandra Jamdar"/>
    <x v="62"/>
    <d v="1973-04-28T00:00:00"/>
    <x v="194"/>
    <d v="2025-06-10T00:00:00"/>
    <n v="0.04"/>
    <n v="0.22500000000000001"/>
    <d v="2025-06-10T00:00:00"/>
    <d v="2026-06-09T00:00:00"/>
    <m/>
    <m/>
    <n v="52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unali Ravindra Jamdar"/>
    <x v="62"/>
    <d v="1980-08-13T00:00:00"/>
    <x v="195"/>
    <d v="2025-06-10T00:00:00"/>
    <n v="0.04"/>
    <n v="0.22500000000000001"/>
    <d v="2025-06-10T00:00:00"/>
    <d v="2026-06-09T00:00:00"/>
    <m/>
    <m/>
    <n v="44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Gaurangi R Jamdar"/>
    <x v="62"/>
    <d v="2004-11-16T00:00:00"/>
    <x v="196"/>
    <d v="2025-06-10T00:00:00"/>
    <n v="0.04"/>
    <n v="0.22500000000000001"/>
    <d v="2025-06-10T00:00:00"/>
    <d v="2026-06-09T00:00:00"/>
    <m/>
    <m/>
    <n v="2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marth R Jamdar"/>
    <x v="62"/>
    <d v="2008-11-08T00:00:00"/>
    <x v="197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asuram Balaram Gaikwad"/>
    <x v="63"/>
    <d v="1981-04-30T00:00:00"/>
    <x v="198"/>
    <d v="2025-06-10T00:00:00"/>
    <n v="0.04"/>
    <n v="0.22500000000000001"/>
    <d v="2025-06-10T00:00:00"/>
    <d v="2026-06-09T00:00:00"/>
    <m/>
    <m/>
    <n v="44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oham Hasuram Gaikwad"/>
    <x v="63"/>
    <d v="2013-04-09T00:00:00"/>
    <x v="199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wara Hasuram Gaikwad"/>
    <x v="63"/>
    <d v="2017-10-30T00:00:00"/>
    <x v="200"/>
    <d v="2025-06-10T00:00:00"/>
    <n v="0.04"/>
    <n v="0.22500000000000001"/>
    <d v="2025-06-10T00:00:00"/>
    <d v="2026-06-09T00:00:00"/>
    <m/>
    <m/>
    <n v="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mta Hasuram Gaikwad"/>
    <x v="63"/>
    <d v="1991-05-07T00:00:00"/>
    <x v="201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ayram Raghunath Patil"/>
    <x v="64"/>
    <d v="1969-06-01T00:00:00"/>
    <x v="202"/>
    <d v="2025-06-10T00:00:00"/>
    <n v="0.04"/>
    <n v="0.22500000000000001"/>
    <d v="2025-06-10T00:00:00"/>
    <d v="2026-06-09T00:00:00"/>
    <m/>
    <m/>
    <n v="56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Prithvi J Patil"/>
    <x v="64"/>
    <d v="2007-02-06T00:00:00"/>
    <x v="203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ruti J Patil"/>
    <x v="64"/>
    <d v="2003-08-30T00:00:00"/>
    <x v="204"/>
    <d v="2025-06-10T00:00:00"/>
    <n v="0.04"/>
    <n v="0.22500000000000001"/>
    <d v="2025-06-10T00:00:00"/>
    <d v="2026-06-09T00:00:00"/>
    <m/>
    <m/>
    <n v="2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man J Patil"/>
    <x v="64"/>
    <d v="1983-08-01T00:00:00"/>
    <x v="205"/>
    <d v="2025-06-10T00:00:00"/>
    <n v="0.04"/>
    <n v="0.22500000000000001"/>
    <d v="2025-06-10T00:00:00"/>
    <d v="2026-06-09T00:00:00"/>
    <m/>
    <m/>
    <n v="41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itin Janardhan Mhatre"/>
    <x v="65"/>
    <d v="1985-05-28T00:00:00"/>
    <x v="206"/>
    <d v="2025-06-10T00:00:00"/>
    <n v="0.04"/>
    <n v="0.22500000000000001"/>
    <d v="2025-06-10T00:00:00"/>
    <d v="2026-06-09T00:00:00"/>
    <m/>
    <m/>
    <n v="40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Kavita Nitin Mhatre"/>
    <x v="65"/>
    <d v="1987-12-24T00:00:00"/>
    <x v="207"/>
    <d v="2025-06-10T00:00:00"/>
    <n v="0.04"/>
    <n v="0.22500000000000001"/>
    <d v="2025-06-10T00:00:00"/>
    <d v="2026-06-09T00:00:00"/>
    <m/>
    <m/>
    <n v="37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hrey Nitin Mhatre"/>
    <x v="65"/>
    <d v="2016-10-06T00:00:00"/>
    <x v="208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wara Nitin Mhatre"/>
    <x v="65"/>
    <d v="2013-08-22T00:00:00"/>
    <x v="209"/>
    <d v="2025-06-10T00:00:00"/>
    <n v="0.04"/>
    <n v="0.22500000000000001"/>
    <d v="2025-06-10T00:00:00"/>
    <d v="2026-06-09T00:00:00"/>
    <m/>
    <m/>
    <n v="1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deep Kamlakar Raut"/>
    <x v="66"/>
    <d v="1984-06-18T00:00:00"/>
    <x v="210"/>
    <d v="2025-06-10T00:00:00"/>
    <n v="0.04"/>
    <n v="0.22500000000000001"/>
    <d v="2025-06-10T00:00:00"/>
    <d v="2026-06-09T00:00:00"/>
    <m/>
    <m/>
    <n v="40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anasvi Sandeep Raut"/>
    <x v="66"/>
    <d v="2018-11-30T00:00:00"/>
    <x v="211"/>
    <d v="2025-06-10T00:00:00"/>
    <n v="0.04"/>
    <n v="0.22500000000000001"/>
    <d v="2025-06-10T00:00:00"/>
    <d v="2026-06-09T00:00:00"/>
    <m/>
    <m/>
    <n v="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eepa Sandeep Raut"/>
    <x v="66"/>
    <d v="1988-11-04T00:00:00"/>
    <x v="212"/>
    <d v="2025-06-10T00:00:00"/>
    <n v="0.04"/>
    <n v="0.22500000000000001"/>
    <d v="2025-06-10T00:00:00"/>
    <d v="2026-06-09T00:00:00"/>
    <m/>
    <m/>
    <n v="36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Ovi Sandeep Raut"/>
    <x v="66"/>
    <d v="2020-10-26T00:00:00"/>
    <x v="213"/>
    <d v="2025-06-10T00:00:00"/>
    <n v="0.04"/>
    <n v="0.22500000000000001"/>
    <d v="2025-06-10T00:00:00"/>
    <d v="2026-06-09T00:00:00"/>
    <m/>
    <m/>
    <n v="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iran Suryakant Mandavkar"/>
    <x v="67"/>
    <d v="1979-03-26T00:00:00"/>
    <x v="214"/>
    <d v="2025-06-10T00:00:00"/>
    <n v="0.04"/>
    <n v="0.22500000000000001"/>
    <d v="2025-06-10T00:00:00"/>
    <d v="2026-06-09T00:00:00"/>
    <m/>
    <m/>
    <n v="46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Bhargavi Kiran Mandavkar"/>
    <x v="67"/>
    <d v="2007-10-27T00:00:00"/>
    <x v="215"/>
    <d v="2025-06-10T00:00:00"/>
    <n v="0.04"/>
    <n v="0.22500000000000001"/>
    <d v="2025-06-10T00:00:00"/>
    <d v="2026-06-09T00:00:00"/>
    <m/>
    <m/>
    <n v="1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Ujjwala Kiran Mandavkar"/>
    <x v="67"/>
    <d v="1982-11-03T00:00:00"/>
    <x v="216"/>
    <d v="2025-06-10T00:00:00"/>
    <n v="0.04"/>
    <n v="0.22500000000000001"/>
    <d v="2025-06-10T00:00:00"/>
    <d v="2026-06-09T00:00:00"/>
    <m/>
    <m/>
    <n v="42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ahendra Chandrakant Raut"/>
    <x v="68"/>
    <d v="1978-10-27T00:00:00"/>
    <x v="217"/>
    <d v="2025-06-10T00:00:00"/>
    <n v="0.04"/>
    <n v="0.22500000000000001"/>
    <d v="2025-06-10T00:00:00"/>
    <d v="2026-06-09T00:00:00"/>
    <m/>
    <m/>
    <n v="46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Nisha Mahendra Raut"/>
    <x v="68"/>
    <d v="1985-01-30T00:00:00"/>
    <x v="218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iddhi M Raut"/>
    <x v="68"/>
    <d v="2009-12-12T00:00:00"/>
    <x v="219"/>
    <d v="2025-06-10T00:00:00"/>
    <n v="0.04"/>
    <n v="0.22500000000000001"/>
    <d v="2025-06-10T00:00:00"/>
    <d v="2026-06-09T00:00:00"/>
    <m/>
    <m/>
    <n v="15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Umesh D Jadav"/>
    <x v="69"/>
    <d v="1969-06-02T00:00:00"/>
    <x v="220"/>
    <d v="2025-06-10T00:00:00"/>
    <n v="0.04"/>
    <n v="0.22500000000000001"/>
    <d v="2025-06-10T00:00:00"/>
    <d v="2026-06-09T00:00:00"/>
    <m/>
    <m/>
    <n v="56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Sangita U Jadav"/>
    <x v="69"/>
    <d v="1973-11-07T00:00:00"/>
    <x v="221"/>
    <d v="2025-06-10T00:00:00"/>
    <n v="0.04"/>
    <n v="0.22500000000000001"/>
    <d v="2025-06-10T00:00:00"/>
    <d v="2026-06-09T00:00:00"/>
    <m/>
    <m/>
    <n v="51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Pradeep Khanderao Darekar"/>
    <x v="70"/>
    <d v="1969-03-19T00:00:00"/>
    <x v="222"/>
    <d v="2025-06-10T00:00:00"/>
    <n v="0.04"/>
    <n v="0.22500000000000001"/>
    <d v="2025-06-10T00:00:00"/>
    <d v="2026-06-09T00:00:00"/>
    <m/>
    <m/>
    <n v="56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Preeti P Darekar"/>
    <x v="70"/>
    <d v="1975-01-12T00:00:00"/>
    <x v="223"/>
    <d v="2025-06-10T00:00:00"/>
    <n v="0.04"/>
    <n v="0.22500000000000001"/>
    <d v="2025-06-10T00:00:00"/>
    <d v="2026-06-09T00:00:00"/>
    <m/>
    <m/>
    <n v="50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upesh Sadanand Narvekar"/>
    <x v="71"/>
    <d v="1983-04-30T00:00:00"/>
    <x v="224"/>
    <d v="2025-06-10T00:00:00"/>
    <n v="0.04"/>
    <n v="0.22500000000000001"/>
    <d v="2025-06-10T00:00:00"/>
    <d v="2026-06-09T00:00:00"/>
    <m/>
    <m/>
    <n v="42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iya Rupesh Narvekar"/>
    <x v="71"/>
    <d v="1990-01-04T00:00:00"/>
    <x v="225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 Rupesh Narvekar"/>
    <x v="71"/>
    <d v="2013-10-08T00:00:00"/>
    <x v="226"/>
    <d v="2025-06-10T00:00:00"/>
    <n v="0.04"/>
    <n v="0.22500000000000001"/>
    <d v="2025-06-10T00:00:00"/>
    <d v="2026-06-09T00:00:00"/>
    <m/>
    <m/>
    <n v="1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smeet G Mahajan"/>
    <x v="72"/>
    <d v="1981-12-31T00:00:00"/>
    <x v="227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emkumar Pankaj"/>
    <x v="73"/>
    <d v="1978-04-08T00:00:00"/>
    <x v="228"/>
    <d v="2025-06-10T00:00:00"/>
    <n v="0.04"/>
    <n v="0.22500000000000001"/>
    <d v="2025-06-10T00:00:00"/>
    <d v="2026-06-09T00:00:00"/>
    <m/>
    <m/>
    <n v="47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Krishiv Premkumar"/>
    <x v="73"/>
    <d v="2013-04-27T00:00:00"/>
    <x v="229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lini Premkumar"/>
    <x v="73"/>
    <d v="1988-10-03T00:00:00"/>
    <x v="230"/>
    <d v="2025-06-10T00:00:00"/>
    <n v="0.04"/>
    <n v="0.22500000000000001"/>
    <d v="2025-06-10T00:00:00"/>
    <d v="2026-06-09T00:00:00"/>
    <m/>
    <m/>
    <n v="36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bhay C Khatu"/>
    <x v="74"/>
    <d v="1982-02-24T00:00:00"/>
    <x v="231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aithili A Khatu"/>
    <x v="74"/>
    <d v="2011-04-14T00:00:00"/>
    <x v="232"/>
    <d v="2025-06-10T00:00:00"/>
    <n v="0.04"/>
    <n v="0.22500000000000001"/>
    <d v="2025-06-10T00:00:00"/>
    <d v="2026-06-09T00:00:00"/>
    <m/>
    <m/>
    <n v="1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Ishaan Abhay Khatu"/>
    <x v="74"/>
    <d v="2014-12-29T00:00:00"/>
    <x v="233"/>
    <d v="2025-06-10T00:00:00"/>
    <n v="0.04"/>
    <n v="0.22500000000000001"/>
    <d v="2025-06-10T00:00:00"/>
    <d v="2026-06-09T00:00:00"/>
    <m/>
    <m/>
    <n v="1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pita A Khatu"/>
    <x v="74"/>
    <d v="1989-08-15T00:00:00"/>
    <x v="234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inal U Patel"/>
    <x v="75"/>
    <d v="1991-04-09T00:00:00"/>
    <x v="235"/>
    <d v="2025-06-10T00:00:00"/>
    <n v="0.04"/>
    <n v="0.22500000000000001"/>
    <d v="2025-06-10T00:00:00"/>
    <d v="2026-06-09T00:00:00"/>
    <m/>
    <m/>
    <n v="3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impal Jinal Patel"/>
    <x v="75"/>
    <d v="1994-02-25T00:00:00"/>
    <x v="236"/>
    <d v="2025-06-10T00:00:00"/>
    <n v="0.04"/>
    <n v="0.22500000000000001"/>
    <d v="2025-06-10T00:00:00"/>
    <d v="2026-06-09T00:00:00"/>
    <m/>
    <m/>
    <n v="3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ian Jinal Patel"/>
    <x v="75"/>
    <d v="2017-07-10T00:00:00"/>
    <x v="237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bhash S Agre"/>
    <x v="76"/>
    <d v="1988-08-10T00:00:00"/>
    <x v="238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hubhra Subhash Agre"/>
    <x v="76"/>
    <d v="1990-10-08T00:00:00"/>
    <x v="239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warangi Subhash Agre"/>
    <x v="76"/>
    <d v="2020-05-18T00:00:00"/>
    <x v="240"/>
    <d v="2025-06-10T00:00:00"/>
    <n v="0.04"/>
    <n v="0.22500000000000001"/>
    <d v="2025-06-10T00:00:00"/>
    <d v="2026-06-09T00:00:00"/>
    <m/>
    <m/>
    <n v="5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hiraj Ganesh Mhatre"/>
    <x v="77"/>
    <d v="1983-06-30T00:00:00"/>
    <x v="241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Tej Dhiraj Mhatre"/>
    <x v="77"/>
    <d v="2014-09-28T00:00:00"/>
    <x v="242"/>
    <d v="2025-06-10T00:00:00"/>
    <n v="0.04"/>
    <n v="0.22500000000000001"/>
    <d v="2025-06-10T00:00:00"/>
    <d v="2026-06-09T00:00:00"/>
    <m/>
    <m/>
    <n v="1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iyanka Dhiraj Mhatre"/>
    <x v="77"/>
    <d v="1995-01-22T00:00:00"/>
    <x v="243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ed Dhiraj Mhatre"/>
    <x v="77"/>
    <d v="2020-03-30T00:00:00"/>
    <x v="244"/>
    <d v="2025-06-10T00:00:00"/>
    <n v="0.04"/>
    <n v="0.22500000000000001"/>
    <d v="2025-06-10T00:00:00"/>
    <d v="2026-06-09T00:00:00"/>
    <m/>
    <m/>
    <n v="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itesh Mahadev Thakur"/>
    <x v="78"/>
    <d v="1989-06-06T00:00:00"/>
    <x v="245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ucheri Hitesh Thakur"/>
    <x v="78"/>
    <d v="1995-07-11T00:00:00"/>
    <x v="246"/>
    <d v="2025-06-10T00:00:00"/>
    <n v="0.04"/>
    <n v="0.22500000000000001"/>
    <d v="2025-06-10T00:00:00"/>
    <d v="2026-06-09T00:00:00"/>
    <m/>
    <m/>
    <n v="29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Liyana Hitesh Thakur"/>
    <x v="78"/>
    <d v="2023-05-18T00:00:00"/>
    <x v="247"/>
    <d v="2025-06-10T00:00:00"/>
    <n v="0.04"/>
    <n v="0.22500000000000001"/>
    <d v="2025-06-10T00:00:00"/>
    <d v="2026-06-09T00:00:00"/>
    <m/>
    <m/>
    <n v="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 Shanmugaraj"/>
    <x v="79"/>
    <d v="1974-08-21T00:00:00"/>
    <x v="248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hari Hara Madhavan"/>
    <x v="79"/>
    <d v="2008-09-24T00:00:00"/>
    <x v="249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valliammal"/>
    <x v="79"/>
    <d v="1980-11-19T00:00:00"/>
    <x v="250"/>
    <d v="2025-06-10T00:00:00"/>
    <n v="0.04"/>
    <n v="0.22500000000000001"/>
    <d v="2025-06-10T00:00:00"/>
    <d v="2026-06-09T00:00:00"/>
    <m/>
    <m/>
    <n v="44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rithika"/>
    <x v="79"/>
    <d v="2001-06-02T00:00:00"/>
    <x v="251"/>
    <d v="2025-06-10T00:00:00"/>
    <n v="0.04"/>
    <n v="0.22500000000000001"/>
    <d v="2025-06-10T00:00:00"/>
    <d v="2026-06-09T00:00:00"/>
    <m/>
    <m/>
    <n v="2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 Surendra Babu"/>
    <x v="80"/>
    <d v="1972-04-22T00:00:00"/>
    <x v="252"/>
    <d v="2025-06-10T00:00:00"/>
    <n v="0.04"/>
    <n v="0.22500000000000001"/>
    <d v="2025-06-10T00:00:00"/>
    <d v="2026-06-09T00:00:00"/>
    <m/>
    <m/>
    <n v="53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 Geetha"/>
    <x v="80"/>
    <d v="1976-03-24T00:00:00"/>
    <x v="253"/>
    <d v="2025-06-10T00:00:00"/>
    <n v="0.04"/>
    <n v="0.22500000000000001"/>
    <d v="2025-06-10T00:00:00"/>
    <d v="2026-06-09T00:00:00"/>
    <m/>
    <m/>
    <n v="49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 Dinesh Karthik"/>
    <x v="80"/>
    <d v="2007-05-30T00:00:00"/>
    <x v="254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tosh E Phalke"/>
    <x v="81"/>
    <d v="1976-06-18T00:00:00"/>
    <x v="255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Yogita Santosh Phalke"/>
    <x v="81"/>
    <d v="1985-06-06T00:00:00"/>
    <x v="256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athamesh Santosh Phalke"/>
    <x v="81"/>
    <d v="2007-06-20T00:00:00"/>
    <x v="257"/>
    <d v="2025-06-10T00:00:00"/>
    <n v="0.04"/>
    <n v="0.22500000000000001"/>
    <d v="2025-06-10T00:00:00"/>
    <d v="2026-06-09T00:00:00"/>
    <m/>
    <m/>
    <n v="1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chin D Kawle"/>
    <x v="82"/>
    <d v="1979-12-25T00:00:00"/>
    <x v="258"/>
    <d v="2025-06-10T00:00:00"/>
    <n v="0.04"/>
    <n v="0.22500000000000001"/>
    <d v="2025-06-10T00:00:00"/>
    <d v="2026-06-09T00:00:00"/>
    <m/>
    <m/>
    <n v="45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eet Sachin Kawle"/>
    <x v="82"/>
    <d v="2012-11-10T00:00:00"/>
    <x v="259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arshit Sachin Kawle"/>
    <x v="82"/>
    <d v="2009-07-21T00:00:00"/>
    <x v="260"/>
    <d v="2025-06-10T00:00:00"/>
    <n v="0.04"/>
    <n v="0.22500000000000001"/>
    <d v="2025-06-10T00:00:00"/>
    <d v="2026-06-09T00:00:00"/>
    <m/>
    <m/>
    <n v="1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vita Sachin Kawle"/>
    <x v="82"/>
    <d v="1987-04-23T00:00:00"/>
    <x v="261"/>
    <d v="2025-06-10T00:00:00"/>
    <n v="0.04"/>
    <n v="0.22500000000000001"/>
    <d v="2025-06-10T00:00:00"/>
    <d v="2026-06-09T00:00:00"/>
    <m/>
    <m/>
    <n v="38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itesh Gangaram Jadhav"/>
    <x v="83"/>
    <d v="1982-05-07T00:00:00"/>
    <x v="262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ipali Nitesh Jadhav"/>
    <x v="83"/>
    <d v="1990-06-28T00:00:00"/>
    <x v="263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anya Nitesh Jadhav"/>
    <x v="83"/>
    <d v="2011-03-29T00:00:00"/>
    <x v="264"/>
    <d v="2025-06-10T00:00:00"/>
    <n v="0.04"/>
    <n v="0.22500000000000001"/>
    <d v="2025-06-10T00:00:00"/>
    <d v="2026-06-09T00:00:00"/>
    <m/>
    <m/>
    <n v="1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nav Nitesh Jadhav"/>
    <x v="83"/>
    <d v="2018-02-16T00:00:00"/>
    <x v="265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arshad Dinkar Nikam"/>
    <x v="84"/>
    <d v="1987-09-17T00:00:00"/>
    <x v="266"/>
    <d v="2025-06-10T00:00:00"/>
    <n v="0.04"/>
    <n v="0.22500000000000001"/>
    <d v="2025-06-10T00:00:00"/>
    <d v="2026-06-09T00:00:00"/>
    <m/>
    <m/>
    <n v="37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Ovi Harshad Nikam"/>
    <x v="84"/>
    <d v="1990-03-16T00:00:00"/>
    <x v="267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ivansh Harshad Nikam"/>
    <x v="84"/>
    <d v="2025-04-22T00:00:00"/>
    <x v="268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hesh Subramani Nandi"/>
    <x v="85"/>
    <d v="1987-11-17T00:00:00"/>
    <x v="269"/>
    <d v="2025-06-10T00:00:00"/>
    <n v="0.04"/>
    <n v="0.22500000000000001"/>
    <d v="2025-06-10T00:00:00"/>
    <d v="2026-06-09T00:00:00"/>
    <m/>
    <m/>
    <n v="37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aksh Mahesh Nandi"/>
    <x v="85"/>
    <d v="2019-10-13T00:00:00"/>
    <x v="270"/>
    <d v="2025-06-10T00:00:00"/>
    <n v="0.04"/>
    <n v="0.22500000000000001"/>
    <d v="2025-06-10T00:00:00"/>
    <d v="2026-06-09T00:00:00"/>
    <m/>
    <m/>
    <n v="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oja Mahesh Nandi"/>
    <x v="85"/>
    <d v="1994-01-21T00:00:00"/>
    <x v="271"/>
    <d v="2025-06-10T00:00:00"/>
    <n v="0.04"/>
    <n v="0.22500000000000001"/>
    <d v="2025-06-10T00:00:00"/>
    <d v="2026-06-09T00:00:00"/>
    <m/>
    <m/>
    <n v="3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Tirth Mahesh Nandi"/>
    <x v="85"/>
    <d v="2025-02-14T00:00:00"/>
    <x v="272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tosh Waman Ayakar"/>
    <x v="86"/>
    <d v="1976-01-07T00:00:00"/>
    <x v="273"/>
    <d v="2025-06-10T00:00:00"/>
    <n v="0.04"/>
    <n v="0.22500000000000001"/>
    <d v="2025-06-10T00:00:00"/>
    <d v="2026-06-09T00:00:00"/>
    <m/>
    <m/>
    <n v="49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yali Santosh Ayakar"/>
    <x v="86"/>
    <d v="1977-09-05T00:00:00"/>
    <x v="274"/>
    <d v="2025-06-10T00:00:00"/>
    <n v="0.04"/>
    <n v="0.22500000000000001"/>
    <d v="2025-06-10T00:00:00"/>
    <d v="2026-06-09T00:00:00"/>
    <m/>
    <m/>
    <n v="47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Neel Santosh Ayakar"/>
    <x v="86"/>
    <d v="2008-11-27T00:00:00"/>
    <x v="275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ai Kishan"/>
    <x v="87"/>
    <d v="1981-10-20T00:00:00"/>
    <x v="276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urgesh"/>
    <x v="87"/>
    <d v="1983-10-22T00:00:00"/>
    <x v="277"/>
    <d v="2025-06-10T00:00:00"/>
    <n v="0.04"/>
    <n v="0.22500000000000001"/>
    <d v="2025-06-10T00:00:00"/>
    <d v="2026-06-09T00:00:00"/>
    <m/>
    <m/>
    <n v="41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hairya"/>
    <x v="87"/>
    <d v="2009-08-31T00:00:00"/>
    <x v="278"/>
    <d v="2025-06-10T00:00:00"/>
    <n v="0.04"/>
    <n v="0.22500000000000001"/>
    <d v="2025-06-10T00:00:00"/>
    <d v="2026-06-09T00:00:00"/>
    <m/>
    <m/>
    <n v="1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Lavish"/>
    <x v="87"/>
    <d v="2017-08-15T00:00:00"/>
    <x v="279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tya Prakash Triphati"/>
    <x v="88"/>
    <d v="1979-12-31T00:00:00"/>
    <x v="280"/>
    <d v="2025-06-10T00:00:00"/>
    <n v="0.04"/>
    <n v="0.22500000000000001"/>
    <d v="2025-06-10T00:00:00"/>
    <d v="2026-06-09T00:00:00"/>
    <m/>
    <m/>
    <n v="45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bha Devi"/>
    <x v="88"/>
    <d v="1985-08-15T00:00:00"/>
    <x v="281"/>
    <d v="2025-06-10T00:00:00"/>
    <n v="0.04"/>
    <n v="0.22500000000000001"/>
    <d v="2025-06-10T00:00:00"/>
    <d v="2026-06-09T00:00:00"/>
    <m/>
    <m/>
    <n v="39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anchit Tiwari"/>
    <x v="88"/>
    <d v="2007-03-20T00:00:00"/>
    <x v="282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chit Tiwari"/>
    <x v="88"/>
    <d v="2008-09-14T00:00:00"/>
    <x v="283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 Suresh"/>
    <x v="89"/>
    <d v="1982-01-04T00:00:00"/>
    <x v="284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 Tamilarasi"/>
    <x v="89"/>
    <d v="1988-06-06T00:00:00"/>
    <x v="285"/>
    <d v="2025-06-10T00:00:00"/>
    <n v="0.04"/>
    <n v="0.22500000000000001"/>
    <d v="2025-06-10T00:00:00"/>
    <d v="2026-06-09T00:00:00"/>
    <m/>
    <m/>
    <n v="37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 Nishalini"/>
    <x v="89"/>
    <d v="2008-12-24T00:00:00"/>
    <x v="286"/>
    <d v="2025-06-10T00:00:00"/>
    <n v="0.04"/>
    <n v="0.22500000000000001"/>
    <d v="2025-06-10T00:00:00"/>
    <d v="2026-06-09T00:00:00"/>
    <m/>
    <m/>
    <n v="1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 Aswini"/>
    <x v="89"/>
    <d v="2010-09-04T00:00:00"/>
    <x v="287"/>
    <d v="2025-06-10T00:00:00"/>
    <n v="0.04"/>
    <n v="0.22500000000000001"/>
    <d v="2025-06-10T00:00:00"/>
    <d v="2026-06-09T00:00:00"/>
    <m/>
    <m/>
    <n v="1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eriyasami A Ariya Puthrapillai"/>
    <x v="90"/>
    <d v="1979-11-20T00:00:00"/>
    <x v="288"/>
    <d v="2025-06-10T00:00:00"/>
    <n v="0.04"/>
    <n v="0.22500000000000001"/>
    <d v="2025-06-10T00:00:00"/>
    <d v="2026-06-09T00:00:00"/>
    <m/>
    <m/>
    <n v="45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 Vettrivel"/>
    <x v="90"/>
    <d v="2012-12-06T00:00:00"/>
    <x v="289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 Vigneshwaran"/>
    <x v="90"/>
    <d v="2008-03-20T00:00:00"/>
    <x v="290"/>
    <d v="2025-06-10T00:00:00"/>
    <n v="0.04"/>
    <n v="0.22500000000000001"/>
    <d v="2025-06-10T00:00:00"/>
    <d v="2026-06-09T00:00:00"/>
    <m/>
    <m/>
    <n v="1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 Abirami"/>
    <x v="90"/>
    <d v="1984-12-21T00:00:00"/>
    <x v="291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lijah Taqvi"/>
    <x v="91"/>
    <d v="1974-05-01T00:00:00"/>
    <x v="292"/>
    <d v="2025-06-10T00:00:00"/>
    <n v="0.04"/>
    <n v="0.22500000000000001"/>
    <d v="2025-06-10T00:00:00"/>
    <d v="2026-06-09T00:00:00"/>
    <m/>
    <m/>
    <n v="51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rmaan Ali Taqvi"/>
    <x v="91"/>
    <d v="2004-09-28T00:00:00"/>
    <x v="293"/>
    <d v="2025-06-10T00:00:00"/>
    <n v="0.04"/>
    <n v="0.22500000000000001"/>
    <d v="2025-06-10T00:00:00"/>
    <d v="2026-06-09T00:00:00"/>
    <m/>
    <m/>
    <n v="2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lisha Taqvi"/>
    <x v="91"/>
    <d v="2008-10-18T00:00:00"/>
    <x v="294"/>
    <d v="2025-06-10T00:00:00"/>
    <n v="0.04"/>
    <n v="0.22500000000000001"/>
    <d v="2025-06-10T00:00:00"/>
    <d v="2026-06-09T00:00:00"/>
    <m/>
    <m/>
    <n v="1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urdeep Kaur Taqvi"/>
    <x v="91"/>
    <d v="1976-04-02T00:00:00"/>
    <x v="295"/>
    <d v="2025-06-10T00:00:00"/>
    <n v="0.04"/>
    <n v="0.22500000000000001"/>
    <d v="2025-06-10T00:00:00"/>
    <d v="2026-06-09T00:00:00"/>
    <m/>
    <m/>
    <n v="49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Kundan Singh"/>
    <x v="92"/>
    <d v="1962-06-18T00:00:00"/>
    <x v="296"/>
    <d v="2025-06-10T00:00:00"/>
    <n v="0.04"/>
    <n v="0.22500000000000001"/>
    <d v="2025-06-10T00:00:00"/>
    <d v="2026-06-09T00:00:00"/>
    <m/>
    <m/>
    <n v="62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Chandra Devi"/>
    <x v="92"/>
    <d v="1967-06-07T00:00:00"/>
    <x v="297"/>
    <d v="2025-06-10T00:00:00"/>
    <n v="0.04"/>
    <n v="0.22500000000000001"/>
    <d v="2025-06-10T00:00:00"/>
    <d v="2026-06-09T00:00:00"/>
    <m/>
    <m/>
    <n v="58"/>
    <s v="56-65"/>
    <x v="1"/>
    <x v="1"/>
    <n v="300000"/>
    <n v="0"/>
    <n v="0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Sanjeev Jha"/>
    <x v="93"/>
    <d v="1983-01-01T00:00:00"/>
    <x v="298"/>
    <d v="2025-06-10T00:00:00"/>
    <n v="0.04"/>
    <n v="0.22500000000000001"/>
    <d v="2025-06-10T00:00:00"/>
    <d v="2026-06-09T00:00:00"/>
    <m/>
    <m/>
    <n v="42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iya Jha"/>
    <x v="93"/>
    <d v="1992-08-22T00:00:00"/>
    <x v="299"/>
    <d v="2025-06-10T00:00:00"/>
    <n v="0.04"/>
    <n v="0.22500000000000001"/>
    <d v="2025-06-10T00:00:00"/>
    <d v="2026-06-09T00:00:00"/>
    <m/>
    <m/>
    <n v="32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Yug Jha"/>
    <x v="93"/>
    <d v="2021-12-24T00:00:00"/>
    <x v="300"/>
    <d v="2025-06-10T00:00:00"/>
    <n v="0.04"/>
    <n v="0.22500000000000001"/>
    <d v="2025-06-10T00:00:00"/>
    <d v="2026-06-09T00:00:00"/>
    <m/>
    <m/>
    <n v="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nayak Bhagawan Koli"/>
    <x v="94"/>
    <d v="1983-05-30T00:00:00"/>
    <x v="301"/>
    <d v="2025-06-10T00:00:00"/>
    <n v="0.04"/>
    <n v="0.22500000000000001"/>
    <d v="2025-06-10T00:00:00"/>
    <d v="2026-06-09T00:00:00"/>
    <m/>
    <m/>
    <n v="42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ansh Vinayak Koli"/>
    <x v="94"/>
    <d v="2010-08-06T00:00:00"/>
    <x v="302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rmila Vinayak Koli"/>
    <x v="94"/>
    <d v="1987-06-23T00:00:00"/>
    <x v="303"/>
    <d v="2025-06-10T00:00:00"/>
    <n v="0.04"/>
    <n v="0.22500000000000001"/>
    <d v="2025-06-10T00:00:00"/>
    <d v="2026-06-09T00:00:00"/>
    <m/>
    <m/>
    <n v="37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arya Vinayak Koli"/>
    <x v="94"/>
    <d v="2016-01-09T00:00:00"/>
    <x v="304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chin Sitaram Bhende"/>
    <x v="95"/>
    <d v="1987-11-21T00:00:00"/>
    <x v="305"/>
    <d v="2025-06-10T00:00:00"/>
    <n v="0.04"/>
    <n v="0.22500000000000001"/>
    <d v="2025-06-10T00:00:00"/>
    <d v="2026-06-09T00:00:00"/>
    <m/>
    <m/>
    <n v="37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wati Sachin Bhende"/>
    <x v="95"/>
    <d v="1990-08-01T00:00:00"/>
    <x v="306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ourya Sachin Bhende"/>
    <x v="95"/>
    <d v="2016-02-12T00:00:00"/>
    <x v="307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ish Sachin Bhende"/>
    <x v="95"/>
    <d v="2024-07-27T00:00:00"/>
    <x v="308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ushan Prakash Mhatre"/>
    <x v="96"/>
    <d v="1981-08-13T00:00:00"/>
    <x v="309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ajeshri Bhushan Mhatre"/>
    <x v="96"/>
    <d v="1983-06-07T00:00:00"/>
    <x v="310"/>
    <d v="2025-06-10T00:00:00"/>
    <n v="0.04"/>
    <n v="0.22500000000000001"/>
    <d v="2025-06-10T00:00:00"/>
    <d v="2026-06-09T00:00:00"/>
    <m/>
    <m/>
    <n v="42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Greesha Bhushan Mhatre"/>
    <x v="96"/>
    <d v="2015-04-14T00:00:00"/>
    <x v="311"/>
    <d v="2025-06-10T00:00:00"/>
    <n v="0.04"/>
    <n v="0.22500000000000001"/>
    <d v="2025-06-10T00:00:00"/>
    <d v="2026-06-09T00:00:00"/>
    <m/>
    <m/>
    <n v="1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deep Vasant Patil"/>
    <x v="97"/>
    <d v="1988-07-10T00:00:00"/>
    <x v="312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avin Suresh Shinde"/>
    <x v="98"/>
    <d v="1992-02-15T00:00:00"/>
    <x v="313"/>
    <d v="2025-06-10T00:00:00"/>
    <n v="0.04"/>
    <n v="0.22500000000000001"/>
    <d v="2025-06-10T00:00:00"/>
    <d v="2026-06-09T00:00:00"/>
    <m/>
    <m/>
    <n v="3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mruta Pravin Shinde"/>
    <x v="98"/>
    <d v="1999-05-25T00:00:00"/>
    <x v="314"/>
    <d v="2025-06-10T00:00:00"/>
    <n v="0.04"/>
    <n v="0.22500000000000001"/>
    <d v="2025-06-10T00:00:00"/>
    <d v="2026-06-09T00:00:00"/>
    <m/>
    <m/>
    <n v="26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rvika Pravin Shinde"/>
    <x v="98"/>
    <d v="2021-05-27T00:00:00"/>
    <x v="315"/>
    <d v="2025-06-10T00:00:00"/>
    <n v="0.04"/>
    <n v="0.22500000000000001"/>
    <d v="2025-06-10T00:00:00"/>
    <d v="2026-06-09T00:00:00"/>
    <m/>
    <m/>
    <n v="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jay Mehta"/>
    <x v="99"/>
    <d v="1992-03-11T00:00:00"/>
    <x v="316"/>
    <d v="2025-06-10T00:00:00"/>
    <n v="0.04"/>
    <n v="0.22500000000000001"/>
    <d v="2025-06-10T00:00:00"/>
    <d v="2026-06-09T00:00:00"/>
    <m/>
    <m/>
    <n v="33"/>
    <s v="0-35"/>
    <x v="0"/>
    <x v="0"/>
    <n v="1000000"/>
    <n v="1000000"/>
    <n v="1"/>
    <n v="365"/>
    <d v="2026-02-28T00:00:00"/>
    <n v="264"/>
    <s v="Delhi"/>
    <n v="6363.9287999999997"/>
    <n v="1"/>
    <n v="5393.16"/>
    <n v="0"/>
    <n v="0"/>
    <n v="970.76879999999994"/>
    <n v="215.72640000000001"/>
    <n v="1213.461"/>
    <n v="3900.8061369863012"/>
    <n v="2867.0925106849313"/>
    <n v="1096.880089315069"/>
    <d v="2025-02-27T00:00:00"/>
    <n v="5393.16"/>
    <m/>
  </r>
  <r>
    <s v="Valid"/>
    <n v="202506"/>
    <s v="GMC021090100AV"/>
    <s v="A V GLOBAL CORPORATION PRIVATE LIMITED"/>
    <d v="2025-06-10T00:00:00"/>
    <d v="2026-06-09T00:00:00"/>
    <s v="Nandita Mehta"/>
    <x v="99"/>
    <d v="1993-01-18T00:00:00"/>
    <x v="317"/>
    <d v="2025-06-10T00:00:00"/>
    <n v="0.04"/>
    <n v="0.22500000000000001"/>
    <d v="2025-06-10T00:00:00"/>
    <d v="2026-06-09T00:00:00"/>
    <m/>
    <m/>
    <n v="32"/>
    <s v="0-35"/>
    <x v="1"/>
    <x v="1"/>
    <n v="1000000"/>
    <n v="0"/>
    <n v="0"/>
    <n v="365"/>
    <d v="2026-02-28T00:00:00"/>
    <n v="264"/>
    <s v="Delhi"/>
    <n v="6363.9287999999997"/>
    <n v="1"/>
    <n v="5393.16"/>
    <n v="0"/>
    <n v="0"/>
    <n v="970.76879999999994"/>
    <n v="215.72640000000001"/>
    <n v="1213.461"/>
    <n v="3900.8061369863012"/>
    <n v="2867.0925106849313"/>
    <n v="1096.880089315069"/>
    <d v="2025-02-27T00:00:00"/>
    <n v="5393.16"/>
    <m/>
  </r>
  <r>
    <s v="Valid"/>
    <n v="202506"/>
    <s v="GMC021090100AV"/>
    <s v="A V GLOBAL CORPORATION PRIVATE LIMITED"/>
    <d v="2025-06-10T00:00:00"/>
    <d v="2026-06-09T00:00:00"/>
    <s v="Liladhar Sati"/>
    <x v="100"/>
    <d v="1964-09-05T00:00:00"/>
    <x v="318"/>
    <d v="2025-06-10T00:00:00"/>
    <n v="0.04"/>
    <n v="0.22500000000000001"/>
    <d v="2025-06-10T00:00:00"/>
    <d v="2026-06-09T00:00:00"/>
    <m/>
    <m/>
    <n v="60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Rekha Sati"/>
    <x v="100"/>
    <d v="1968-10-23T00:00:00"/>
    <x v="319"/>
    <d v="2025-06-10T00:00:00"/>
    <n v="0.04"/>
    <n v="0.22500000000000001"/>
    <d v="2025-06-10T00:00:00"/>
    <d v="2026-06-09T00:00:00"/>
    <m/>
    <m/>
    <n v="56"/>
    <s v="56-65"/>
    <x v="1"/>
    <x v="1"/>
    <n v="300000"/>
    <n v="0"/>
    <n v="0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Ashok Kumar Srivastava"/>
    <x v="101"/>
    <d v="1971-07-01T00:00:00"/>
    <x v="320"/>
    <d v="2025-06-10T00:00:00"/>
    <n v="0.04"/>
    <n v="0.22500000000000001"/>
    <d v="2025-06-10T00:00:00"/>
    <d v="2026-06-09T00:00:00"/>
    <m/>
    <m/>
    <n v="53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Tanishq Srivastava"/>
    <x v="101"/>
    <d v="2006-02-16T00:00:00"/>
    <x v="321"/>
    <d v="2025-06-10T00:00:00"/>
    <n v="0.04"/>
    <n v="0.22500000000000001"/>
    <d v="2025-06-10T00:00:00"/>
    <d v="2026-06-09T00:00:00"/>
    <m/>
    <m/>
    <n v="1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aya Srivastava"/>
    <x v="101"/>
    <d v="1973-11-26T00:00:00"/>
    <x v="322"/>
    <d v="2025-06-10T00:00:00"/>
    <n v="0.04"/>
    <n v="0.22500000000000001"/>
    <d v="2025-06-10T00:00:00"/>
    <d v="2026-06-09T00:00:00"/>
    <m/>
    <m/>
    <n v="51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Jaimal Singh Bisht"/>
    <x v="102"/>
    <d v="1977-03-01T00:00:00"/>
    <x v="323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avina Bisht"/>
    <x v="102"/>
    <d v="2003-07-22T00:00:00"/>
    <x v="324"/>
    <d v="2025-06-10T00:00:00"/>
    <n v="0.04"/>
    <n v="0.22500000000000001"/>
    <d v="2025-06-10T00:00:00"/>
    <d v="2026-06-09T00:00:00"/>
    <m/>
    <m/>
    <n v="2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mati Bisht"/>
    <x v="102"/>
    <d v="1983-01-01T00:00:00"/>
    <x v="325"/>
    <d v="2025-06-10T00:00:00"/>
    <n v="0.04"/>
    <n v="0.22500000000000001"/>
    <d v="2025-06-10T00:00:00"/>
    <d v="2026-06-09T00:00:00"/>
    <m/>
    <m/>
    <n v="42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yush Bisht"/>
    <x v="102"/>
    <d v="2004-11-17T00:00:00"/>
    <x v="326"/>
    <d v="2025-06-10T00:00:00"/>
    <n v="0.04"/>
    <n v="0.22500000000000001"/>
    <d v="2025-06-10T00:00:00"/>
    <d v="2026-06-09T00:00:00"/>
    <m/>
    <m/>
    <n v="2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shil Kumar Pandey"/>
    <x v="103"/>
    <d v="1987-11-05T00:00:00"/>
    <x v="327"/>
    <d v="2025-06-10T00:00:00"/>
    <n v="0.04"/>
    <n v="0.22500000000000001"/>
    <d v="2025-06-10T00:00:00"/>
    <d v="2026-06-09T00:00:00"/>
    <m/>
    <m/>
    <n v="37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ekha Pandey"/>
    <x v="103"/>
    <d v="1990-08-16T00:00:00"/>
    <x v="328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isha Pandey"/>
    <x v="103"/>
    <d v="2018-03-10T00:00:00"/>
    <x v="329"/>
    <d v="2025-06-10T00:00:00"/>
    <n v="0.04"/>
    <n v="0.22500000000000001"/>
    <d v="2025-06-10T00:00:00"/>
    <d v="2026-06-09T00:00:00"/>
    <m/>
    <m/>
    <n v="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udra Pandey"/>
    <x v="103"/>
    <d v="2013-02-16T00:00:00"/>
    <x v="330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hanasekar R A"/>
    <x v="104"/>
    <d v="1977-04-16T00:00:00"/>
    <x v="331"/>
    <d v="2025-06-10T00:00:00"/>
    <n v="0.04"/>
    <n v="0.22500000000000001"/>
    <d v="2025-06-10T00:00:00"/>
    <d v="2026-06-09T00:00:00"/>
    <m/>
    <m/>
    <n v="48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D Vimalabhavani"/>
    <x v="104"/>
    <d v="2003-07-04T00:00:00"/>
    <x v="332"/>
    <d v="2025-06-10T00:00:00"/>
    <n v="0.04"/>
    <n v="0.22500000000000001"/>
    <d v="2025-06-10T00:00:00"/>
    <d v="2026-06-09T00:00:00"/>
    <m/>
    <m/>
    <n v="2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 Gajalakshsmi"/>
    <x v="104"/>
    <d v="1984-05-22T00:00:00"/>
    <x v="333"/>
    <d v="2025-06-10T00:00:00"/>
    <n v="0.04"/>
    <n v="0.22500000000000001"/>
    <d v="2025-06-10T00:00:00"/>
    <d v="2026-06-09T00:00:00"/>
    <m/>
    <m/>
    <n v="41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 Vigneshbalaji"/>
    <x v="104"/>
    <d v="2003-07-04T00:00:00"/>
    <x v="334"/>
    <d v="2025-06-10T00:00:00"/>
    <n v="0.04"/>
    <n v="0.22500000000000001"/>
    <d v="2025-06-10T00:00:00"/>
    <d v="2026-06-09T00:00:00"/>
    <m/>
    <m/>
    <n v="2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kthivel Sha V"/>
    <x v="105"/>
    <d v="1975-03-15T00:00:00"/>
    <x v="335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 Rajebai"/>
    <x v="105"/>
    <d v="1975-07-08T00:00:00"/>
    <x v="336"/>
    <d v="2025-06-10T00:00:00"/>
    <n v="0.04"/>
    <n v="0.22500000000000001"/>
    <d v="2025-06-10T00:00:00"/>
    <d v="2026-06-09T00:00:00"/>
    <m/>
    <m/>
    <n v="49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 Priyabai"/>
    <x v="105"/>
    <d v="2004-02-09T00:00:00"/>
    <x v="337"/>
    <d v="2025-06-10T00:00:00"/>
    <n v="0.04"/>
    <n v="0.22500000000000001"/>
    <d v="2025-06-10T00:00:00"/>
    <d v="2026-06-09T00:00:00"/>
    <m/>
    <m/>
    <n v="2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 Prakash Sha"/>
    <x v="105"/>
    <d v="2001-12-15T00:00:00"/>
    <x v="338"/>
    <d v="2025-06-10T00:00:00"/>
    <n v="0.04"/>
    <n v="0.22500000000000001"/>
    <d v="2025-06-10T00:00:00"/>
    <d v="2026-06-09T00:00:00"/>
    <m/>
    <m/>
    <n v="2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rathiraja P"/>
    <x v="106"/>
    <d v="1989-04-25T00:00:00"/>
    <x v="339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Geetha"/>
    <x v="106"/>
    <d v="1993-04-30T00:00:00"/>
    <x v="340"/>
    <d v="2025-06-10T00:00:00"/>
    <n v="0.04"/>
    <n v="0.22500000000000001"/>
    <d v="2025-06-10T00:00:00"/>
    <d v="2026-06-09T00:00:00"/>
    <m/>
    <m/>
    <n v="32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 G Vamsi Krishna"/>
    <x v="106"/>
    <d v="2018-10-27T00:00:00"/>
    <x v="341"/>
    <d v="2025-06-10T00:00:00"/>
    <n v="0.04"/>
    <n v="0.22500000000000001"/>
    <d v="2025-06-10T00:00:00"/>
    <d v="2026-06-09T00:00:00"/>
    <m/>
    <m/>
    <n v="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 G Narun Kanna"/>
    <x v="106"/>
    <d v="2020-02-07T00:00:00"/>
    <x v="342"/>
    <d v="2025-06-10T00:00:00"/>
    <n v="0.04"/>
    <n v="0.22500000000000001"/>
    <d v="2025-06-10T00:00:00"/>
    <d v="2026-06-09T00:00:00"/>
    <m/>
    <m/>
    <n v="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upesh Balan"/>
    <x v="107"/>
    <d v="1982-01-15T00:00:00"/>
    <x v="343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aji Rupesh"/>
    <x v="107"/>
    <d v="1985-02-28T00:00:00"/>
    <x v="344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rnav Rupesh"/>
    <x v="107"/>
    <d v="2013-08-13T00:00:00"/>
    <x v="345"/>
    <d v="2025-06-10T00:00:00"/>
    <n v="0.04"/>
    <n v="0.22500000000000001"/>
    <d v="2025-06-10T00:00:00"/>
    <d v="2026-06-09T00:00:00"/>
    <m/>
    <m/>
    <n v="1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ahan Rupesh"/>
    <x v="107"/>
    <d v="2018-04-19T00:00:00"/>
    <x v="346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u S"/>
    <x v="108"/>
    <d v="1988-02-04T00:00:00"/>
    <x v="347"/>
    <d v="2025-06-10T00:00:00"/>
    <n v="0.04"/>
    <n v="0.22500000000000001"/>
    <d v="2025-06-10T00:00:00"/>
    <d v="2026-06-09T00:00:00"/>
    <m/>
    <m/>
    <n v="37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birami R"/>
    <x v="108"/>
    <d v="1997-04-08T00:00:00"/>
    <x v="348"/>
    <d v="2025-06-10T00:00:00"/>
    <n v="0.04"/>
    <n v="0.22500000000000001"/>
    <d v="2025-06-10T00:00:00"/>
    <d v="2026-06-09T00:00:00"/>
    <m/>
    <m/>
    <n v="28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arani R"/>
    <x v="108"/>
    <d v="2018-11-27T00:00:00"/>
    <x v="349"/>
    <d v="2025-06-10T00:00:00"/>
    <n v="0.04"/>
    <n v="0.22500000000000001"/>
    <d v="2025-06-10T00:00:00"/>
    <d v="2026-06-09T00:00:00"/>
    <m/>
    <m/>
    <n v="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gnesh R"/>
    <x v="108"/>
    <d v="2015-07-23T00:00:00"/>
    <x v="350"/>
    <d v="2025-06-10T00:00:00"/>
    <n v="0.04"/>
    <n v="0.22500000000000001"/>
    <d v="2025-06-10T00:00:00"/>
    <d v="2026-06-09T00:00:00"/>
    <m/>
    <m/>
    <n v="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ayanaik Ml"/>
    <x v="109"/>
    <d v="1985-07-25T00:00:00"/>
    <x v="351"/>
    <d v="2025-06-10T00:00:00"/>
    <n v="0.04"/>
    <n v="0.22500000000000001"/>
    <d v="2025-06-10T00:00:00"/>
    <d v="2026-06-09T00:00:00"/>
    <m/>
    <m/>
    <n v="39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okshith J Naik"/>
    <x v="109"/>
    <d v="2013-01-03T00:00:00"/>
    <x v="352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aitra Nb"/>
    <x v="109"/>
    <d v="1991-08-18T00:00:00"/>
    <x v="353"/>
    <d v="2025-06-10T00:00:00"/>
    <n v="0.04"/>
    <n v="0.22500000000000001"/>
    <d v="2025-06-10T00:00:00"/>
    <d v="2026-06-09T00:00:00"/>
    <m/>
    <m/>
    <n v="33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emanth J Naik"/>
    <x v="109"/>
    <d v="2016-07-06T00:00:00"/>
    <x v="354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 Gokulakrishnan"/>
    <x v="110"/>
    <d v="1978-11-20T00:00:00"/>
    <x v="355"/>
    <d v="2025-06-10T00:00:00"/>
    <n v="0.04"/>
    <n v="0.22500000000000001"/>
    <d v="2025-06-10T00:00:00"/>
    <d v="2026-06-09T00:00:00"/>
    <m/>
    <m/>
    <n v="46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G J Mokshika"/>
    <x v="110"/>
    <d v="2013-02-01T00:00:00"/>
    <x v="356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 Jayasudha"/>
    <x v="110"/>
    <d v="1981-05-16T00:00:00"/>
    <x v="357"/>
    <d v="2025-06-10T00:00:00"/>
    <n v="0.04"/>
    <n v="0.22500000000000001"/>
    <d v="2025-06-10T00:00:00"/>
    <d v="2026-06-09T00:00:00"/>
    <m/>
    <m/>
    <n v="44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vinash K K"/>
    <x v="111"/>
    <d v="1986-02-25T00:00:00"/>
    <x v="358"/>
    <d v="2025-06-10T00:00:00"/>
    <n v="0.04"/>
    <n v="0.22500000000000001"/>
    <d v="2025-06-10T00:00:00"/>
    <d v="2026-06-09T00:00:00"/>
    <m/>
    <m/>
    <n v="39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aghavendra K R"/>
    <x v="112"/>
    <d v="1986-06-21T00:00:00"/>
    <x v="359"/>
    <d v="2025-06-10T00:00:00"/>
    <n v="0.04"/>
    <n v="0.22500000000000001"/>
    <d v="2025-06-10T00:00:00"/>
    <d v="2026-06-09T00:00:00"/>
    <m/>
    <m/>
    <n v="38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Tulasi M C"/>
    <x v="112"/>
    <d v="1990-09-23T00:00:00"/>
    <x v="360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Lasya K R"/>
    <x v="112"/>
    <d v="2016-05-06T00:00:00"/>
    <x v="361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impan K R"/>
    <x v="112"/>
    <d v="2021-10-02T00:00:00"/>
    <x v="362"/>
    <d v="2025-06-10T00:00:00"/>
    <n v="0.04"/>
    <n v="0.22500000000000001"/>
    <d v="2025-06-10T00:00:00"/>
    <d v="2026-06-09T00:00:00"/>
    <m/>
    <m/>
    <n v="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uttaswamy H M"/>
    <x v="113"/>
    <d v="1982-07-19T00:00:00"/>
    <x v="363"/>
    <d v="2025-06-10T00:00:00"/>
    <n v="0.04"/>
    <n v="0.22500000000000001"/>
    <d v="2025-06-10T00:00:00"/>
    <d v="2026-06-09T00:00:00"/>
    <m/>
    <m/>
    <n v="42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shwini H S"/>
    <x v="113"/>
    <d v="1994-09-07T00:00:00"/>
    <x v="364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andra Shekar K"/>
    <x v="114"/>
    <d v="1983-08-20T00:00:00"/>
    <x v="365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dvik C"/>
    <x v="114"/>
    <d v="2020-01-28T00:00:00"/>
    <x v="366"/>
    <d v="2025-06-10T00:00:00"/>
    <n v="0.04"/>
    <n v="0.22500000000000001"/>
    <d v="2025-06-10T00:00:00"/>
    <d v="2026-06-09T00:00:00"/>
    <m/>
    <m/>
    <n v="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gyashree"/>
    <x v="114"/>
    <d v="1991-03-02T00:00:00"/>
    <x v="367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 Murugan"/>
    <x v="115"/>
    <d v="1975-06-04T00:00:00"/>
    <x v="368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M Saraswathy"/>
    <x v="115"/>
    <d v="1980-01-18T00:00:00"/>
    <x v="369"/>
    <d v="2025-06-10T00:00:00"/>
    <n v="0.04"/>
    <n v="0.22500000000000001"/>
    <d v="2025-06-10T00:00:00"/>
    <d v="2026-06-09T00:00:00"/>
    <m/>
    <m/>
    <n v="45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 Vijay"/>
    <x v="115"/>
    <d v="2005-06-06T00:00:00"/>
    <x v="370"/>
    <d v="2025-06-10T00:00:00"/>
    <n v="0.04"/>
    <n v="0.22500000000000001"/>
    <d v="2025-06-10T00:00:00"/>
    <d v="2026-06-09T00:00:00"/>
    <m/>
    <m/>
    <n v="2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 Kanaga"/>
    <x v="115"/>
    <d v="2003-09-19T00:00:00"/>
    <x v="371"/>
    <d v="2025-06-10T00:00:00"/>
    <n v="0.04"/>
    <n v="0.22500000000000001"/>
    <d v="2025-06-10T00:00:00"/>
    <d v="2026-06-09T00:00:00"/>
    <m/>
    <m/>
    <n v="2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 Rajendiran"/>
    <x v="116"/>
    <d v="1989-05-11T00:00:00"/>
    <x v="372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krish"/>
    <x v="116"/>
    <d v="2015-09-24T00:00:00"/>
    <x v="373"/>
    <d v="2025-06-10T00:00:00"/>
    <n v="0.04"/>
    <n v="0.22500000000000001"/>
    <d v="2025-06-10T00:00:00"/>
    <d v="2026-06-09T00:00:00"/>
    <m/>
    <m/>
    <n v="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nanthi"/>
    <x v="116"/>
    <d v="1988-06-22T00:00:00"/>
    <x v="374"/>
    <d v="2025-06-10T00:00:00"/>
    <n v="0.04"/>
    <n v="0.22500000000000001"/>
    <d v="2025-06-10T00:00:00"/>
    <d v="2026-06-09T00:00:00"/>
    <m/>
    <m/>
    <n v="36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lekhashree"/>
    <x v="116"/>
    <d v="2017-02-04T00:00:00"/>
    <x v="375"/>
    <d v="2025-06-10T00:00:00"/>
    <n v="0.04"/>
    <n v="0.22500000000000001"/>
    <d v="2025-06-10T00:00:00"/>
    <d v="2026-06-09T00:00:00"/>
    <m/>
    <m/>
    <n v="8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esh Krishnaraj"/>
    <x v="117"/>
    <d v="1971-01-05T00:00:00"/>
    <x v="376"/>
    <d v="2025-06-10T00:00:00"/>
    <n v="0.04"/>
    <n v="0.22500000000000001"/>
    <d v="2025-06-10T00:00:00"/>
    <d v="2026-06-09T00:00:00"/>
    <m/>
    <m/>
    <n v="54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 Samyuktha"/>
    <x v="117"/>
    <d v="1976-07-03T00:00:00"/>
    <x v="377"/>
    <d v="2025-06-10T00:00:00"/>
    <n v="0.04"/>
    <n v="0.22500000000000001"/>
    <d v="2025-06-10T00:00:00"/>
    <d v="2026-06-09T00:00:00"/>
    <m/>
    <m/>
    <n v="48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 Umamaheswari"/>
    <x v="117"/>
    <d v="2004-02-10T00:00:00"/>
    <x v="378"/>
    <d v="2025-06-10T00:00:00"/>
    <n v="0.04"/>
    <n v="0.22500000000000001"/>
    <d v="2025-06-10T00:00:00"/>
    <d v="2026-06-09T00:00:00"/>
    <m/>
    <m/>
    <n v="21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vi Kumar Rawal"/>
    <x v="118"/>
    <d v="1987-01-20T00:00:00"/>
    <x v="379"/>
    <d v="2025-06-10T00:00:00"/>
    <n v="0.04"/>
    <n v="0.22500000000000001"/>
    <d v="2025-06-10T00:00:00"/>
    <d v="2026-06-09T00:00:00"/>
    <m/>
    <m/>
    <n v="38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yush Rawal"/>
    <x v="118"/>
    <d v="2014-12-26T00:00:00"/>
    <x v="380"/>
    <d v="2025-06-10T00:00:00"/>
    <n v="0.04"/>
    <n v="0.22500000000000001"/>
    <d v="2025-06-10T00:00:00"/>
    <d v="2026-06-09T00:00:00"/>
    <m/>
    <m/>
    <n v="1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ince Rawal"/>
    <x v="118"/>
    <d v="2013-12-15T00:00:00"/>
    <x v="381"/>
    <d v="2025-06-10T00:00:00"/>
    <n v="0.04"/>
    <n v="0.22500000000000001"/>
    <d v="2025-06-10T00:00:00"/>
    <d v="2026-06-09T00:00:00"/>
    <m/>
    <m/>
    <n v="1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obha"/>
    <x v="118"/>
    <d v="1988-07-05T00:00:00"/>
    <x v="382"/>
    <d v="2025-06-10T00:00:00"/>
    <n v="0.04"/>
    <n v="0.22500000000000001"/>
    <d v="2025-06-10T00:00:00"/>
    <d v="2026-06-09T00:00:00"/>
    <m/>
    <m/>
    <n v="36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ivek Kumar"/>
    <x v="119"/>
    <d v="1973-03-05T00:00:00"/>
    <x v="383"/>
    <d v="2025-06-10T00:00:00"/>
    <n v="0.04"/>
    <n v="0.22500000000000001"/>
    <d v="2025-06-10T00:00:00"/>
    <d v="2026-06-09T00:00:00"/>
    <m/>
    <m/>
    <n v="52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Prabal Srivastav"/>
    <x v="119"/>
    <d v="2012-01-01T00:00:00"/>
    <x v="384"/>
    <d v="2025-06-10T00:00:00"/>
    <n v="0.04"/>
    <n v="0.22500000000000001"/>
    <d v="2025-06-10T00:00:00"/>
    <d v="2026-06-09T00:00:00"/>
    <m/>
    <m/>
    <n v="1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yoti Srivastav"/>
    <x v="119"/>
    <d v="1990-09-14T00:00:00"/>
    <x v="385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ri Pal"/>
    <x v="120"/>
    <d v="1974-07-12T00:00:00"/>
    <x v="386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ntosh"/>
    <x v="120"/>
    <d v="1976-01-01T00:00:00"/>
    <x v="387"/>
    <d v="2025-06-10T00:00:00"/>
    <n v="0.04"/>
    <n v="0.22500000000000001"/>
    <d v="2025-06-10T00:00:00"/>
    <d v="2026-06-09T00:00:00"/>
    <m/>
    <m/>
    <n v="49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Preeti"/>
    <x v="120"/>
    <d v="2000-09-10T00:00:00"/>
    <x v="388"/>
    <d v="2025-06-10T00:00:00"/>
    <n v="0.04"/>
    <n v="0.22500000000000001"/>
    <d v="2025-06-10T00:00:00"/>
    <d v="2026-06-09T00:00:00"/>
    <m/>
    <m/>
    <n v="2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ilendra Singh Thakur"/>
    <x v="121"/>
    <d v="1987-05-04T00:00:00"/>
    <x v="389"/>
    <d v="2025-06-10T00:00:00"/>
    <n v="0.04"/>
    <n v="0.22500000000000001"/>
    <d v="2025-06-10T00:00:00"/>
    <d v="2026-06-09T00:00:00"/>
    <m/>
    <m/>
    <n v="38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hakuntla Singh"/>
    <x v="121"/>
    <d v="1992-01-01T00:00:00"/>
    <x v="390"/>
    <d v="2025-06-10T00:00:00"/>
    <n v="0.04"/>
    <n v="0.22500000000000001"/>
    <d v="2025-06-10T00:00:00"/>
    <d v="2026-06-09T00:00:00"/>
    <m/>
    <m/>
    <n v="33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Yatharth Singh"/>
    <x v="121"/>
    <d v="2017-05-26T00:00:00"/>
    <x v="391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udransh Singh"/>
    <x v="121"/>
    <d v="2020-11-13T00:00:00"/>
    <x v="392"/>
    <d v="2025-06-10T00:00:00"/>
    <n v="0.04"/>
    <n v="0.22500000000000001"/>
    <d v="2025-06-10T00:00:00"/>
    <d v="2026-06-09T00:00:00"/>
    <m/>
    <m/>
    <n v="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eepak Pathak"/>
    <x v="122"/>
    <d v="1990-04-27T00:00:00"/>
    <x v="393"/>
    <d v="2025-06-10T00:00:00"/>
    <n v="0.04"/>
    <n v="0.22500000000000001"/>
    <d v="2025-06-10T00:00:00"/>
    <d v="2026-06-09T00:00:00"/>
    <m/>
    <m/>
    <n v="3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onika Mishra"/>
    <x v="122"/>
    <d v="1997-12-19T00:00:00"/>
    <x v="394"/>
    <d v="2025-06-10T00:00:00"/>
    <n v="0.04"/>
    <n v="0.22500000000000001"/>
    <d v="2025-06-10T00:00:00"/>
    <d v="2026-06-09T00:00:00"/>
    <m/>
    <m/>
    <n v="27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rishti Pathak"/>
    <x v="122"/>
    <d v="2024-09-10T00:00:00"/>
    <x v="395"/>
    <d v="2025-06-10T00:00:00"/>
    <n v="0.04"/>
    <n v="0.22500000000000001"/>
    <d v="2025-06-10T00:00:00"/>
    <d v="2026-06-09T00:00:00"/>
    <m/>
    <m/>
    <n v="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Y Praveen"/>
    <x v="123"/>
    <d v="1992-07-28T00:00:00"/>
    <x v="396"/>
    <d v="2025-06-10T00:00:00"/>
    <n v="0.04"/>
    <n v="0.22500000000000001"/>
    <d v="2025-06-10T00:00:00"/>
    <d v="2026-06-09T00:00:00"/>
    <m/>
    <m/>
    <n v="3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olla Kusuma"/>
    <x v="123"/>
    <d v="2003-05-06T00:00:00"/>
    <x v="397"/>
    <d v="2025-06-10T00:00:00"/>
    <n v="0.04"/>
    <n v="0.22500000000000001"/>
    <d v="2025-06-10T00:00:00"/>
    <d v="2026-06-09T00:00:00"/>
    <m/>
    <m/>
    <n v="22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jay Sarkar"/>
    <x v="124"/>
    <d v="1984-01-20T00:00:00"/>
    <x v="398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Tiasha Sarkar"/>
    <x v="124"/>
    <d v="2010-10-28T00:00:00"/>
    <x v="399"/>
    <d v="2025-06-10T00:00:00"/>
    <n v="0.04"/>
    <n v="0.22500000000000001"/>
    <d v="2025-06-10T00:00:00"/>
    <d v="2026-06-09T00:00:00"/>
    <m/>
    <m/>
    <n v="1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mpi Sarkar"/>
    <x v="124"/>
    <d v="1990-02-10T00:00:00"/>
    <x v="400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mpad Kundu"/>
    <x v="125"/>
    <d v="1986-07-19T00:00:00"/>
    <x v="401"/>
    <d v="2025-06-10T00:00:00"/>
    <n v="0.04"/>
    <n v="0.22500000000000001"/>
    <d v="2025-06-10T00:00:00"/>
    <d v="2026-06-09T00:00:00"/>
    <m/>
    <m/>
    <n v="38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Koyel Kundu"/>
    <x v="125"/>
    <d v="1994-10-11T00:00:00"/>
    <x v="402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urba Kundu"/>
    <x v="125"/>
    <d v="2015-08-31T00:00:00"/>
    <x v="403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nendra Kumar Bose"/>
    <x v="126"/>
    <d v="1968-09-07T00:00:00"/>
    <x v="404"/>
    <d v="2025-06-10T00:00:00"/>
    <n v="0.04"/>
    <n v="0.22500000000000001"/>
    <d v="2025-06-10T00:00:00"/>
    <d v="2026-06-09T00:00:00"/>
    <m/>
    <m/>
    <n v="56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Sujata Bose"/>
    <x v="126"/>
    <d v="1971-05-16T00:00:00"/>
    <x v="405"/>
    <d v="2025-06-10T00:00:00"/>
    <n v="0.04"/>
    <n v="0.22500000000000001"/>
    <d v="2025-06-10T00:00:00"/>
    <d v="2026-06-09T00:00:00"/>
    <m/>
    <m/>
    <n v="54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jay Goswami"/>
    <x v="127"/>
    <d v="1983-10-01T00:00:00"/>
    <x v="406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rik Goshwami"/>
    <x v="127"/>
    <d v="2015-03-15T00:00:00"/>
    <x v="407"/>
    <d v="2025-06-10T00:00:00"/>
    <n v="0.04"/>
    <n v="0.22500000000000001"/>
    <d v="2025-06-10T00:00:00"/>
    <d v="2026-06-09T00:00:00"/>
    <m/>
    <m/>
    <n v="1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mpa Goswami"/>
    <x v="127"/>
    <d v="1995-05-27T00:00:00"/>
    <x v="408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anda Dulal Samadder"/>
    <x v="128"/>
    <d v="1967-06-20T00:00:00"/>
    <x v="409"/>
    <d v="2025-06-10T00:00:00"/>
    <n v="0.04"/>
    <n v="0.22500000000000001"/>
    <d v="2025-06-10T00:00:00"/>
    <d v="2026-06-09T00:00:00"/>
    <m/>
    <m/>
    <n v="57"/>
    <s v="56-65"/>
    <x v="0"/>
    <x v="0"/>
    <n v="300000"/>
    <n v="300000"/>
    <n v="1"/>
    <n v="365"/>
    <d v="2026-02-28T00:00:00"/>
    <n v="264"/>
    <s v="Delhi"/>
    <n v="16811.448199999999"/>
    <n v="1"/>
    <n v="14246.99"/>
    <n v="0"/>
    <n v="0"/>
    <n v="2564.4582"/>
    <n v="569.87959999999998"/>
    <n v="3205.5727499999998"/>
    <n v="10304.672219178083"/>
    <n v="7573.9340810958911"/>
    <n v="2897.6035689041087"/>
    <d v="2025-02-27T00:00:00"/>
    <n v="14246.99"/>
    <m/>
  </r>
  <r>
    <s v="Valid"/>
    <n v="202506"/>
    <s v="GMC021090100AV"/>
    <s v="A V GLOBAL CORPORATION PRIVATE LIMITED"/>
    <d v="2025-06-10T00:00:00"/>
    <d v="2026-06-09T00:00:00"/>
    <s v="Nayan Samadder"/>
    <x v="128"/>
    <d v="2011-08-14T00:00:00"/>
    <x v="410"/>
    <d v="2025-06-10T00:00:00"/>
    <n v="0.04"/>
    <n v="0.22500000000000001"/>
    <d v="2025-06-10T00:00:00"/>
    <d v="2026-06-09T00:00:00"/>
    <m/>
    <m/>
    <n v="1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ipti Rani Samadder"/>
    <x v="128"/>
    <d v="1988-04-12T00:00:00"/>
    <x v="411"/>
    <d v="2025-06-10T00:00:00"/>
    <n v="0.04"/>
    <n v="0.22500000000000001"/>
    <d v="2025-06-10T00:00:00"/>
    <d v="2026-06-09T00:00:00"/>
    <m/>
    <m/>
    <n v="37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Chandan Ghosh"/>
    <x v="129"/>
    <d v="1986-05-08T00:00:00"/>
    <x v="412"/>
    <d v="2025-06-10T00:00:00"/>
    <n v="0.04"/>
    <n v="0.22500000000000001"/>
    <d v="2025-06-10T00:00:00"/>
    <d v="2026-06-09T00:00:00"/>
    <m/>
    <m/>
    <n v="39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ipanita Ghosh"/>
    <x v="129"/>
    <d v="1991-10-22T00:00:00"/>
    <x v="413"/>
    <d v="2025-06-10T00:00:00"/>
    <n v="0.04"/>
    <n v="0.22500000000000001"/>
    <d v="2025-06-10T00:00:00"/>
    <d v="2026-06-09T00:00:00"/>
    <m/>
    <m/>
    <n v="33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ipon Ghosh"/>
    <x v="129"/>
    <d v="2014-03-09T00:00:00"/>
    <x v="414"/>
    <d v="2025-06-10T00:00:00"/>
    <n v="0.04"/>
    <n v="0.22500000000000001"/>
    <d v="2025-06-10T00:00:00"/>
    <d v="2026-06-09T00:00:00"/>
    <m/>
    <m/>
    <n v="1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nay Vijay Vartak"/>
    <x v="130"/>
    <d v="1991-05-29T00:00:00"/>
    <x v="415"/>
    <d v="2025-06-10T00:00:00"/>
    <n v="0.04"/>
    <n v="0.22500000000000001"/>
    <d v="2025-06-10T00:00:00"/>
    <d v="2026-06-09T00:00:00"/>
    <m/>
    <m/>
    <n v="3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mira Vinay Vartak"/>
    <x v="130"/>
    <d v="2000-07-29T00:00:00"/>
    <x v="416"/>
    <d v="2025-06-10T00:00:00"/>
    <n v="0.04"/>
    <n v="0.22500000000000001"/>
    <d v="2025-06-10T00:00:00"/>
    <d v="2026-06-09T00:00:00"/>
    <m/>
    <m/>
    <n v="2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uthu Naik"/>
    <x v="131"/>
    <d v="1975-06-01T00:00:00"/>
    <x v="417"/>
    <d v="2025-06-10T00:00:00"/>
    <n v="0.04"/>
    <n v="0.22500000000000001"/>
    <d v="2025-06-10T00:00:00"/>
    <d v="2026-06-09T00:00:00"/>
    <m/>
    <m/>
    <n v="50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hana M"/>
    <x v="131"/>
    <d v="2001-09-30T00:00:00"/>
    <x v="418"/>
    <d v="2025-06-10T00:00:00"/>
    <n v="0.04"/>
    <n v="0.22500000000000001"/>
    <d v="2025-06-10T00:00:00"/>
    <d v="2026-06-09T00:00:00"/>
    <m/>
    <m/>
    <n v="2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eeta"/>
    <x v="131"/>
    <d v="1984-08-08T00:00:00"/>
    <x v="419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anoj Kumar"/>
    <x v="131"/>
    <d v="2003-10-02T00:00:00"/>
    <x v="420"/>
    <d v="2025-06-10T00:00:00"/>
    <n v="0.04"/>
    <n v="0.22500000000000001"/>
    <d v="2025-06-10T00:00:00"/>
    <d v="2026-06-09T00:00:00"/>
    <m/>
    <m/>
    <n v="2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aresh Yadavally"/>
    <x v="132"/>
    <d v="1984-04-24T00:00:00"/>
    <x v="421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nnapurna Yadavally"/>
    <x v="132"/>
    <d v="1993-06-19T00:00:00"/>
    <x v="422"/>
    <d v="2025-06-10T00:00:00"/>
    <n v="0.04"/>
    <n v="0.22500000000000001"/>
    <d v="2025-06-10T00:00:00"/>
    <d v="2026-06-09T00:00:00"/>
    <m/>
    <m/>
    <n v="3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andini Yadavally"/>
    <x v="132"/>
    <d v="2012-12-12T00:00:00"/>
    <x v="423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okshagnanandan Yadavally"/>
    <x v="132"/>
    <d v="2016-08-05T00:00:00"/>
    <x v="424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khil Sudhakaran S"/>
    <x v="133"/>
    <d v="1993-08-27T00:00:00"/>
    <x v="425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lok P Kadam"/>
    <x v="134"/>
    <d v="1993-12-08T00:00:00"/>
    <x v="426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oumen Halder"/>
    <x v="135"/>
    <d v="1984-04-07T00:00:00"/>
    <x v="427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ohan V S"/>
    <x v="136"/>
    <d v="1993-07-01T00:00:00"/>
    <x v="428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indhu S"/>
    <x v="136"/>
    <d v="2000-02-06T00:00:00"/>
    <x v="429"/>
    <d v="2025-06-10T00:00:00"/>
    <n v="0.04"/>
    <n v="0.22500000000000001"/>
    <d v="2025-06-10T00:00:00"/>
    <d v="2026-06-09T00:00:00"/>
    <m/>
    <m/>
    <n v="2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itendra Kumar Kushwaha"/>
    <x v="137"/>
    <d v="1992-05-05T00:00:00"/>
    <x v="430"/>
    <d v="2025-06-10T00:00:00"/>
    <n v="0.04"/>
    <n v="0.22500000000000001"/>
    <d v="2025-06-10T00:00:00"/>
    <d v="2026-06-09T00:00:00"/>
    <m/>
    <m/>
    <n v="3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pit Kushwaha"/>
    <x v="137"/>
    <d v="2016-07-13T00:00:00"/>
    <x v="431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mbha Devi"/>
    <x v="137"/>
    <d v="1991-03-02T00:00:00"/>
    <x v="432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chin Ghanshyam Neman"/>
    <x v="138"/>
    <d v="1978-12-21T00:00:00"/>
    <x v="433"/>
    <d v="2025-06-10T00:00:00"/>
    <n v="0.04"/>
    <n v="0.22500000000000001"/>
    <d v="2025-06-10T00:00:00"/>
    <d v="2026-06-09T00:00:00"/>
    <m/>
    <m/>
    <n v="46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Aparna Sachin Neman"/>
    <x v="138"/>
    <d v="1984-07-23T00:00:00"/>
    <x v="434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hubham Sachin Neman"/>
    <x v="138"/>
    <d v="2008-07-26T00:00:00"/>
    <x v="435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yur Dilip Wagh"/>
    <x v="139"/>
    <d v="1993-01-05T00:00:00"/>
    <x v="436"/>
    <d v="2025-06-10T00:00:00"/>
    <n v="0.04"/>
    <n v="0.22500000000000001"/>
    <d v="2025-06-10T00:00:00"/>
    <d v="2026-06-09T00:00:00"/>
    <m/>
    <m/>
    <n v="3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chana Mayur Wagh"/>
    <x v="139"/>
    <d v="1999-11-16T00:00:00"/>
    <x v="437"/>
    <d v="2025-06-10T00:00:00"/>
    <n v="0.04"/>
    <n v="0.22500000000000001"/>
    <d v="2025-06-10T00:00:00"/>
    <d v="2026-06-09T00:00:00"/>
    <m/>
    <m/>
    <n v="2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reeyansh Mayur Wagh"/>
    <x v="139"/>
    <d v="2024-09-15T00:00:00"/>
    <x v="438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Tanisha Mehta"/>
    <x v="140"/>
    <d v="1987-03-28T00:00:00"/>
    <x v="439"/>
    <d v="2025-06-10T00:00:00"/>
    <n v="0.04"/>
    <n v="0.22500000000000001"/>
    <d v="2025-06-10T00:00:00"/>
    <d v="2026-06-09T00:00:00"/>
    <m/>
    <m/>
    <n v="38"/>
    <s v="36-45"/>
    <x v="1"/>
    <x v="0"/>
    <n v="1000000"/>
    <n v="1000000"/>
    <n v="1"/>
    <n v="365"/>
    <d v="2026-02-28T00:00:00"/>
    <n v="264"/>
    <s v="Delhi"/>
    <n v="9014.0436000000009"/>
    <n v="1"/>
    <n v="7639.02"/>
    <n v="0"/>
    <n v="0"/>
    <n v="1375.0236"/>
    <n v="305.56080000000003"/>
    <n v="1718.7795000000001"/>
    <n v="5525.2089863013698"/>
    <n v="4061.0286049315068"/>
    <n v="1553.6510950684933"/>
    <d v="2025-02-27T00:00:00"/>
    <n v="7639.02"/>
    <m/>
  </r>
  <r>
    <s v="Valid"/>
    <n v="202506"/>
    <s v="GMC021090100AV"/>
    <s v="A V GLOBAL CORPORATION PRIVATE LIMITED"/>
    <d v="2025-06-10T00:00:00"/>
    <d v="2026-06-09T00:00:00"/>
    <s v="Ankit Jain"/>
    <x v="140"/>
    <d v="1990-01-03T00:00:00"/>
    <x v="440"/>
    <d v="2025-06-10T00:00:00"/>
    <n v="0.04"/>
    <n v="0.22500000000000001"/>
    <d v="2025-06-10T00:00:00"/>
    <d v="2026-06-09T00:00:00"/>
    <m/>
    <m/>
    <n v="35"/>
    <s v="0-35"/>
    <x v="0"/>
    <x v="1"/>
    <n v="1000000"/>
    <n v="0"/>
    <n v="0"/>
    <n v="365"/>
    <d v="2026-02-28T00:00:00"/>
    <n v="264"/>
    <s v="Delhi"/>
    <n v="6363.9287999999997"/>
    <n v="1"/>
    <n v="5393.16"/>
    <n v="0"/>
    <n v="0"/>
    <n v="970.76879999999994"/>
    <n v="215.72640000000001"/>
    <n v="1213.461"/>
    <n v="3900.8061369863012"/>
    <n v="2867.0925106849313"/>
    <n v="1096.880089315069"/>
    <d v="2025-02-27T00:00:00"/>
    <n v="5393.16"/>
    <m/>
  </r>
  <r>
    <s v="Valid"/>
    <n v="202506"/>
    <s v="GMC021090100AV"/>
    <s v="A V GLOBAL CORPORATION PRIVATE LIMITED"/>
    <d v="2025-06-10T00:00:00"/>
    <d v="2026-06-09T00:00:00"/>
    <s v="Arham Jain"/>
    <x v="140"/>
    <d v="2024-06-23T00:00:00"/>
    <x v="441"/>
    <d v="2025-06-10T00:00:00"/>
    <n v="0.04"/>
    <n v="0.22500000000000001"/>
    <d v="2025-06-10T00:00:00"/>
    <d v="2026-06-09T00:00:00"/>
    <m/>
    <m/>
    <n v="0"/>
    <s v="0-35"/>
    <x v="0"/>
    <x v="2"/>
    <n v="1000000"/>
    <n v="0"/>
    <n v="0"/>
    <n v="365"/>
    <d v="2026-02-28T00:00:00"/>
    <n v="264"/>
    <s v="Delhi"/>
    <n v="6363.9287999999997"/>
    <n v="1"/>
    <n v="5393.16"/>
    <n v="0"/>
    <n v="0"/>
    <n v="970.76879999999994"/>
    <n v="215.72640000000001"/>
    <n v="1213.461"/>
    <n v="3900.8061369863012"/>
    <n v="2867.0925106849313"/>
    <n v="1096.880089315069"/>
    <d v="2025-02-27T00:00:00"/>
    <n v="5393.16"/>
    <m/>
  </r>
  <r>
    <s v="Valid"/>
    <n v="202506"/>
    <s v="GMC021090100AV"/>
    <s v="A V GLOBAL CORPORATION PRIVATE LIMITED"/>
    <d v="2025-06-10T00:00:00"/>
    <d v="2026-06-09T00:00:00"/>
    <s v="Rajesh Rajendra Kadam"/>
    <x v="141"/>
    <d v="1988-12-25T00:00:00"/>
    <x v="442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ikita Rajesh Kadam"/>
    <x v="141"/>
    <d v="1990-04-13T00:00:00"/>
    <x v="443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itravi Rajesh Kadam"/>
    <x v="141"/>
    <d v="2022-04-29T00:00:00"/>
    <x v="444"/>
    <d v="2025-06-10T00:00:00"/>
    <n v="0.04"/>
    <n v="0.22500000000000001"/>
    <d v="2025-06-10T00:00:00"/>
    <d v="2026-06-09T00:00:00"/>
    <m/>
    <m/>
    <n v="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vindra Shantaram Janaskar"/>
    <x v="142"/>
    <d v="1988-12-25T00:00:00"/>
    <x v="445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Karuna Ravindra Janaskar"/>
    <x v="142"/>
    <d v="1993-09-12T00:00:00"/>
    <x v="446"/>
    <d v="2025-06-10T00:00:00"/>
    <n v="0.04"/>
    <n v="0.22500000000000001"/>
    <d v="2025-06-10T00:00:00"/>
    <d v="2026-06-09T00:00:00"/>
    <m/>
    <m/>
    <n v="3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shtha Ravindra Janaskar"/>
    <x v="142"/>
    <d v="2023-01-18T00:00:00"/>
    <x v="447"/>
    <d v="2025-06-10T00:00:00"/>
    <n v="0.04"/>
    <n v="0.22500000000000001"/>
    <d v="2025-06-10T00:00:00"/>
    <d v="2026-06-09T00:00:00"/>
    <m/>
    <m/>
    <n v="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esh Kumar"/>
    <x v="143"/>
    <d v="1986-01-29T00:00:00"/>
    <x v="448"/>
    <d v="2025-06-10T00:00:00"/>
    <n v="0.04"/>
    <n v="0.22500000000000001"/>
    <d v="2025-06-10T00:00:00"/>
    <d v="2026-06-09T00:00:00"/>
    <m/>
    <m/>
    <n v="39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Bindiya"/>
    <x v="143"/>
    <d v="1990-01-01T00:00:00"/>
    <x v="449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ivanshi Kaparwan"/>
    <x v="143"/>
    <d v="2021-01-06T00:00:00"/>
    <x v="450"/>
    <d v="2025-06-10T00:00:00"/>
    <n v="0.04"/>
    <n v="0.22500000000000001"/>
    <d v="2025-06-10T00:00:00"/>
    <d v="2026-06-09T00:00:00"/>
    <m/>
    <m/>
    <n v="4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uwan Chandra Bhagat"/>
    <x v="144"/>
    <d v="1996-06-27T00:00:00"/>
    <x v="451"/>
    <d v="2025-06-10T00:00:00"/>
    <n v="0.04"/>
    <n v="0.22500000000000001"/>
    <d v="2025-06-10T00:00:00"/>
    <d v="2026-06-09T00:00:00"/>
    <m/>
    <m/>
    <n v="28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andan Singh"/>
    <x v="145"/>
    <d v="1995-06-06T00:00:00"/>
    <x v="452"/>
    <d v="2025-06-10T00:00:00"/>
    <n v="0.04"/>
    <n v="0.22500000000000001"/>
    <d v="2025-06-10T00:00:00"/>
    <d v="2026-06-09T00:00:00"/>
    <m/>
    <m/>
    <n v="30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inki Chamyal"/>
    <x v="145"/>
    <d v="2002-09-05T00:00:00"/>
    <x v="453"/>
    <d v="2025-06-10T00:00:00"/>
    <n v="0.04"/>
    <n v="0.22500000000000001"/>
    <d v="2025-06-10T00:00:00"/>
    <d v="2026-06-09T00:00:00"/>
    <m/>
    <m/>
    <n v="22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rthak Singh"/>
    <x v="145"/>
    <d v="2024-09-17T00:00:00"/>
    <x v="454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reyas Shashidhar Bangera"/>
    <x v="146"/>
    <d v="1990-02-28T00:00:00"/>
    <x v="455"/>
    <d v="2025-06-10T00:00:00"/>
    <n v="0.04"/>
    <n v="0.22500000000000001"/>
    <d v="2025-06-10T00:00:00"/>
    <d v="2026-06-09T00:00:00"/>
    <m/>
    <m/>
    <n v="3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sad Kamlakar Mhatre"/>
    <x v="147"/>
    <d v="1993-02-04T00:00:00"/>
    <x v="456"/>
    <d v="2025-06-10T00:00:00"/>
    <n v="0.04"/>
    <n v="0.22500000000000001"/>
    <d v="2025-06-10T00:00:00"/>
    <d v="2026-06-09T00:00:00"/>
    <m/>
    <m/>
    <n v="3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tyush Sharma"/>
    <x v="148"/>
    <d v="1992-05-20T00:00:00"/>
    <x v="457"/>
    <d v="2025-06-10T00:00:00"/>
    <n v="0.04"/>
    <n v="0.22500000000000001"/>
    <d v="2025-06-10T00:00:00"/>
    <d v="2026-06-09T00:00:00"/>
    <m/>
    <m/>
    <n v="3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jun Bhausaheb Hadawale"/>
    <x v="149"/>
    <d v="1985-08-30T00:00:00"/>
    <x v="458"/>
    <d v="2025-06-10T00:00:00"/>
    <n v="0.04"/>
    <n v="0.22500000000000001"/>
    <d v="2025-06-10T00:00:00"/>
    <d v="2026-06-09T00:00:00"/>
    <m/>
    <m/>
    <n v="39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eepali Arjun Hadawale"/>
    <x v="149"/>
    <d v="1988-08-04T00:00:00"/>
    <x v="459"/>
    <d v="2025-06-10T00:00:00"/>
    <n v="0.04"/>
    <n v="0.22500000000000001"/>
    <d v="2025-06-10T00:00:00"/>
    <d v="2026-06-09T00:00:00"/>
    <m/>
    <m/>
    <n v="36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Harsh Arjun Hadawale"/>
    <x v="149"/>
    <d v="2012-09-13T00:00:00"/>
    <x v="460"/>
    <d v="2025-06-10T00:00:00"/>
    <n v="0.04"/>
    <n v="0.22500000000000001"/>
    <d v="2025-06-10T00:00:00"/>
    <d v="2026-06-09T00:00:00"/>
    <m/>
    <m/>
    <n v="1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ditya Arjun Hadawale"/>
    <x v="149"/>
    <d v="2016-12-29T00:00:00"/>
    <x v="461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atin Kumar"/>
    <x v="150"/>
    <d v="2000-08-15T00:00:00"/>
    <x v="462"/>
    <d v="2025-06-10T00:00:00"/>
    <n v="0.04"/>
    <n v="0.22500000000000001"/>
    <d v="2025-06-10T00:00:00"/>
    <d v="2026-06-09T00:00:00"/>
    <m/>
    <m/>
    <n v="2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harmender"/>
    <x v="151"/>
    <d v="1995-07-17T00:00:00"/>
    <x v="463"/>
    <d v="2025-06-10T00:00:00"/>
    <n v="0.04"/>
    <n v="0.22500000000000001"/>
    <d v="2025-06-10T00:00:00"/>
    <d v="2026-06-09T00:00:00"/>
    <m/>
    <m/>
    <n v="29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kram Singh"/>
    <x v="152"/>
    <d v="1990-10-20T00:00:00"/>
    <x v="464"/>
    <d v="2025-06-10T00:00:00"/>
    <n v="0.04"/>
    <n v="0.22500000000000001"/>
    <d v="2025-06-10T00:00:00"/>
    <d v="2026-06-09T00:00:00"/>
    <m/>
    <m/>
    <n v="3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aibhav Singh"/>
    <x v="152"/>
    <d v="2018-05-16T00:00:00"/>
    <x v="465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abeeta Chauhan"/>
    <x v="152"/>
    <d v="1997-05-10T00:00:00"/>
    <x v="466"/>
    <d v="2025-06-10T00:00:00"/>
    <n v="0.04"/>
    <n v="0.22500000000000001"/>
    <d v="2025-06-10T00:00:00"/>
    <d v="2026-06-09T00:00:00"/>
    <m/>
    <m/>
    <n v="28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ivansh Singh"/>
    <x v="152"/>
    <d v="2024-03-26T00:00:00"/>
    <x v="467"/>
    <d v="2025-06-10T00:00:00"/>
    <n v="0.04"/>
    <n v="0.22500000000000001"/>
    <d v="2025-06-10T00:00:00"/>
    <d v="2026-06-09T00:00:00"/>
    <m/>
    <m/>
    <n v="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shal"/>
    <x v="153"/>
    <d v="1998-08-06T00:00:00"/>
    <x v="468"/>
    <d v="2025-06-10T00:00:00"/>
    <n v="0.04"/>
    <n v="0.22500000000000001"/>
    <d v="2025-06-10T00:00:00"/>
    <d v="2026-06-09T00:00:00"/>
    <m/>
    <m/>
    <n v="26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jay Bawari"/>
    <x v="154"/>
    <d v="1998-11-15T00:00:00"/>
    <x v="469"/>
    <d v="2025-06-10T00:00:00"/>
    <n v="0.04"/>
    <n v="0.22500000000000001"/>
    <d v="2025-06-10T00:00:00"/>
    <d v="2026-06-09T00:00:00"/>
    <m/>
    <m/>
    <n v="26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ita"/>
    <x v="154"/>
    <d v="1998-03-27T00:00:00"/>
    <x v="470"/>
    <d v="2025-06-10T00:00:00"/>
    <n v="0.04"/>
    <n v="0.22500000000000001"/>
    <d v="2025-06-10T00:00:00"/>
    <d v="2026-06-09T00:00:00"/>
    <m/>
    <m/>
    <n v="27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yansh Bawari"/>
    <x v="154"/>
    <d v="2024-10-19T00:00:00"/>
    <x v="471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eepak Sharma"/>
    <x v="155"/>
    <d v="1999-03-10T00:00:00"/>
    <x v="472"/>
    <d v="2025-06-10T00:00:00"/>
    <n v="0.04"/>
    <n v="0.22500000000000001"/>
    <d v="2025-06-10T00:00:00"/>
    <d v="2026-06-09T00:00:00"/>
    <m/>
    <m/>
    <n v="26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inti Baban Dongre"/>
    <x v="156"/>
    <d v="1981-08-24T00:00:00"/>
    <x v="473"/>
    <d v="2025-06-10T00:00:00"/>
    <n v="0.04"/>
    <n v="0.22500000000000001"/>
    <d v="2025-06-10T00:00:00"/>
    <d v="2026-06-09T00:00:00"/>
    <m/>
    <m/>
    <n v="43"/>
    <s v="36-45"/>
    <x v="1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rushabh Vinod Patil"/>
    <x v="157"/>
    <d v="1997-06-17T00:00:00"/>
    <x v="474"/>
    <d v="2025-06-10T00:00:00"/>
    <n v="0.04"/>
    <n v="0.22500000000000001"/>
    <d v="2025-06-10T00:00:00"/>
    <d v="2026-06-09T00:00:00"/>
    <m/>
    <m/>
    <n v="27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etan Vasant Tandel"/>
    <x v="158"/>
    <d v="1995-07-15T00:00:00"/>
    <x v="475"/>
    <d v="2025-06-10T00:00:00"/>
    <n v="0.04"/>
    <n v="0.22500000000000001"/>
    <d v="2025-06-10T00:00:00"/>
    <d v="2026-06-09T00:00:00"/>
    <m/>
    <m/>
    <n v="29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chin Dattaram Padwal"/>
    <x v="159"/>
    <d v="1981-06-22T00:00:00"/>
    <x v="476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hilpa Sachin Padwal"/>
    <x v="159"/>
    <d v="1987-02-01T00:00:00"/>
    <x v="477"/>
    <d v="2025-06-10T00:00:00"/>
    <n v="0.04"/>
    <n v="0.22500000000000001"/>
    <d v="2025-06-10T00:00:00"/>
    <d v="2026-06-09T00:00:00"/>
    <m/>
    <m/>
    <n v="38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Vedang Sachin Padwal"/>
    <x v="159"/>
    <d v="2011-04-17T00:00:00"/>
    <x v="478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vani Sachin Padwal"/>
    <x v="159"/>
    <d v="2019-12-10T00:00:00"/>
    <x v="479"/>
    <d v="2025-06-10T00:00:00"/>
    <n v="0.04"/>
    <n v="0.22500000000000001"/>
    <d v="2025-06-10T00:00:00"/>
    <d v="2026-06-09T00:00:00"/>
    <m/>
    <m/>
    <n v="5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kash Shamrao Maharnur"/>
    <x v="160"/>
    <d v="1981-11-29T00:00:00"/>
    <x v="480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Laxmi Prakash Maharnur"/>
    <x v="160"/>
    <d v="1991-04-09T00:00:00"/>
    <x v="481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nav Prakash Maharnur"/>
    <x v="160"/>
    <d v="2010-08-08T00:00:00"/>
    <x v="482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gwat Singh"/>
    <x v="161"/>
    <d v="1989-09-14T00:00:00"/>
    <x v="483"/>
    <d v="2025-06-10T00:00:00"/>
    <n v="0.04"/>
    <n v="0.22500000000000001"/>
    <d v="2025-06-10T00:00:00"/>
    <d v="2026-06-09T00:00:00"/>
    <m/>
    <m/>
    <n v="3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eeta Bisht"/>
    <x v="161"/>
    <d v="1997-01-12T00:00:00"/>
    <x v="484"/>
    <d v="2025-06-10T00:00:00"/>
    <n v="0.04"/>
    <n v="0.22500000000000001"/>
    <d v="2025-06-10T00:00:00"/>
    <d v="2026-06-09T00:00:00"/>
    <m/>
    <m/>
    <n v="28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aibhav Bisht"/>
    <x v="161"/>
    <d v="2022-12-08T00:00:00"/>
    <x v="485"/>
    <d v="2025-06-10T00:00:00"/>
    <n v="0.04"/>
    <n v="0.22500000000000001"/>
    <d v="2025-06-10T00:00:00"/>
    <d v="2026-06-09T00:00:00"/>
    <m/>
    <m/>
    <n v="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kit Naugain"/>
    <x v="162"/>
    <d v="1994-08-27T00:00:00"/>
    <x v="486"/>
    <d v="2025-06-10T00:00:00"/>
    <n v="0.04"/>
    <n v="0.22500000000000001"/>
    <d v="2025-06-10T00:00:00"/>
    <d v="2026-06-09T00:00:00"/>
    <m/>
    <m/>
    <n v="30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ivani"/>
    <x v="162"/>
    <d v="1997-09-19T00:00:00"/>
    <x v="487"/>
    <d v="2025-06-10T00:00:00"/>
    <n v="0.04"/>
    <n v="0.22500000000000001"/>
    <d v="2025-06-10T00:00:00"/>
    <d v="2026-06-09T00:00:00"/>
    <m/>
    <m/>
    <n v="27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sh Naugain"/>
    <x v="162"/>
    <d v="2021-02-09T00:00:00"/>
    <x v="488"/>
    <d v="2025-06-10T00:00:00"/>
    <n v="0.04"/>
    <n v="0.22500000000000001"/>
    <d v="2025-06-10T00:00:00"/>
    <d v="2026-06-09T00:00:00"/>
    <m/>
    <m/>
    <n v="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uneet Jain"/>
    <x v="163"/>
    <d v="1989-12-30T00:00:00"/>
    <x v="489"/>
    <d v="2025-06-10T00:00:00"/>
    <n v="0.04"/>
    <n v="0.22500000000000001"/>
    <d v="2025-06-10T00:00:00"/>
    <d v="2026-06-09T00:00:00"/>
    <m/>
    <m/>
    <n v="3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msa Jain"/>
    <x v="163"/>
    <d v="1993-10-10T00:00:00"/>
    <x v="490"/>
    <d v="2025-06-10T00:00:00"/>
    <n v="0.04"/>
    <n v="0.22500000000000001"/>
    <d v="2025-06-10T00:00:00"/>
    <d v="2026-06-09T00:00:00"/>
    <m/>
    <m/>
    <n v="3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purna Jain"/>
    <x v="163"/>
    <d v="2022-09-05T00:00:00"/>
    <x v="491"/>
    <d v="2025-06-10T00:00:00"/>
    <n v="0.04"/>
    <n v="0.22500000000000001"/>
    <d v="2025-06-10T00:00:00"/>
    <d v="2026-06-09T00:00:00"/>
    <m/>
    <m/>
    <n v="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ilip Chaudhari"/>
    <x v="164"/>
    <d v="1999-05-05T00:00:00"/>
    <x v="492"/>
    <d v="2025-06-10T00:00:00"/>
    <n v="0.04"/>
    <n v="0.22500000000000001"/>
    <d v="2025-06-10T00:00:00"/>
    <d v="2026-06-09T00:00:00"/>
    <m/>
    <m/>
    <n v="26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arish Kumar"/>
    <x v="165"/>
    <d v="1992-05-07T00:00:00"/>
    <x v="493"/>
    <d v="2025-06-10T00:00:00"/>
    <n v="0.04"/>
    <n v="0.22500000000000001"/>
    <d v="2025-06-10T00:00:00"/>
    <d v="2026-06-09T00:00:00"/>
    <m/>
    <m/>
    <n v="3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wana"/>
    <x v="165"/>
    <d v="1997-01-25T00:00:00"/>
    <x v="494"/>
    <d v="2025-06-10T00:00:00"/>
    <n v="0.04"/>
    <n v="0.22500000000000001"/>
    <d v="2025-06-10T00:00:00"/>
    <d v="2026-06-09T00:00:00"/>
    <m/>
    <m/>
    <n v="28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onu"/>
    <x v="166"/>
    <d v="1994-07-01T00:00:00"/>
    <x v="495"/>
    <d v="2025-06-10T00:00:00"/>
    <n v="0.04"/>
    <n v="0.22500000000000001"/>
    <d v="2025-06-10T00:00:00"/>
    <d v="2026-06-09T00:00:00"/>
    <m/>
    <m/>
    <n v="30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tesh Dilip Koli"/>
    <x v="167"/>
    <d v="1995-05-15T00:00:00"/>
    <x v="496"/>
    <d v="2025-06-10T00:00:00"/>
    <n v="0.04"/>
    <n v="0.22500000000000001"/>
    <d v="2025-06-10T00:00:00"/>
    <d v="2026-06-09T00:00:00"/>
    <m/>
    <m/>
    <n v="30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endra Tulshidas Thakur"/>
    <x v="168"/>
    <d v="1984-06-07T00:00:00"/>
    <x v="497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Bhagyashree Rajendra Thakur"/>
    <x v="168"/>
    <d v="1992-03-27T00:00:00"/>
    <x v="498"/>
    <d v="2025-06-10T00:00:00"/>
    <n v="0.04"/>
    <n v="0.22500000000000001"/>
    <d v="2025-06-10T00:00:00"/>
    <d v="2026-06-09T00:00:00"/>
    <m/>
    <m/>
    <n v="33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iyansh Rajendra Thakur"/>
    <x v="168"/>
    <d v="2016-12-23T00:00:00"/>
    <x v="499"/>
    <d v="2025-06-10T00:00:00"/>
    <n v="0.04"/>
    <n v="0.22500000000000001"/>
    <d v="2025-06-10T00:00:00"/>
    <d v="2026-06-09T00:00:00"/>
    <m/>
    <m/>
    <n v="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mey Kashinath Thakur"/>
    <x v="169"/>
    <d v="1989-01-15T00:00:00"/>
    <x v="500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runali Amey Thakur"/>
    <x v="169"/>
    <d v="1998-09-19T00:00:00"/>
    <x v="501"/>
    <d v="2025-06-10T00:00:00"/>
    <n v="0.04"/>
    <n v="0.22500000000000001"/>
    <d v="2025-06-10T00:00:00"/>
    <d v="2026-06-09T00:00:00"/>
    <m/>
    <m/>
    <n v="26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Isha Amey Thakur"/>
    <x v="169"/>
    <d v="2019-05-25T00:00:00"/>
    <x v="502"/>
    <d v="2025-06-10T00:00:00"/>
    <n v="0.04"/>
    <n v="0.22500000000000001"/>
    <d v="2025-06-10T00:00:00"/>
    <d v="2026-06-09T00:00:00"/>
    <m/>
    <m/>
    <n v="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kesh Mahesh Mhatre"/>
    <x v="170"/>
    <d v="1995-09-26T00:00:00"/>
    <x v="503"/>
    <d v="2025-06-10T00:00:00"/>
    <n v="0.04"/>
    <n v="0.22500000000000001"/>
    <d v="2025-06-10T00:00:00"/>
    <d v="2026-06-09T00:00:00"/>
    <m/>
    <m/>
    <n v="29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garika Nikesh Mhatre"/>
    <x v="170"/>
    <d v="1996-09-29T00:00:00"/>
    <x v="504"/>
    <d v="2025-06-10T00:00:00"/>
    <n v="0.04"/>
    <n v="0.22500000000000001"/>
    <d v="2025-06-10T00:00:00"/>
    <d v="2026-06-09T00:00:00"/>
    <m/>
    <m/>
    <n v="28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iyara Nikesh Mhatre"/>
    <x v="170"/>
    <d v="2025-03-11T00:00:00"/>
    <x v="505"/>
    <d v="2025-06-10T00:00:00"/>
    <n v="0.04"/>
    <n v="0.22500000000000001"/>
    <d v="2025-06-10T00:00:00"/>
    <d v="2026-06-09T00:00:00"/>
    <m/>
    <m/>
    <n v="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tish Gopinath Gawand"/>
    <x v="171"/>
    <d v="1998-09-27T00:00:00"/>
    <x v="506"/>
    <d v="2025-06-10T00:00:00"/>
    <n v="0.04"/>
    <n v="0.22500000000000001"/>
    <d v="2025-06-10T00:00:00"/>
    <d v="2026-06-09T00:00:00"/>
    <m/>
    <m/>
    <n v="26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ubham Vilas Naik"/>
    <x v="172"/>
    <d v="1999-12-01T00:00:00"/>
    <x v="507"/>
    <d v="2025-06-10T00:00:00"/>
    <n v="0.04"/>
    <n v="0.22500000000000001"/>
    <d v="2025-06-10T00:00:00"/>
    <d v="2026-06-09T00:00:00"/>
    <m/>
    <m/>
    <n v="2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Umesh Kumar Singh"/>
    <x v="173"/>
    <d v="1995-09-08T00:00:00"/>
    <x v="508"/>
    <d v="2025-06-10T00:00:00"/>
    <n v="0.04"/>
    <n v="0.22500000000000001"/>
    <d v="2025-06-10T00:00:00"/>
    <d v="2026-06-09T00:00:00"/>
    <m/>
    <m/>
    <n v="29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shant Sudan Sahay"/>
    <x v="174"/>
    <d v="1991-02-01T00:00:00"/>
    <x v="509"/>
    <d v="2025-06-10T00:00:00"/>
    <n v="0.04"/>
    <n v="0.22500000000000001"/>
    <d v="2025-06-10T00:00:00"/>
    <d v="2026-06-09T00:00:00"/>
    <m/>
    <m/>
    <n v="3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isha Verma"/>
    <x v="174"/>
    <d v="1995-02-04T00:00:00"/>
    <x v="510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/O Anisha Verma"/>
    <x v="174"/>
    <d v="2024-07-12T00:00:00"/>
    <x v="511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 Samiullah"/>
    <x v="175"/>
    <d v="1992-07-31T00:00:00"/>
    <x v="512"/>
    <d v="2025-06-10T00:00:00"/>
    <n v="0.04"/>
    <n v="0.22500000000000001"/>
    <d v="2025-06-10T00:00:00"/>
    <d v="2026-06-09T00:00:00"/>
    <m/>
    <m/>
    <n v="3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 Parveen"/>
    <x v="175"/>
    <d v="1995-01-15T00:00:00"/>
    <x v="513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 Ayisha"/>
    <x v="175"/>
    <d v="2017-10-02T00:00:00"/>
    <x v="514"/>
    <d v="2025-06-10T00:00:00"/>
    <n v="0.04"/>
    <n v="0.22500000000000001"/>
    <d v="2025-06-10T00:00:00"/>
    <d v="2026-06-09T00:00:00"/>
    <m/>
    <m/>
    <n v="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 Fayaaz"/>
    <x v="175"/>
    <d v="2019-03-23T00:00:00"/>
    <x v="515"/>
    <d v="2025-06-10T00:00:00"/>
    <n v="0.04"/>
    <n v="0.22500000000000001"/>
    <d v="2025-06-10T00:00:00"/>
    <d v="2026-06-09T00:00:00"/>
    <m/>
    <m/>
    <n v="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 Hari"/>
    <x v="176"/>
    <d v="1978-02-04T00:00:00"/>
    <x v="516"/>
    <d v="2025-06-10T00:00:00"/>
    <n v="0.04"/>
    <n v="0.22500000000000001"/>
    <d v="2025-06-10T00:00:00"/>
    <d v="2026-06-09T00:00:00"/>
    <m/>
    <m/>
    <n v="47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H Radha"/>
    <x v="176"/>
    <d v="1978-11-25T00:00:00"/>
    <x v="517"/>
    <d v="2025-06-10T00:00:00"/>
    <n v="0.04"/>
    <n v="0.22500000000000001"/>
    <d v="2025-06-10T00:00:00"/>
    <d v="2026-06-09T00:00:00"/>
    <m/>
    <m/>
    <n v="46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H Thejus"/>
    <x v="176"/>
    <d v="2007-10-13T00:00:00"/>
    <x v="518"/>
    <d v="2025-06-10T00:00:00"/>
    <n v="0.04"/>
    <n v="0.22500000000000001"/>
    <d v="2025-06-10T00:00:00"/>
    <d v="2026-06-09T00:00:00"/>
    <m/>
    <m/>
    <n v="1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H Mukul Madhav"/>
    <x v="176"/>
    <d v="2009-04-05T00:00:00"/>
    <x v="519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endra Janardan Adivarekar"/>
    <x v="177"/>
    <d v="1989-10-08T00:00:00"/>
    <x v="520"/>
    <d v="2025-06-10T00:00:00"/>
    <n v="0.04"/>
    <n v="0.22500000000000001"/>
    <d v="2025-06-10T00:00:00"/>
    <d v="2026-06-09T00:00:00"/>
    <m/>
    <m/>
    <n v="3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unali Rajendra Adivarekar"/>
    <x v="177"/>
    <d v="1994-06-11T00:00:00"/>
    <x v="521"/>
    <d v="2025-06-10T00:00:00"/>
    <n v="0.04"/>
    <n v="0.22500000000000001"/>
    <d v="2025-06-10T00:00:00"/>
    <d v="2026-06-09T00:00:00"/>
    <m/>
    <m/>
    <n v="30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yansh Rajendra Adivarekar"/>
    <x v="177"/>
    <d v="2018-06-10T00:00:00"/>
    <x v="522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esh Tanaji Jadhav"/>
    <x v="178"/>
    <d v="1979-03-14T00:00:00"/>
    <x v="523"/>
    <d v="2025-06-10T00:00:00"/>
    <n v="0.04"/>
    <n v="0.22500000000000001"/>
    <d v="2025-06-10T00:00:00"/>
    <d v="2026-06-09T00:00:00"/>
    <m/>
    <m/>
    <n v="46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anchi Rajesh Jadhav"/>
    <x v="178"/>
    <d v="1986-05-01T00:00:00"/>
    <x v="524"/>
    <d v="2025-06-10T00:00:00"/>
    <n v="0.04"/>
    <n v="0.22500000000000001"/>
    <d v="2025-06-10T00:00:00"/>
    <d v="2026-06-09T00:00:00"/>
    <m/>
    <m/>
    <n v="39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ishiqua Rajesh Jadhav"/>
    <x v="178"/>
    <d v="2013-05-28T00:00:00"/>
    <x v="525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vik Dineshchandra Limbachia"/>
    <x v="179"/>
    <d v="1997-11-04T00:00:00"/>
    <x v="526"/>
    <d v="2025-06-10T00:00:00"/>
    <n v="0.04"/>
    <n v="0.22500000000000001"/>
    <d v="2025-06-10T00:00:00"/>
    <d v="2026-06-09T00:00:00"/>
    <m/>
    <m/>
    <n v="27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shant Kumar"/>
    <x v="180"/>
    <d v="1994-03-27T00:00:00"/>
    <x v="527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omal"/>
    <x v="180"/>
    <d v="1995-08-05T00:00:00"/>
    <x v="528"/>
    <d v="2025-06-10T00:00:00"/>
    <n v="0.04"/>
    <n v="0.22500000000000001"/>
    <d v="2025-06-10T00:00:00"/>
    <d v="2026-06-09T00:00:00"/>
    <m/>
    <m/>
    <n v="29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pit"/>
    <x v="180"/>
    <d v="2023-03-11T00:00:00"/>
    <x v="529"/>
    <d v="2025-06-10T00:00:00"/>
    <n v="0.04"/>
    <n v="0.22500000000000001"/>
    <d v="2025-06-10T00:00:00"/>
    <d v="2026-06-09T00:00:00"/>
    <m/>
    <m/>
    <n v="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vekanandan B"/>
    <x v="181"/>
    <d v="1994-02-16T00:00:00"/>
    <x v="530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iyanga C"/>
    <x v="181"/>
    <d v="2001-02-10T00:00:00"/>
    <x v="531"/>
    <d v="2025-06-10T00:00:00"/>
    <n v="0.04"/>
    <n v="0.22500000000000001"/>
    <d v="2025-06-10T00:00:00"/>
    <d v="2026-06-09T00:00:00"/>
    <m/>
    <m/>
    <n v="2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ubh Chandra Jha"/>
    <x v="182"/>
    <d v="1990-04-22T00:00:00"/>
    <x v="532"/>
    <d v="2025-06-10T00:00:00"/>
    <n v="0.04"/>
    <n v="0.22500000000000001"/>
    <d v="2025-06-10T00:00:00"/>
    <d v="2026-06-09T00:00:00"/>
    <m/>
    <m/>
    <n v="3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eema Jha"/>
    <x v="182"/>
    <d v="1995-07-02T00:00:00"/>
    <x v="533"/>
    <d v="2025-06-10T00:00:00"/>
    <n v="0.04"/>
    <n v="0.22500000000000001"/>
    <d v="2025-06-10T00:00:00"/>
    <d v="2026-06-09T00:00:00"/>
    <m/>
    <m/>
    <n v="29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aridhi Jha"/>
    <x v="182"/>
    <d v="2020-01-31T00:00:00"/>
    <x v="534"/>
    <d v="2025-06-10T00:00:00"/>
    <n v="0.04"/>
    <n v="0.22500000000000001"/>
    <d v="2025-06-10T00:00:00"/>
    <d v="2026-06-09T00:00:00"/>
    <m/>
    <m/>
    <n v="5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Utsav Jha"/>
    <x v="182"/>
    <d v="2022-03-20T00:00:00"/>
    <x v="535"/>
    <d v="2025-06-10T00:00:00"/>
    <n v="0.04"/>
    <n v="0.22500000000000001"/>
    <d v="2025-06-10T00:00:00"/>
    <d v="2026-06-09T00:00:00"/>
    <m/>
    <m/>
    <n v="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ince Kumar Singh"/>
    <x v="183"/>
    <d v="1999-07-01T00:00:00"/>
    <x v="536"/>
    <d v="2025-06-10T00:00:00"/>
    <n v="0.04"/>
    <n v="0.22500000000000001"/>
    <d v="2025-06-10T00:00:00"/>
    <d v="2026-06-09T00:00:00"/>
    <m/>
    <m/>
    <n v="25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etak Shashikant Tandel"/>
    <x v="184"/>
    <d v="1992-10-13T00:00:00"/>
    <x v="537"/>
    <d v="2025-06-10T00:00:00"/>
    <n v="0.04"/>
    <n v="0.22500000000000001"/>
    <d v="2025-06-10T00:00:00"/>
    <d v="2026-06-09T00:00:00"/>
    <m/>
    <m/>
    <n v="3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hanashree Chetak Tandel"/>
    <x v="184"/>
    <d v="1992-12-25T00:00:00"/>
    <x v="538"/>
    <d v="2025-06-10T00:00:00"/>
    <n v="0.04"/>
    <n v="0.22500000000000001"/>
    <d v="2025-06-10T00:00:00"/>
    <d v="2026-06-09T00:00:00"/>
    <m/>
    <m/>
    <n v="32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Tanishka Chetak Tandel"/>
    <x v="184"/>
    <d v="2012-12-28T00:00:00"/>
    <x v="539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Trisha Chetak Tandel"/>
    <x v="184"/>
    <d v="2018-03-07T00:00:00"/>
    <x v="540"/>
    <d v="2025-06-10T00:00:00"/>
    <n v="0.04"/>
    <n v="0.22500000000000001"/>
    <d v="2025-06-10T00:00:00"/>
    <d v="2026-06-09T00:00:00"/>
    <m/>
    <m/>
    <n v="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 G Naveenraj"/>
    <x v="185"/>
    <d v="1988-09-17T00:00:00"/>
    <x v="541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. Lalitha Devi"/>
    <x v="185"/>
    <d v="1987-12-30T00:00:00"/>
    <x v="542"/>
    <d v="2025-06-10T00:00:00"/>
    <n v="0.04"/>
    <n v="0.22500000000000001"/>
    <d v="2025-06-10T00:00:00"/>
    <d v="2026-06-09T00:00:00"/>
    <m/>
    <m/>
    <n v="37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 Saesha"/>
    <x v="185"/>
    <d v="2011-05-26T00:00:00"/>
    <x v="543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 Turuvan"/>
    <x v="185"/>
    <d v="2018-10-22T00:00:00"/>
    <x v="544"/>
    <d v="2025-06-10T00:00:00"/>
    <n v="0.04"/>
    <n v="0.22500000000000001"/>
    <d v="2025-06-10T00:00:00"/>
    <d v="2026-06-09T00:00:00"/>
    <m/>
    <m/>
    <n v="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yur Tukaram Parkar"/>
    <x v="186"/>
    <d v="1983-10-31T00:00:00"/>
    <x v="545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anali Mayur Parkar"/>
    <x v="186"/>
    <d v="1984-10-24T00:00:00"/>
    <x v="546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urvesh Mayur Parkar"/>
    <x v="186"/>
    <d v="2014-03-30T00:00:00"/>
    <x v="547"/>
    <d v="2025-06-10T00:00:00"/>
    <n v="0.04"/>
    <n v="0.22500000000000001"/>
    <d v="2025-06-10T00:00:00"/>
    <d v="2026-06-09T00:00:00"/>
    <m/>
    <m/>
    <n v="11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mta Singh"/>
    <x v="187"/>
    <d v="1984-06-07T00:00:00"/>
    <x v="548"/>
    <d v="2025-06-10T00:00:00"/>
    <n v="0.04"/>
    <n v="0.22500000000000001"/>
    <d v="2025-06-10T00:00:00"/>
    <d v="2026-06-09T00:00:00"/>
    <m/>
    <m/>
    <n v="41"/>
    <s v="36-45"/>
    <x v="1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amakant Singh"/>
    <x v="187"/>
    <d v="1984-06-06T00:00:00"/>
    <x v="549"/>
    <d v="2025-06-10T00:00:00"/>
    <n v="0.04"/>
    <n v="0.22500000000000001"/>
    <d v="2025-06-10T00:00:00"/>
    <d v="2026-06-09T00:00:00"/>
    <m/>
    <m/>
    <n v="41"/>
    <s v="36-45"/>
    <x v="0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rishti Singh"/>
    <x v="187"/>
    <d v="2009-03-14T00:00:00"/>
    <x v="550"/>
    <d v="2025-06-10T00:00:00"/>
    <n v="0.04"/>
    <n v="0.22500000000000001"/>
    <d v="2025-06-10T00:00:00"/>
    <d v="2026-06-09T00:00:00"/>
    <m/>
    <m/>
    <n v="1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nky Batra"/>
    <x v="188"/>
    <d v="1992-03-07T00:00:00"/>
    <x v="551"/>
    <d v="2025-06-10T00:00:00"/>
    <n v="0.04"/>
    <n v="0.22500000000000001"/>
    <d v="2025-06-10T00:00:00"/>
    <d v="2026-06-09T00:00:00"/>
    <m/>
    <m/>
    <n v="3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arina Rani"/>
    <x v="188"/>
    <d v="1992-06-03T00:00:00"/>
    <x v="552"/>
    <d v="2025-06-10T00:00:00"/>
    <n v="0.04"/>
    <n v="0.22500000000000001"/>
    <d v="2025-06-10T00:00:00"/>
    <d v="2026-06-09T00:00:00"/>
    <m/>
    <m/>
    <n v="33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advik Batra"/>
    <x v="188"/>
    <d v="2021-08-28T00:00:00"/>
    <x v="553"/>
    <d v="2025-06-10T00:00:00"/>
    <n v="0.04"/>
    <n v="0.22500000000000001"/>
    <d v="2025-06-10T00:00:00"/>
    <d v="2026-06-09T00:00:00"/>
    <m/>
    <m/>
    <n v="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harmendra Kumar Singh"/>
    <x v="189"/>
    <d v="1994-06-08T00:00:00"/>
    <x v="554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oshni Kumari"/>
    <x v="189"/>
    <d v="2000-05-05T00:00:00"/>
    <x v="555"/>
    <d v="2025-06-10T00:00:00"/>
    <n v="0.04"/>
    <n v="0.22500000000000001"/>
    <d v="2025-06-10T00:00:00"/>
    <d v="2026-06-09T00:00:00"/>
    <m/>
    <m/>
    <n v="2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mridhi Singh"/>
    <x v="189"/>
    <d v="2022-04-20T00:00:00"/>
    <x v="556"/>
    <d v="2025-06-10T00:00:00"/>
    <n v="0.04"/>
    <n v="0.22500000000000001"/>
    <d v="2025-06-10T00:00:00"/>
    <d v="2026-06-09T00:00:00"/>
    <m/>
    <m/>
    <n v="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nasa D"/>
    <x v="190"/>
    <d v="1998-09-14T00:00:00"/>
    <x v="557"/>
    <d v="2025-06-10T00:00:00"/>
    <n v="0.04"/>
    <n v="0.22500000000000001"/>
    <d v="2025-06-10T00:00:00"/>
    <d v="2026-06-09T00:00:00"/>
    <m/>
    <m/>
    <n v="26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eevabalan M"/>
    <x v="191"/>
    <d v="2001-09-28T00:00:00"/>
    <x v="558"/>
    <d v="2025-06-10T00:00:00"/>
    <n v="0.04"/>
    <n v="0.22500000000000001"/>
    <d v="2025-06-10T00:00:00"/>
    <d v="2026-06-09T00:00:00"/>
    <m/>
    <m/>
    <n v="2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ilesh Krishna Gharat"/>
    <x v="192"/>
    <d v="1978-03-29T00:00:00"/>
    <x v="559"/>
    <d v="2025-06-10T00:00:00"/>
    <n v="0.04"/>
    <n v="0.22500000000000001"/>
    <d v="2025-06-10T00:00:00"/>
    <d v="2026-06-09T00:00:00"/>
    <m/>
    <m/>
    <n v="47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Sheetal Gharat"/>
    <x v="192"/>
    <d v="1980-12-23T00:00:00"/>
    <x v="560"/>
    <d v="2025-06-10T00:00:00"/>
    <n v="0.04"/>
    <n v="0.22500000000000001"/>
    <d v="2025-06-10T00:00:00"/>
    <d v="2026-06-09T00:00:00"/>
    <m/>
    <m/>
    <n v="44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atha Gharat"/>
    <x v="192"/>
    <d v="2012-10-14T00:00:00"/>
    <x v="561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arohi Gharat"/>
    <x v="192"/>
    <d v="2015-07-22T00:00:00"/>
    <x v="562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nish Agrawal"/>
    <x v="193"/>
    <d v="1995-04-18T00:00:00"/>
    <x v="563"/>
    <d v="2025-06-10T00:00:00"/>
    <n v="0.04"/>
    <n v="0.22500000000000001"/>
    <d v="2025-06-10T00:00:00"/>
    <d v="2026-06-09T00:00:00"/>
    <m/>
    <m/>
    <n v="30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alak Agarwal"/>
    <x v="193"/>
    <d v="1999-07-20T00:00:00"/>
    <x v="564"/>
    <d v="2025-06-10T00:00:00"/>
    <n v="0.04"/>
    <n v="0.22500000000000001"/>
    <d v="2025-06-10T00:00:00"/>
    <d v="2026-06-09T00:00:00"/>
    <m/>
    <m/>
    <n v="2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Girik Agarwal"/>
    <x v="193"/>
    <d v="2018-06-05T00:00:00"/>
    <x v="565"/>
    <d v="2025-06-10T00:00:00"/>
    <n v="0.04"/>
    <n v="0.22500000000000001"/>
    <d v="2025-06-10T00:00:00"/>
    <d v="2026-06-09T00:00:00"/>
    <m/>
    <m/>
    <n v="7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Tanishq Agarwal"/>
    <x v="193"/>
    <d v="2021-09-11T00:00:00"/>
    <x v="566"/>
    <d v="2025-06-10T00:00:00"/>
    <n v="0.04"/>
    <n v="0.22500000000000001"/>
    <d v="2025-06-10T00:00:00"/>
    <d v="2026-06-09T00:00:00"/>
    <m/>
    <m/>
    <n v="3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ashikant Dhondu Agare"/>
    <x v="194"/>
    <d v="1982-05-23T00:00:00"/>
    <x v="567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Aditi Shahshikant Agare"/>
    <x v="194"/>
    <d v="1985-03-12T00:00:00"/>
    <x v="568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Lavanya Shashikant Agare"/>
    <x v="194"/>
    <d v="2012-07-29T00:00:00"/>
    <x v="569"/>
    <d v="2025-06-10T00:00:00"/>
    <n v="0.04"/>
    <n v="0.22500000000000001"/>
    <d v="2025-06-10T00:00:00"/>
    <d v="2026-06-09T00:00:00"/>
    <m/>
    <m/>
    <n v="1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aitanya Shashikant Agare"/>
    <x v="194"/>
    <d v="2015-12-20T00:00:00"/>
    <x v="570"/>
    <d v="2025-06-10T00:00:00"/>
    <n v="0.04"/>
    <n v="0.22500000000000001"/>
    <d v="2025-06-10T00:00:00"/>
    <d v="2026-06-09T00:00:00"/>
    <m/>
    <m/>
    <n v="9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adruddin Ak"/>
    <x v="195"/>
    <d v="1989-05-20T00:00:00"/>
    <x v="571"/>
    <d v="2025-06-10T00:00:00"/>
    <n v="0.04"/>
    <n v="0.22500000000000001"/>
    <d v="2025-06-10T00:00:00"/>
    <d v="2026-06-09T00:00:00"/>
    <m/>
    <m/>
    <n v="36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 Ramachandran"/>
    <x v="196"/>
    <d v="1972-03-29T00:00:00"/>
    <x v="572"/>
    <d v="2025-06-10T00:00:00"/>
    <n v="0.04"/>
    <n v="0.22500000000000001"/>
    <d v="2025-06-10T00:00:00"/>
    <d v="2026-06-09T00:00:00"/>
    <m/>
    <m/>
    <n v="53"/>
    <s v="46-55"/>
    <x v="0"/>
    <x v="0"/>
    <n v="300000"/>
    <n v="300000"/>
    <n v="1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Rpadmesh"/>
    <x v="196"/>
    <d v="2004-08-26T00:00:00"/>
    <x v="573"/>
    <d v="2025-06-10T00:00:00"/>
    <n v="0.04"/>
    <n v="0.22500000000000001"/>
    <d v="2025-06-10T00:00:00"/>
    <d v="2026-06-09T00:00:00"/>
    <m/>
    <m/>
    <n v="2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tharun"/>
    <x v="196"/>
    <d v="2007-06-09T00:00:00"/>
    <x v="574"/>
    <d v="2025-06-10T00:00:00"/>
    <n v="0.04"/>
    <n v="0.22500000000000001"/>
    <d v="2025-06-10T00:00:00"/>
    <d v="2026-06-09T00:00:00"/>
    <m/>
    <m/>
    <n v="18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 Gowri"/>
    <x v="196"/>
    <d v="1984-01-01T00:00:00"/>
    <x v="575"/>
    <d v="2025-06-10T00:00:00"/>
    <n v="0.04"/>
    <n v="0.22500000000000001"/>
    <d v="2025-06-10T00:00:00"/>
    <d v="2026-06-09T00:00:00"/>
    <m/>
    <m/>
    <n v="41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R Syed Musthafa"/>
    <x v="197"/>
    <d v="1983-12-06T00:00:00"/>
    <x v="576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 Sameera"/>
    <x v="197"/>
    <d v="1985-04-15T00:00:00"/>
    <x v="577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yed Shahid"/>
    <x v="197"/>
    <d v="2019-05-17T00:00:00"/>
    <x v="578"/>
    <d v="2025-06-10T00:00:00"/>
    <n v="0.04"/>
    <n v="0.22500000000000001"/>
    <d v="2025-06-10T00:00:00"/>
    <d v="2026-06-09T00:00:00"/>
    <m/>
    <m/>
    <n v="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 Shazia"/>
    <x v="197"/>
    <d v="2022-09-11T00:00:00"/>
    <x v="579"/>
    <d v="2025-06-10T00:00:00"/>
    <n v="0.04"/>
    <n v="0.22500000000000001"/>
    <d v="2025-06-10T00:00:00"/>
    <d v="2026-06-09T00:00:00"/>
    <m/>
    <m/>
    <n v="2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and Kumar Jha"/>
    <x v="198"/>
    <d v="1994-03-02T00:00:00"/>
    <x v="580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iyadarshani Kumari"/>
    <x v="198"/>
    <d v="1996-02-29T00:00:00"/>
    <x v="581"/>
    <d v="2025-06-10T00:00:00"/>
    <n v="0.04"/>
    <n v="0.22500000000000001"/>
    <d v="2025-06-10T00:00:00"/>
    <d v="2026-06-09T00:00:00"/>
    <m/>
    <m/>
    <n v="29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vi Jha"/>
    <x v="198"/>
    <d v="2022-01-20T00:00:00"/>
    <x v="582"/>
    <d v="2025-06-10T00:00:00"/>
    <n v="0.04"/>
    <n v="0.22500000000000001"/>
    <d v="2025-06-10T00:00:00"/>
    <d v="2026-06-09T00:00:00"/>
    <m/>
    <m/>
    <n v="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iv Kumar"/>
    <x v="199"/>
    <d v="1982-01-01T00:00:00"/>
    <x v="583"/>
    <d v="2025-06-10T00:00:00"/>
    <n v="0.04"/>
    <n v="0.22500000000000001"/>
    <d v="2025-06-10T00:00:00"/>
    <d v="2026-06-09T00:00:00"/>
    <m/>
    <m/>
    <n v="43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Malti"/>
    <x v="199"/>
    <d v="1979-04-05T00:00:00"/>
    <x v="584"/>
    <d v="2025-06-10T00:00:00"/>
    <n v="0.04"/>
    <n v="0.22500000000000001"/>
    <d v="2025-06-10T00:00:00"/>
    <d v="2026-06-09T00:00:00"/>
    <m/>
    <m/>
    <n v="46"/>
    <s v="46-55"/>
    <x v="1"/>
    <x v="1"/>
    <n v="300000"/>
    <n v="0"/>
    <n v="0"/>
    <n v="365"/>
    <d v="2026-02-28T00:00:00"/>
    <n v="264"/>
    <s v="Delhi"/>
    <n v="9586.9925999999996"/>
    <n v="1"/>
    <n v="8124.57"/>
    <n v="0"/>
    <n v="0"/>
    <n v="1462.4225999999999"/>
    <n v="324.9828"/>
    <n v="1828.0282500000001"/>
    <n v="5876.4013150684932"/>
    <n v="4319.1549665753428"/>
    <n v="1652.4039834246571"/>
    <d v="2025-02-27T00:00:00"/>
    <n v="8124.57"/>
    <m/>
  </r>
  <r>
    <s v="Valid"/>
    <n v="202506"/>
    <s v="GMC021090100AV"/>
    <s v="A V GLOBAL CORPORATION PRIVATE LIMITED"/>
    <d v="2025-06-10T00:00:00"/>
    <d v="2026-06-09T00:00:00"/>
    <s v="Philip"/>
    <x v="199"/>
    <d v="2000-09-28T00:00:00"/>
    <x v="585"/>
    <d v="2025-06-10T00:00:00"/>
    <n v="0.04"/>
    <n v="0.22500000000000001"/>
    <d v="2025-06-10T00:00:00"/>
    <d v="2026-06-09T00:00:00"/>
    <m/>
    <m/>
    <n v="2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Joy"/>
    <x v="199"/>
    <d v="2009-02-17T00:00:00"/>
    <x v="586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oonam"/>
    <x v="200"/>
    <d v="1993-03-25T00:00:00"/>
    <x v="587"/>
    <d v="2025-06-10T00:00:00"/>
    <n v="0.04"/>
    <n v="0.22500000000000001"/>
    <d v="2025-06-10T00:00:00"/>
    <d v="2026-06-09T00:00:00"/>
    <m/>
    <m/>
    <n v="32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ukesh"/>
    <x v="201"/>
    <d v="1993-11-29T00:00:00"/>
    <x v="588"/>
    <d v="2025-06-10T00:00:00"/>
    <n v="0.04"/>
    <n v="0.22500000000000001"/>
    <d v="2025-06-10T00:00:00"/>
    <d v="2026-06-09T00:00:00"/>
    <m/>
    <m/>
    <n v="3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anchan"/>
    <x v="201"/>
    <d v="1991-01-02T00:00:00"/>
    <x v="589"/>
    <d v="2025-06-10T00:00:00"/>
    <n v="0.04"/>
    <n v="0.22500000000000001"/>
    <d v="2025-06-10T00:00:00"/>
    <d v="2026-06-09T00:00:00"/>
    <m/>
    <m/>
    <n v="34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ankaj Sharma"/>
    <x v="202"/>
    <d v="1986-10-08T00:00:00"/>
    <x v="590"/>
    <d v="2025-06-10T00:00:00"/>
    <n v="0.04"/>
    <n v="0.22500000000000001"/>
    <d v="2025-06-10T00:00:00"/>
    <d v="2026-06-09T00:00:00"/>
    <m/>
    <m/>
    <n v="38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Prakash Kumar"/>
    <x v="203"/>
    <d v="1992-06-30T00:00:00"/>
    <x v="591"/>
    <d v="2025-06-10T00:00:00"/>
    <n v="0.04"/>
    <n v="0.22500000000000001"/>
    <d v="2025-06-10T00:00:00"/>
    <d v="2026-06-09T00:00:00"/>
    <m/>
    <m/>
    <n v="3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shu Kumari"/>
    <x v="203"/>
    <d v="1999-01-01T00:00:00"/>
    <x v="592"/>
    <d v="2025-06-10T00:00:00"/>
    <n v="0.04"/>
    <n v="0.22500000000000001"/>
    <d v="2025-06-10T00:00:00"/>
    <d v="2026-06-09T00:00:00"/>
    <m/>
    <m/>
    <n v="26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raj Kashyap"/>
    <x v="203"/>
    <d v="2023-04-20T00:00:00"/>
    <x v="593"/>
    <d v="2025-06-10T00:00:00"/>
    <n v="0.04"/>
    <n v="0.22500000000000001"/>
    <d v="2025-06-10T00:00:00"/>
    <d v="2026-06-09T00:00:00"/>
    <m/>
    <m/>
    <n v="2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gurusaran"/>
    <x v="204"/>
    <d v="1997-06-22T00:00:00"/>
    <x v="594"/>
    <d v="2025-06-10T00:00:00"/>
    <n v="0.04"/>
    <n v="0.22500000000000001"/>
    <d v="2025-06-10T00:00:00"/>
    <d v="2026-06-09T00:00:00"/>
    <m/>
    <m/>
    <n v="27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ubbulakshmi Krishnamoorthy"/>
    <x v="204"/>
    <d v="2004-05-22T00:00:00"/>
    <x v="595"/>
    <d v="2025-06-10T00:00:00"/>
    <n v="0.04"/>
    <n v="0.22500000000000001"/>
    <d v="2025-06-10T00:00:00"/>
    <d v="2026-06-09T00:00:00"/>
    <m/>
    <m/>
    <n v="2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bhishek Kumar"/>
    <x v="205"/>
    <d v="1996-05-04T00:00:00"/>
    <x v="596"/>
    <d v="2025-06-10T00:00:00"/>
    <n v="0.04"/>
    <n v="0.22500000000000001"/>
    <d v="2025-06-10T00:00:00"/>
    <d v="2026-06-09T00:00:00"/>
    <m/>
    <m/>
    <n v="29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weta Kumari"/>
    <x v="205"/>
    <d v="1999-03-03T00:00:00"/>
    <x v="597"/>
    <d v="2025-06-10T00:00:00"/>
    <n v="0.04"/>
    <n v="0.22500000000000001"/>
    <d v="2025-06-10T00:00:00"/>
    <d v="2026-06-09T00:00:00"/>
    <m/>
    <m/>
    <n v="26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radhya Kumari"/>
    <x v="205"/>
    <d v="2017-12-15T00:00:00"/>
    <x v="598"/>
    <d v="2025-06-10T00:00:00"/>
    <n v="0.04"/>
    <n v="0.22500000000000001"/>
    <d v="2025-06-10T00:00:00"/>
    <d v="2026-06-09T00:00:00"/>
    <m/>
    <m/>
    <n v="7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Lakshya Kashyap"/>
    <x v="205"/>
    <d v="2020-01-30T00:00:00"/>
    <x v="599"/>
    <d v="2025-06-10T00:00:00"/>
    <n v="0.04"/>
    <n v="0.22500000000000001"/>
    <d v="2025-06-10T00:00:00"/>
    <d v="2026-06-09T00:00:00"/>
    <m/>
    <m/>
    <n v="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and Kumar S"/>
    <x v="206"/>
    <d v="1990-10-04T00:00:00"/>
    <x v="600"/>
    <d v="2025-06-10T00:00:00"/>
    <n v="0.04"/>
    <n v="0.22500000000000001"/>
    <d v="2025-06-10T00:00:00"/>
    <d v="2026-06-09T00:00:00"/>
    <m/>
    <m/>
    <n v="3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agashree N S"/>
    <x v="206"/>
    <d v="1993-06-12T00:00:00"/>
    <x v="601"/>
    <d v="2025-06-10T00:00:00"/>
    <n v="0.04"/>
    <n v="0.22500000000000001"/>
    <d v="2025-06-10T00:00:00"/>
    <d v="2026-06-09T00:00:00"/>
    <m/>
    <m/>
    <n v="3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harika Anand"/>
    <x v="206"/>
    <d v="2020-04-12T00:00:00"/>
    <x v="602"/>
    <d v="2025-06-10T00:00:00"/>
    <n v="0.04"/>
    <n v="0.22500000000000001"/>
    <d v="2025-06-10T00:00:00"/>
    <d v="2026-06-09T00:00:00"/>
    <m/>
    <m/>
    <n v="5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adeep N A"/>
    <x v="207"/>
    <d v="1988-02-14T00:00:00"/>
    <x v="603"/>
    <d v="2025-06-10T00:00:00"/>
    <n v="0.04"/>
    <n v="0.22500000000000001"/>
    <d v="2025-06-10T00:00:00"/>
    <d v="2026-06-09T00:00:00"/>
    <m/>
    <m/>
    <n v="37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Kavya K"/>
    <x v="207"/>
    <d v="1989-08-30T00:00:00"/>
    <x v="604"/>
    <d v="2025-06-10T00:00:00"/>
    <n v="0.04"/>
    <n v="0.22500000000000001"/>
    <d v="2025-06-10T00:00:00"/>
    <d v="2026-06-09T00:00:00"/>
    <m/>
    <m/>
    <n v="3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upesh Waman Kadam"/>
    <x v="208"/>
    <d v="1982-08-12T00:00:00"/>
    <x v="605"/>
    <d v="2025-06-10T00:00:00"/>
    <n v="0.04"/>
    <n v="0.22500000000000001"/>
    <d v="2025-06-10T00:00:00"/>
    <d v="2026-06-09T00:00:00"/>
    <m/>
    <m/>
    <n v="42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Nivedita Rupesh Kadam"/>
    <x v="208"/>
    <d v="1988-08-11T00:00:00"/>
    <x v="606"/>
    <d v="2025-06-10T00:00:00"/>
    <n v="0.04"/>
    <n v="0.22500000000000001"/>
    <d v="2025-06-10T00:00:00"/>
    <d v="2026-06-09T00:00:00"/>
    <m/>
    <m/>
    <n v="36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Ovi Rupesh Kadam"/>
    <x v="208"/>
    <d v="2016-03-14T00:00:00"/>
    <x v="607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itvik Rupesh Kadam"/>
    <x v="208"/>
    <d v="2020-04-09T00:00:00"/>
    <x v="608"/>
    <d v="2025-06-10T00:00:00"/>
    <n v="0.04"/>
    <n v="0.22500000000000001"/>
    <d v="2025-06-10T00:00:00"/>
    <d v="2026-06-09T00:00:00"/>
    <m/>
    <m/>
    <n v="5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onepudi Sunitha"/>
    <x v="209"/>
    <d v="1982-06-14T00:00:00"/>
    <x v="609"/>
    <d v="2025-06-10T00:00:00"/>
    <n v="0.04"/>
    <n v="0.22500000000000001"/>
    <d v="2025-06-10T00:00:00"/>
    <d v="2026-06-09T00:00:00"/>
    <m/>
    <m/>
    <n v="42"/>
    <s v="36-45"/>
    <x v="1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 Venkaiah Chowdary"/>
    <x v="209"/>
    <d v="1979-07-18T00:00:00"/>
    <x v="610"/>
    <d v="2025-06-10T00:00:00"/>
    <n v="0.04"/>
    <n v="0.22500000000000001"/>
    <d v="2025-06-10T00:00:00"/>
    <d v="2026-06-09T00:00:00"/>
    <m/>
    <m/>
    <n v="45"/>
    <s v="36-45"/>
    <x v="0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Donepudi Yeshwanth Venkat Sai"/>
    <x v="209"/>
    <d v="2010-08-18T00:00:00"/>
    <x v="611"/>
    <d v="2025-06-10T00:00:00"/>
    <n v="0.04"/>
    <n v="0.22500000000000001"/>
    <d v="2025-06-10T00:00:00"/>
    <d v="2026-06-09T00:00:00"/>
    <m/>
    <m/>
    <n v="14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onepudi Amrutha Sai Durga"/>
    <x v="209"/>
    <d v="2004-08-09T00:00:00"/>
    <x v="612"/>
    <d v="2025-06-10T00:00:00"/>
    <n v="0.04"/>
    <n v="0.22500000000000001"/>
    <d v="2025-06-10T00:00:00"/>
    <d v="2026-06-09T00:00:00"/>
    <m/>
    <m/>
    <n v="20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weta"/>
    <x v="210"/>
    <d v="2000-11-24T00:00:00"/>
    <x v="613"/>
    <d v="2025-06-10T00:00:00"/>
    <n v="0.04"/>
    <n v="0.22500000000000001"/>
    <d v="2025-06-10T00:00:00"/>
    <d v="2026-06-09T00:00:00"/>
    <m/>
    <m/>
    <n v="24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Chetan Hareshwar Raut"/>
    <x v="211"/>
    <d v="1983-07-07T00:00:00"/>
    <x v="614"/>
    <d v="2025-06-10T00:00:00"/>
    <n v="0.04"/>
    <n v="0.22500000000000001"/>
    <d v="2025-06-10T00:00:00"/>
    <d v="2026-06-09T00:00:00"/>
    <m/>
    <m/>
    <n v="41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Jony Sitaram Gade"/>
    <x v="212"/>
    <d v="1983-06-05T00:00:00"/>
    <x v="615"/>
    <d v="2025-06-10T00:00:00"/>
    <n v="0.04"/>
    <n v="0.22500000000000001"/>
    <d v="2025-06-10T00:00:00"/>
    <d v="2026-06-09T00:00:00"/>
    <m/>
    <m/>
    <n v="42"/>
    <s v="36-45"/>
    <x v="0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heetal Jony Gade"/>
    <x v="212"/>
    <d v="1985-06-01T00:00:00"/>
    <x v="616"/>
    <d v="2025-06-10T00:00:00"/>
    <n v="0.04"/>
    <n v="0.22500000000000001"/>
    <d v="2025-06-10T00:00:00"/>
    <d v="2026-06-09T00:00:00"/>
    <m/>
    <m/>
    <n v="40"/>
    <s v="36-45"/>
    <x v="1"/>
    <x v="1"/>
    <n v="300000"/>
    <n v="0"/>
    <n v="0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hweta Jony Gade"/>
    <x v="212"/>
    <d v="2015-09-21T00:00:00"/>
    <x v="617"/>
    <d v="2025-06-10T00:00:00"/>
    <n v="0.04"/>
    <n v="0.22500000000000001"/>
    <d v="2025-06-10T00:00:00"/>
    <d v="2026-06-09T00:00:00"/>
    <m/>
    <m/>
    <n v="9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meep Jony Gade"/>
    <x v="212"/>
    <d v="2009-02-22T00:00:00"/>
    <x v="618"/>
    <d v="2025-06-10T00:00:00"/>
    <n v="0.04"/>
    <n v="0.22500000000000001"/>
    <d v="2025-06-10T00:00:00"/>
    <d v="2026-06-09T00:00:00"/>
    <m/>
    <m/>
    <n v="16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ni Patel"/>
    <x v="213"/>
    <d v="1997-04-21T00:00:00"/>
    <x v="619"/>
    <d v="2025-06-10T00:00:00"/>
    <n v="0.04"/>
    <n v="0.22500000000000001"/>
    <d v="2025-06-10T00:00:00"/>
    <d v="2026-06-09T00:00:00"/>
    <m/>
    <m/>
    <n v="28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erumal P"/>
    <x v="214"/>
    <d v="1999-05-20T00:00:00"/>
    <x v="620"/>
    <d v="2025-06-10T00:00:00"/>
    <n v="0.04"/>
    <n v="0.22500000000000001"/>
    <d v="2025-06-10T00:00:00"/>
    <d v="2026-06-09T00:00:00"/>
    <m/>
    <m/>
    <n v="26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ajesh"/>
    <x v="215"/>
    <d v="2002-10-16T00:00:00"/>
    <x v="621"/>
    <d v="2025-06-10T00:00:00"/>
    <n v="0.04"/>
    <n v="0.22500000000000001"/>
    <d v="2025-06-10T00:00:00"/>
    <d v="2026-06-09T00:00:00"/>
    <m/>
    <m/>
    <n v="2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ivek Kumar"/>
    <x v="216"/>
    <d v="1991-08-20T00:00:00"/>
    <x v="622"/>
    <d v="2025-06-10T00:00:00"/>
    <n v="0.04"/>
    <n v="0.22500000000000001"/>
    <d v="2025-06-10T00:00:00"/>
    <d v="2026-06-09T00:00:00"/>
    <m/>
    <m/>
    <n v="3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besh Kumar Jha"/>
    <x v="217"/>
    <d v="1994-07-02T00:00:00"/>
    <x v="623"/>
    <d v="2025-06-10T00:00:00"/>
    <n v="0.04"/>
    <n v="0.22500000000000001"/>
    <d v="2025-06-10T00:00:00"/>
    <d v="2026-06-09T00:00:00"/>
    <m/>
    <m/>
    <n v="30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ini Kumari"/>
    <x v="217"/>
    <d v="1998-02-02T00:00:00"/>
    <x v="624"/>
    <d v="2025-06-10T00:00:00"/>
    <n v="0.04"/>
    <n v="0.22500000000000001"/>
    <d v="2025-06-10T00:00:00"/>
    <d v="2026-06-09T00:00:00"/>
    <m/>
    <m/>
    <n v="27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kunj Kumar Jha"/>
    <x v="217"/>
    <d v="2025-01-19T00:00:00"/>
    <x v="625"/>
    <d v="2025-06-10T00:00:00"/>
    <n v="0.04"/>
    <n v="0.22500000000000001"/>
    <d v="2025-06-10T00:00:00"/>
    <d v="2026-06-09T00:00:00"/>
    <m/>
    <m/>
    <n v="0"/>
    <s v="0-35"/>
    <x v="0"/>
    <x v="2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iruthika"/>
    <x v="218"/>
    <d v="1989-05-13T00:00:00"/>
    <x v="626"/>
    <d v="2025-06-10T00:00:00"/>
    <n v="0.04"/>
    <n v="0.22500000000000001"/>
    <d v="2025-06-10T00:00:00"/>
    <d v="2026-06-09T00:00:00"/>
    <m/>
    <m/>
    <n v="36"/>
    <s v="36-45"/>
    <x v="1"/>
    <x v="0"/>
    <n v="300000"/>
    <n v="300000"/>
    <n v="1"/>
    <n v="365"/>
    <d v="2026-02-28T00:00:00"/>
    <n v="264"/>
    <s v="Delhi"/>
    <n v="5017.3245999999999"/>
    <n v="1"/>
    <n v="4251.97"/>
    <n v="0"/>
    <n v="0"/>
    <n v="765.3546"/>
    <n v="170.0788"/>
    <n v="956.69325000000003"/>
    <n v="3075.397479452055"/>
    <n v="2260.4171473972606"/>
    <n v="864.78080260273941"/>
    <d v="2025-02-27T00:00:00"/>
    <n v="4251.97"/>
    <m/>
  </r>
  <r>
    <s v="Valid"/>
    <n v="202506"/>
    <s v="GMC021090100AV"/>
    <s v="A V GLOBAL CORPORATION PRIVATE LIMITED"/>
    <d v="2025-06-10T00:00:00"/>
    <d v="2026-06-09T00:00:00"/>
    <s v="S Varuna Sri"/>
    <x v="218"/>
    <d v="2018-09-03T00:00:00"/>
    <x v="627"/>
    <d v="2025-06-10T00:00:00"/>
    <n v="0.04"/>
    <n v="0.22500000000000001"/>
    <d v="2025-06-10T00:00:00"/>
    <d v="2026-06-09T00:00:00"/>
    <m/>
    <m/>
    <n v="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Nitin Kumar"/>
    <x v="219"/>
    <d v="1992-03-29T00:00:00"/>
    <x v="628"/>
    <d v="2025-06-10T00:00:00"/>
    <n v="0.04"/>
    <n v="0.22500000000000001"/>
    <d v="2025-06-10T00:00:00"/>
    <d v="2026-06-09T00:00:00"/>
    <m/>
    <m/>
    <n v="33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Priya"/>
    <x v="219"/>
    <d v="1993-08-04T00:00:00"/>
    <x v="629"/>
    <d v="2025-06-10T00:00:00"/>
    <n v="0.04"/>
    <n v="0.22500000000000001"/>
    <d v="2025-06-10T00:00:00"/>
    <d v="2026-06-09T00:00:00"/>
    <m/>
    <m/>
    <n v="31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Bhavya"/>
    <x v="219"/>
    <d v="2021-11-08T00:00:00"/>
    <x v="630"/>
    <d v="2025-06-10T00:00:00"/>
    <n v="0.04"/>
    <n v="0.22500000000000001"/>
    <d v="2025-06-10T00:00:00"/>
    <d v="2026-06-09T00:00:00"/>
    <m/>
    <m/>
    <n v="3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Dev Kashyap"/>
    <x v="220"/>
    <d v="2000-07-12T00:00:00"/>
    <x v="631"/>
    <d v="2025-06-10T00:00:00"/>
    <n v="0.04"/>
    <n v="0.22500000000000001"/>
    <d v="2025-06-10T00:00:00"/>
    <d v="2026-06-09T00:00:00"/>
    <m/>
    <m/>
    <n v="2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shish Upadhyay"/>
    <x v="221"/>
    <d v="2003-08-02T00:00:00"/>
    <x v="632"/>
    <d v="2025-06-10T00:00:00"/>
    <n v="0.04"/>
    <n v="0.22500000000000001"/>
    <d v="2025-06-10T00:00:00"/>
    <d v="2026-06-09T00:00:00"/>
    <m/>
    <m/>
    <n v="21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shi"/>
    <x v="222"/>
    <d v="2003-12-07T00:00:00"/>
    <x v="633"/>
    <d v="2025-06-10T00:00:00"/>
    <n v="0.04"/>
    <n v="0.22500000000000001"/>
    <d v="2025-06-10T00:00:00"/>
    <d v="2026-06-09T00:00:00"/>
    <m/>
    <m/>
    <n v="21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Rishabh Mishra"/>
    <x v="223"/>
    <d v="2002-07-13T00:00:00"/>
    <x v="634"/>
    <d v="2025-06-10T00:00:00"/>
    <n v="0.04"/>
    <n v="0.22500000000000001"/>
    <d v="2025-06-10T00:00:00"/>
    <d v="2026-06-09T00:00:00"/>
    <m/>
    <m/>
    <n v="2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iddharth Dattatrey Patil"/>
    <x v="224"/>
    <d v="1995-12-01T00:00:00"/>
    <x v="635"/>
    <d v="2025-06-10T00:00:00"/>
    <n v="0.04"/>
    <n v="0.22500000000000001"/>
    <d v="2025-06-10T00:00:00"/>
    <d v="2026-06-09T00:00:00"/>
    <m/>
    <m/>
    <n v="29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hraddha Siddharth Patil"/>
    <x v="224"/>
    <d v="1999-10-11T00:00:00"/>
    <x v="636"/>
    <d v="2025-06-10T00:00:00"/>
    <n v="0.04"/>
    <n v="0.22500000000000001"/>
    <d v="2025-06-10T00:00:00"/>
    <d v="2026-06-09T00:00:00"/>
    <m/>
    <m/>
    <n v="25"/>
    <s v="0-35"/>
    <x v="1"/>
    <x v="1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arya Siddhath Patil"/>
    <x v="224"/>
    <d v="2018-08-23T00:00:00"/>
    <x v="637"/>
    <d v="2025-06-10T00:00:00"/>
    <n v="0.04"/>
    <n v="0.22500000000000001"/>
    <d v="2025-06-10T00:00:00"/>
    <d v="2026-06-09T00:00:00"/>
    <m/>
    <m/>
    <n v="6"/>
    <s v="0-35"/>
    <x v="1"/>
    <x v="3"/>
    <n v="300000"/>
    <n v="0"/>
    <n v="0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ashyap Ramesh Foferkar"/>
    <x v="225"/>
    <d v="2000-07-29T00:00:00"/>
    <x v="638"/>
    <d v="2025-06-10T00:00:00"/>
    <n v="0.04"/>
    <n v="0.22500000000000001"/>
    <d v="2025-06-10T00:00:00"/>
    <d v="2026-06-09T00:00:00"/>
    <m/>
    <m/>
    <n v="24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anisha Banjade"/>
    <x v="226"/>
    <d v="2002-05-21T00:00:00"/>
    <x v="639"/>
    <d v="2025-06-10T00:00:00"/>
    <n v="0.04"/>
    <n v="0.22500000000000001"/>
    <d v="2025-06-10T00:00:00"/>
    <d v="2026-06-09T00:00:00"/>
    <m/>
    <m/>
    <n v="23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Anjali Kumari"/>
    <x v="227"/>
    <d v="2003-05-05T00:00:00"/>
    <x v="640"/>
    <d v="2025-06-10T00:00:00"/>
    <n v="0.04"/>
    <n v="0.22500000000000001"/>
    <d v="2025-06-10T00:00:00"/>
    <d v="2026-06-09T00:00:00"/>
    <m/>
    <m/>
    <n v="22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Kashifa Shakir"/>
    <x v="228"/>
    <d v="2003-08-01T00:00:00"/>
    <x v="641"/>
    <d v="2025-06-10T00:00:00"/>
    <n v="0.04"/>
    <n v="0.22500000000000001"/>
    <d v="2025-06-10T00:00:00"/>
    <d v="2026-06-09T00:00:00"/>
    <m/>
    <m/>
    <n v="21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Mrunmay Shrikrishna Ludbe"/>
    <x v="229"/>
    <d v="2003-03-18T00:00:00"/>
    <x v="642"/>
    <d v="2025-06-10T00:00:00"/>
    <n v="0.04"/>
    <n v="0.22500000000000001"/>
    <d v="2025-06-10T00:00:00"/>
    <d v="2026-06-09T00:00:00"/>
    <m/>
    <m/>
    <n v="22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Sandeep Kumar"/>
    <x v="230"/>
    <d v="2004-06-12T00:00:00"/>
    <x v="643"/>
    <d v="2025-06-10T00:00:00"/>
    <n v="0.04"/>
    <n v="0.22500000000000001"/>
    <d v="2025-06-10T00:00:00"/>
    <d v="2026-06-09T00:00:00"/>
    <m/>
    <m/>
    <n v="20"/>
    <s v="0-35"/>
    <x v="0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6"/>
    <s v="GMC021090100AV"/>
    <s v="A V GLOBAL CORPORATION PRIVATE LIMITED"/>
    <d v="2025-06-10T00:00:00"/>
    <d v="2026-06-09T00:00:00"/>
    <s v="Varsha B"/>
    <x v="231"/>
    <d v="2003-05-04T00:00:00"/>
    <x v="644"/>
    <d v="2025-06-10T00:00:00"/>
    <n v="0.04"/>
    <n v="0.22500000000000001"/>
    <d v="2025-06-10T00:00:00"/>
    <d v="2026-06-09T00:00:00"/>
    <m/>
    <m/>
    <n v="22"/>
    <s v="0-35"/>
    <x v="1"/>
    <x v="0"/>
    <n v="300000"/>
    <n v="300000"/>
    <n v="1"/>
    <n v="365"/>
    <d v="2026-02-28T00:00:00"/>
    <n v="264"/>
    <s v="Delhi"/>
    <n v="3874.2114000000001"/>
    <n v="1"/>
    <n v="3283.23"/>
    <n v="0"/>
    <n v="0"/>
    <n v="590.98140000000001"/>
    <n v="131.32920000000001"/>
    <n v="738.72675000000004"/>
    <n v="2374.7197808219175"/>
    <n v="1745.4190389041094"/>
    <n v="667.7550110958905"/>
    <d v="2025-02-27T00:00:00"/>
    <n v="3283.23"/>
    <m/>
  </r>
  <r>
    <s v="Valid"/>
    <n v="202507"/>
    <s v="GMC021090100AV"/>
    <s v="A V GLOBAL CORPORATION PRIVATE LIMITED"/>
    <d v="2025-06-10T00:00:00"/>
    <d v="2026-06-09T00:00:00"/>
    <s v="Vishwas Manohar Bhosale"/>
    <x v="232"/>
    <d v="1977-09-12T00:00:00"/>
    <x v="645"/>
    <d v="2025-07-01T00:00:00"/>
    <n v="0.04"/>
    <n v="0.22500000000000001"/>
    <d v="2025-07-01T00:00:00"/>
    <d v="2026-06-09T00:00:00"/>
    <m/>
    <m/>
    <n v="47"/>
    <s v="46-55"/>
    <x v="0"/>
    <x v="0"/>
    <n v="300000"/>
    <n v="300000"/>
    <n v="1"/>
    <n v="344"/>
    <d v="2026-02-28T00:00:00"/>
    <n v="243"/>
    <s v="Delhi"/>
    <n v="9035.4122038356163"/>
    <n v="1"/>
    <n v="7657.1289863013699"/>
    <n v="0"/>
    <n v="0"/>
    <n v="1378.2832175342464"/>
    <n v="306.28515945205481"/>
    <n v="1722.8540219178083"/>
    <n v="5408.9603013698634"/>
    <n v="3975.5858215068497"/>
    <n v="1652.4039834246576"/>
    <d v="2025-02-27T00:00:00"/>
    <n v="7657.1289863013699"/>
    <m/>
  </r>
  <r>
    <s v="Valid"/>
    <n v="202507"/>
    <s v="GMC021090100AV"/>
    <s v="A V GLOBAL CORPORATION PRIVATE LIMITED"/>
    <d v="2025-06-10T00:00:00"/>
    <d v="2026-06-09T00:00:00"/>
    <s v="Sanmani Vishwas Bhosale"/>
    <x v="232"/>
    <d v="1985-09-14T00:00:00"/>
    <x v="646"/>
    <d v="2025-07-01T00:00:00"/>
    <n v="0.04"/>
    <n v="0.22500000000000001"/>
    <d v="2025-07-01T00:00:00"/>
    <d v="2026-06-09T00:00:00"/>
    <m/>
    <m/>
    <n v="39"/>
    <s v="36-45"/>
    <x v="1"/>
    <x v="1"/>
    <n v="300000"/>
    <n v="0"/>
    <n v="0"/>
    <n v="344"/>
    <d v="2026-02-28T00:00:00"/>
    <n v="243"/>
    <s v="Delhi"/>
    <n v="4728.6566093150686"/>
    <n v="1"/>
    <n v="4007.3361095890414"/>
    <n v="0"/>
    <n v="0"/>
    <n v="721.32049972602738"/>
    <n v="160.29344438356165"/>
    <n v="901.65062465753431"/>
    <n v="2830.7635890410961"/>
    <n v="2080.6112379452056"/>
    <n v="864.78080260273987"/>
    <d v="2025-02-27T00:00:00"/>
    <n v="4007.3361095890414"/>
    <m/>
  </r>
  <r>
    <s v="Valid"/>
    <n v="202507"/>
    <s v="GMC021090100AV"/>
    <s v="A V GLOBAL CORPORATION PRIVATE LIMITED"/>
    <d v="2025-06-10T00:00:00"/>
    <d v="2026-06-09T00:00:00"/>
    <s v="Adwait Vishwas Bhosale"/>
    <x v="232"/>
    <d v="2008-05-11T00:00:00"/>
    <x v="647"/>
    <d v="2025-07-01T00:00:00"/>
    <n v="0.04"/>
    <n v="0.22500000000000001"/>
    <d v="2025-07-01T00:00:00"/>
    <d v="2026-06-09T00:00:00"/>
    <m/>
    <m/>
    <n v="17"/>
    <s v="0-35"/>
    <x v="0"/>
    <x v="2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Aarohi Vishwas Bhosale"/>
    <x v="232"/>
    <d v="2016-07-29T00:00:00"/>
    <x v="648"/>
    <d v="2025-07-01T00:00:00"/>
    <n v="0.04"/>
    <n v="0.22500000000000001"/>
    <d v="2025-07-01T00:00:00"/>
    <d v="2026-06-09T00:00:00"/>
    <m/>
    <m/>
    <n v="8"/>
    <s v="0-35"/>
    <x v="1"/>
    <x v="3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Amar Ankush Pawar"/>
    <x v="233"/>
    <d v="1990-01-09T00:00:00"/>
    <x v="649"/>
    <d v="2025-07-01T00:00:00"/>
    <n v="0.04"/>
    <n v="0.22500000000000001"/>
    <d v="2025-07-01T00:00:00"/>
    <d v="2026-06-09T00:00:00"/>
    <m/>
    <m/>
    <n v="35"/>
    <s v="0-35"/>
    <x v="0"/>
    <x v="0"/>
    <n v="300000"/>
    <n v="300000"/>
    <n v="1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Surekha Amar Pawar"/>
    <x v="233"/>
    <d v="1995-04-20T00:00:00"/>
    <x v="650"/>
    <d v="2025-07-01T00:00:00"/>
    <n v="0.04"/>
    <n v="0.22500000000000001"/>
    <d v="2025-07-01T00:00:00"/>
    <d v="2026-06-09T00:00:00"/>
    <m/>
    <m/>
    <n v="30"/>
    <s v="0-35"/>
    <x v="1"/>
    <x v="1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Konark Amar Pawar"/>
    <x v="233"/>
    <d v="2017-10-12T00:00:00"/>
    <x v="651"/>
    <d v="2025-07-01T00:00:00"/>
    <n v="0.04"/>
    <n v="0.22500000000000001"/>
    <d v="2025-07-01T00:00:00"/>
    <d v="2026-06-09T00:00:00"/>
    <m/>
    <m/>
    <n v="7"/>
    <s v="0-35"/>
    <x v="0"/>
    <x v="2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CHANDAN"/>
    <x v="234"/>
    <d v="1992-02-10T00:00:00"/>
    <x v="652"/>
    <d v="2025-07-01T00:00:00"/>
    <n v="0.04"/>
    <n v="0.22500000000000001"/>
    <d v="2025-07-01T00:00:00"/>
    <d v="2026-06-09T00:00:00"/>
    <m/>
    <m/>
    <n v="33"/>
    <s v="0-35"/>
    <x v="0"/>
    <x v="0"/>
    <n v="300000"/>
    <n v="300000"/>
    <n v="1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Sonia Kanojiya"/>
    <x v="234"/>
    <d v="1993-09-30T00:00:00"/>
    <x v="653"/>
    <d v="2025-07-01T00:00:00"/>
    <n v="0.04"/>
    <n v="0.22500000000000001"/>
    <d v="2025-07-01T00:00:00"/>
    <d v="2026-06-09T00:00:00"/>
    <m/>
    <m/>
    <n v="31"/>
    <s v="0-35"/>
    <x v="1"/>
    <x v="1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Himanshu Kannojia"/>
    <x v="234"/>
    <d v="2020-11-19T00:00:00"/>
    <x v="654"/>
    <d v="2025-07-01T00:00:00"/>
    <n v="0.04"/>
    <n v="0.22500000000000001"/>
    <d v="2025-07-01T00:00:00"/>
    <d v="2026-06-09T00:00:00"/>
    <m/>
    <m/>
    <n v="4"/>
    <s v="0-35"/>
    <x v="0"/>
    <x v="2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B DAMODHARAN"/>
    <x v="235"/>
    <d v="1983-11-05T00:00:00"/>
    <x v="655"/>
    <d v="2025-07-01T00:00:00"/>
    <n v="0.04"/>
    <n v="0.22500000000000001"/>
    <d v="2025-07-01T00:00:00"/>
    <d v="2026-06-09T00:00:00"/>
    <m/>
    <m/>
    <n v="41"/>
    <s v="36-45"/>
    <x v="0"/>
    <x v="0"/>
    <n v="300000"/>
    <n v="300000"/>
    <n v="1"/>
    <n v="344"/>
    <d v="2026-02-28T00:00:00"/>
    <n v="243"/>
    <s v="Delhi"/>
    <n v="4728.6566093150686"/>
    <n v="1"/>
    <n v="4007.3361095890414"/>
    <n v="0"/>
    <n v="0"/>
    <n v="721.32049972602738"/>
    <n v="160.29344438356165"/>
    <n v="901.65062465753431"/>
    <n v="2830.7635890410961"/>
    <n v="2080.6112379452056"/>
    <n v="864.78080260273987"/>
    <d v="2025-02-27T00:00:00"/>
    <n v="4007.3361095890414"/>
    <m/>
  </r>
  <r>
    <s v="Valid"/>
    <n v="202507"/>
    <s v="GMC021090100AV"/>
    <s v="A V GLOBAL CORPORATION PRIVATE LIMITED"/>
    <d v="2025-06-10T00:00:00"/>
    <d v="2026-06-09T00:00:00"/>
    <s v="Dharani Devaraj"/>
    <x v="235"/>
    <d v="1989-02-04T00:00:00"/>
    <x v="656"/>
    <d v="2025-07-01T00:00:00"/>
    <n v="0.04"/>
    <n v="0.22500000000000001"/>
    <d v="2025-07-01T00:00:00"/>
    <d v="2026-06-09T00:00:00"/>
    <m/>
    <m/>
    <n v="36"/>
    <s v="36-45"/>
    <x v="1"/>
    <x v="1"/>
    <n v="300000"/>
    <n v="0"/>
    <n v="0"/>
    <n v="344"/>
    <d v="2026-02-28T00:00:00"/>
    <n v="243"/>
    <s v="Delhi"/>
    <n v="4728.6566093150686"/>
    <n v="1"/>
    <n v="4007.3361095890414"/>
    <n v="0"/>
    <n v="0"/>
    <n v="721.32049972602738"/>
    <n v="160.29344438356165"/>
    <n v="901.65062465753431"/>
    <n v="2830.7635890410961"/>
    <n v="2080.6112379452056"/>
    <n v="864.78080260273987"/>
    <d v="2025-02-27T00:00:00"/>
    <n v="4007.3361095890414"/>
    <m/>
  </r>
  <r>
    <s v="Valid"/>
    <n v="202507"/>
    <s v="GMC021090100AV"/>
    <s v="A V GLOBAL CORPORATION PRIVATE LIMITED"/>
    <d v="2025-06-10T00:00:00"/>
    <d v="2026-06-09T00:00:00"/>
    <s v="D Krishanth"/>
    <x v="235"/>
    <d v="2016-12-05T00:00:00"/>
    <x v="657"/>
    <d v="2025-07-01T00:00:00"/>
    <n v="0.04"/>
    <n v="0.22500000000000001"/>
    <d v="2025-07-01T00:00:00"/>
    <d v="2026-06-09T00:00:00"/>
    <m/>
    <m/>
    <n v="8"/>
    <s v="0-35"/>
    <x v="0"/>
    <x v="2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RISHABH PANDEY"/>
    <x v="236"/>
    <d v="2001-03-01T00:00:00"/>
    <x v="658"/>
    <d v="2025-07-01T00:00:00"/>
    <n v="0.04"/>
    <n v="0.22500000000000001"/>
    <d v="2025-07-01T00:00:00"/>
    <d v="2026-06-09T00:00:00"/>
    <m/>
    <m/>
    <n v="24"/>
    <s v="0-35"/>
    <x v="0"/>
    <x v="0"/>
    <n v="300000"/>
    <n v="300000"/>
    <n v="1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7"/>
    <s v="GMC021090100AV"/>
    <s v="A V GLOBAL CORPORATION PRIVATE LIMITED"/>
    <d v="2025-06-10T00:00:00"/>
    <d v="2026-06-09T00:00:00"/>
    <s v="Rajni Kumari"/>
    <x v="202"/>
    <d v="1999-11-20T00:00:00"/>
    <x v="659"/>
    <d v="2025-07-01T00:00:00"/>
    <n v="0.04"/>
    <n v="0.22500000000000001"/>
    <d v="2025-07-01T00:00:00"/>
    <d v="2026-06-09T00:00:00"/>
    <m/>
    <m/>
    <n v="25"/>
    <s v="0-35"/>
    <x v="1"/>
    <x v="1"/>
    <n v="300000"/>
    <n v="0"/>
    <n v="0"/>
    <n v="344"/>
    <d v="2026-02-28T00:00:00"/>
    <n v="243"/>
    <s v="Delhi"/>
    <n v="3651.3115660273975"/>
    <n v="1"/>
    <n v="3094.3318356164386"/>
    <n v="0"/>
    <n v="0"/>
    <n v="556.97973041095895"/>
    <n v="123.77327342465755"/>
    <n v="696.22466301369866"/>
    <n v="2185.8216164383562"/>
    <n v="1606.5788880821917"/>
    <n v="667.75501109589084"/>
    <d v="2025-02-27T00:00:00"/>
    <n v="3094.3318356164386"/>
    <m/>
  </r>
  <r>
    <s v="Valid"/>
    <n v="202508"/>
    <s v="GMC021090100AV"/>
    <s v="A V GLOBAL CORPORATION PRIVATE LIMITED"/>
    <d v="2025-06-10T00:00:00"/>
    <d v="2026-06-09T00:00:00"/>
    <s v="SATISH SAHADEV PAWNAK"/>
    <x v="237"/>
    <d v="1985-08-03T00:00:00"/>
    <x v="660"/>
    <d v="2025-07-18T00:00:00"/>
    <n v="0.04"/>
    <n v="0.22500000000000001"/>
    <d v="2025-07-18T00:00:00"/>
    <d v="2026-06-09T00:00:00"/>
    <m/>
    <m/>
    <n v="39"/>
    <s v="36-45"/>
    <x v="0"/>
    <x v="0"/>
    <n v="300000"/>
    <n v="300000"/>
    <n v="1"/>
    <n v="327"/>
    <d v="2026-02-28T00:00:00"/>
    <n v="226"/>
    <s v="Delhi"/>
    <n v="4494.9729978082196"/>
    <n v="1"/>
    <n v="3809.2991506849321"/>
    <n v="0"/>
    <n v="0"/>
    <n v="685.67384712328771"/>
    <n v="152.37196602739729"/>
    <n v="857.0923089041097"/>
    <n v="2632.7266301369864"/>
    <n v="1935.0540731506849"/>
    <n v="864.78080260274021"/>
    <d v="2025-02-27T00:00:00"/>
    <n v="3809.2991506849321"/>
    <m/>
  </r>
  <r>
    <s v="Valid"/>
    <n v="202508"/>
    <s v="GMC021090100AV"/>
    <s v="A V GLOBAL CORPORATION PRIVATE LIMITED"/>
    <d v="2025-06-10T00:00:00"/>
    <d v="2026-06-09T00:00:00"/>
    <s v="Sonakshi Satish Pavnak"/>
    <x v="237"/>
    <d v="1990-08-20T00:00:00"/>
    <x v="661"/>
    <d v="2025-07-18T00:00:00"/>
    <n v="0.04"/>
    <n v="0.22500000000000001"/>
    <d v="2025-07-18T00:00:00"/>
    <d v="2026-06-09T00:00:00"/>
    <m/>
    <m/>
    <n v="34"/>
    <s v="0-35"/>
    <x v="1"/>
    <x v="1"/>
    <n v="300000"/>
    <n v="0"/>
    <n v="0"/>
    <n v="327"/>
    <d v="2026-02-28T00:00:00"/>
    <n v="226"/>
    <s v="Delhi"/>
    <n v="3470.8688432876711"/>
    <n v="1"/>
    <n v="2941.4142739726026"/>
    <n v="0"/>
    <n v="0"/>
    <n v="529.4545693150684"/>
    <n v="117.65657095890411"/>
    <n v="661.81821164383564"/>
    <n v="2032.9040547945203"/>
    <n v="1494.1844802739724"/>
    <n v="667.7550110958905"/>
    <d v="2025-02-27T00:00:00"/>
    <n v="2941.4142739726026"/>
    <m/>
  </r>
  <r>
    <s v="Valid"/>
    <n v="202508"/>
    <s v="GMC021090100AV"/>
    <s v="A V GLOBAL CORPORATION PRIVATE LIMITED"/>
    <d v="2025-06-10T00:00:00"/>
    <d v="2026-06-09T00:00:00"/>
    <s v="Aaryan Satish Pavnak "/>
    <x v="237"/>
    <d v="2014-03-24T00:00:00"/>
    <x v="662"/>
    <d v="2025-07-18T00:00:00"/>
    <n v="0.04"/>
    <n v="0.22500000000000001"/>
    <d v="2025-07-18T00:00:00"/>
    <d v="2026-06-09T00:00:00"/>
    <m/>
    <m/>
    <n v="11"/>
    <s v="0-35"/>
    <x v="0"/>
    <x v="2"/>
    <n v="300000"/>
    <n v="0"/>
    <n v="0"/>
    <n v="327"/>
    <d v="2026-02-28T00:00:00"/>
    <n v="226"/>
    <s v="Delhi"/>
    <n v="3470.8688432876711"/>
    <n v="1"/>
    <n v="2941.4142739726026"/>
    <n v="0"/>
    <n v="0"/>
    <n v="529.4545693150684"/>
    <n v="117.65657095890411"/>
    <n v="661.81821164383564"/>
    <n v="2032.9040547945203"/>
    <n v="1494.1844802739724"/>
    <n v="667.7550110958905"/>
    <d v="2025-02-27T00:00:00"/>
    <n v="2941.4142739726026"/>
    <m/>
  </r>
  <r>
    <s v="Valid"/>
    <n v="202508"/>
    <s v="GMC021090100AV"/>
    <s v="A V GLOBAL CORPORATION PRIVATE LIMITED"/>
    <d v="2025-06-10T00:00:00"/>
    <d v="2026-06-09T00:00:00"/>
    <s v="CHANDRA BALLABH"/>
    <x v="238"/>
    <d v="1987-07-01T00:00:00"/>
    <x v="663"/>
    <d v="2025-07-18T00:00:00"/>
    <n v="0.04"/>
    <n v="0.22500000000000001"/>
    <d v="2025-07-18T00:00:00"/>
    <d v="2026-06-09T00:00:00"/>
    <m/>
    <m/>
    <n v="38"/>
    <s v="36-45"/>
    <x v="1"/>
    <x v="0"/>
    <n v="300000"/>
    <n v="300000"/>
    <n v="1"/>
    <n v="327"/>
    <d v="2026-02-28T00:00:00"/>
    <n v="226"/>
    <s v="Delhi"/>
    <n v="4494.9729978082196"/>
    <n v="1"/>
    <n v="3809.2991506849321"/>
    <n v="0"/>
    <n v="0"/>
    <n v="685.67384712328771"/>
    <n v="152.37196602739729"/>
    <n v="857.0923089041097"/>
    <n v="2632.7266301369864"/>
    <n v="1935.0540731506849"/>
    <n v="864.78080260274021"/>
    <d v="2025-02-27T00:00:00"/>
    <n v="3809.2991506849321"/>
    <m/>
  </r>
  <r>
    <s v="Valid"/>
    <n v="202508"/>
    <s v="GMC021090100AV"/>
    <s v="A V GLOBAL CORPORATION PRIVATE LIMITED"/>
    <d v="2025-06-10T00:00:00"/>
    <d v="2026-06-09T00:00:00"/>
    <s v="AVNI DOBRIYAL"/>
    <x v="238"/>
    <d v="2023-05-15T00:00:00"/>
    <x v="664"/>
    <d v="2025-07-18T00:00:00"/>
    <n v="0.04"/>
    <n v="0.22500000000000001"/>
    <d v="2025-07-18T00:00:00"/>
    <d v="2026-06-09T00:00:00"/>
    <m/>
    <m/>
    <n v="2"/>
    <s v="0-35"/>
    <x v="0"/>
    <x v="3"/>
    <n v="300000"/>
    <n v="0"/>
    <n v="0"/>
    <n v="327"/>
    <d v="2026-02-28T00:00:00"/>
    <n v="226"/>
    <s v="Delhi"/>
    <n v="3470.8688432876711"/>
    <n v="1"/>
    <n v="2941.4142739726026"/>
    <n v="0"/>
    <n v="0"/>
    <n v="529.4545693150684"/>
    <n v="117.65657095890411"/>
    <n v="661.81821164383564"/>
    <n v="2032.9040547945203"/>
    <n v="1494.1844802739724"/>
    <n v="667.7550110958905"/>
    <d v="2025-02-27T00:00:00"/>
    <n v="2941.4142739726026"/>
    <m/>
  </r>
  <r>
    <s v="Valid"/>
    <n v="202508"/>
    <s v="GMC021090100AV"/>
    <s v="A V GLOBAL CORPORATION PRIVATE LIMITED"/>
    <d v="2025-06-10T00:00:00"/>
    <d v="2026-06-09T00:00:00"/>
    <s v="ABHINAV DOBRIYAL "/>
    <x v="238"/>
    <d v="2019-12-17T00:00:00"/>
    <x v="665"/>
    <d v="2025-07-18T00:00:00"/>
    <n v="0.04"/>
    <n v="0.22500000000000001"/>
    <d v="2025-07-18T00:00:00"/>
    <d v="2026-06-09T00:00:00"/>
    <m/>
    <m/>
    <n v="5"/>
    <s v="0-35"/>
    <x v="1"/>
    <x v="2"/>
    <n v="300000"/>
    <n v="0"/>
    <n v="0"/>
    <n v="327"/>
    <d v="2026-02-28T00:00:00"/>
    <n v="226"/>
    <s v="Delhi"/>
    <n v="3470.8688432876711"/>
    <n v="1"/>
    <n v="2941.4142739726026"/>
    <n v="0"/>
    <n v="0"/>
    <n v="529.4545693150684"/>
    <n v="117.65657095890411"/>
    <n v="661.81821164383564"/>
    <n v="2032.9040547945203"/>
    <n v="1494.1844802739724"/>
    <n v="667.7550110958905"/>
    <d v="2025-02-27T00:00:00"/>
    <n v="2941.4142739726026"/>
    <m/>
  </r>
  <r>
    <s v="Valid"/>
    <n v="202508"/>
    <s v="GMC021090100AV"/>
    <s v="A V GLOBAL CORPORATION PRIVATE LIMITED"/>
    <d v="2025-06-10T00:00:00"/>
    <d v="2026-06-09T00:00:00"/>
    <s v="JYOTI"/>
    <x v="238"/>
    <d v="1995-10-02T00:00:00"/>
    <x v="666"/>
    <d v="2025-07-18T00:00:00"/>
    <n v="0.04"/>
    <n v="0.22500000000000001"/>
    <d v="2025-07-18T00:00:00"/>
    <d v="2026-06-09T00:00:00"/>
    <m/>
    <m/>
    <n v="29"/>
    <s v="0-35"/>
    <x v="0"/>
    <x v="1"/>
    <n v="300000"/>
    <n v="0"/>
    <n v="0"/>
    <n v="327"/>
    <d v="2026-02-28T00:00:00"/>
    <n v="226"/>
    <s v="Delhi"/>
    <n v="3470.8688432876711"/>
    <n v="1"/>
    <n v="2941.4142739726026"/>
    <n v="0"/>
    <n v="0"/>
    <n v="529.4545693150684"/>
    <n v="117.65657095890411"/>
    <n v="661.81821164383564"/>
    <n v="2032.9040547945203"/>
    <n v="1494.1844802739724"/>
    <n v="667.7550110958905"/>
    <d v="2025-02-27T00:00:00"/>
    <n v="2941.4142739726026"/>
    <m/>
  </r>
  <r>
    <s v="Valid"/>
    <n v="202508"/>
    <s v="GMC021090100AV"/>
    <s v="A V GLOBAL CORPORATION PRIVATE LIMITED"/>
    <d v="2025-06-10T00:00:00"/>
    <d v="2026-06-09T00:00:00"/>
    <s v="VAIBHAV JAGANNATH DESALE"/>
    <x v="239"/>
    <d v="1992-12-12T00:00:00"/>
    <x v="667"/>
    <d v="2025-07-18T00:00:00"/>
    <n v="0.04"/>
    <n v="0.22500000000000001"/>
    <d v="2025-07-18T00:00:00"/>
    <d v="2026-06-09T00:00:00"/>
    <m/>
    <m/>
    <n v="32"/>
    <s v="0-35"/>
    <x v="0"/>
    <x v="0"/>
    <n v="300000"/>
    <n v="300000"/>
    <n v="1"/>
    <n v="327"/>
    <d v="2026-02-28T00:00:00"/>
    <n v="226"/>
    <s v="Delhi"/>
    <n v="3470.8688432876711"/>
    <n v="1"/>
    <n v="2941.4142739726026"/>
    <n v="0"/>
    <n v="0"/>
    <n v="529.4545693150684"/>
    <n v="117.65657095890411"/>
    <n v="661.81821164383564"/>
    <n v="2032.9040547945203"/>
    <n v="1494.1844802739724"/>
    <n v="667.7550110958905"/>
    <d v="2025-02-27T00:00:00"/>
    <n v="2941.4142739726026"/>
    <m/>
  </r>
  <r>
    <s v="Deletion"/>
    <n v="202508"/>
    <s v="GMC021090100AV"/>
    <s v="A V GLOBAL CORPORATION PRIVATE LIMITED"/>
    <d v="2025-06-10T00:00:00"/>
    <d v="2026-06-09T00:00:00"/>
    <s v="Rajesh Rajendra Kadam"/>
    <x v="141"/>
    <d v="1988-12-25T00:00:00"/>
    <x v="442"/>
    <d v="2025-06-10T00:00:00"/>
    <n v="0.04"/>
    <n v="0.22500000000000001"/>
    <d v="2025-06-10T00:00:00"/>
    <d v="2026-06-09T00:00:00"/>
    <d v="2025-07-31T00:00:00"/>
    <d v="2025-08-01T00:00:00"/>
    <n v="36"/>
    <s v="36-45"/>
    <x v="0"/>
    <x v="0"/>
    <n v="-300000"/>
    <n v="-300000"/>
    <n v="-1"/>
    <n v="313"/>
    <d v="2026-02-28T00:00:00"/>
    <n v="212"/>
    <s v="Delhi"/>
    <n v="0"/>
    <n v="-1"/>
    <n v="0"/>
    <n v="0"/>
    <n v="0"/>
    <n v="0"/>
    <n v="0"/>
    <n v="0"/>
    <n v="0"/>
    <n v="0"/>
    <n v="0"/>
    <d v="2025-02-27T00:00:00"/>
    <n v="0"/>
    <s v="Claim"/>
  </r>
  <r>
    <s v="Deletion"/>
    <n v="202508"/>
    <s v="GMC021090100AV"/>
    <s v="A V GLOBAL CORPORATION PRIVATE LIMITED"/>
    <d v="2025-06-10T00:00:00"/>
    <d v="2026-06-09T00:00:00"/>
    <s v="Nikita Rajesh Kadam"/>
    <x v="141"/>
    <d v="1990-04-13T00:00:00"/>
    <x v="443"/>
    <d v="2025-06-10T00:00:00"/>
    <n v="0.04"/>
    <n v="0.22500000000000001"/>
    <d v="2025-06-10T00:00:00"/>
    <d v="2026-06-09T00:00:00"/>
    <d v="2025-07-31T00:00:00"/>
    <d v="2025-08-01T00:00:00"/>
    <n v="35"/>
    <s v="0-35"/>
    <x v="1"/>
    <x v="1"/>
    <n v="-300000"/>
    <n v="0"/>
    <n v="0"/>
    <n v="313"/>
    <d v="2026-02-28T00:00:00"/>
    <n v="212"/>
    <s v="Delhi"/>
    <n v="0"/>
    <n v="-1"/>
    <n v="0"/>
    <n v="0"/>
    <n v="0"/>
    <n v="0"/>
    <n v="0"/>
    <n v="0"/>
    <n v="0"/>
    <n v="0"/>
    <n v="0"/>
    <d v="2025-02-27T00:00:00"/>
    <n v="0"/>
    <s v="Claim"/>
  </r>
  <r>
    <s v="Deletion"/>
    <n v="202508"/>
    <s v="GMC021090100AV"/>
    <s v="A V GLOBAL CORPORATION PRIVATE LIMITED"/>
    <d v="2025-06-10T00:00:00"/>
    <d v="2026-06-09T00:00:00"/>
    <s v="Chitravi Rajesh Kadam"/>
    <x v="141"/>
    <d v="2022-04-29T00:00:00"/>
    <x v="444"/>
    <d v="2025-06-10T00:00:00"/>
    <n v="0.04"/>
    <n v="0.22500000000000001"/>
    <d v="2025-06-10T00:00:00"/>
    <d v="2026-06-09T00:00:00"/>
    <d v="2025-07-31T00:00:00"/>
    <d v="2025-08-01T00:00:00"/>
    <n v="3"/>
    <s v="0-35"/>
    <x v="1"/>
    <x v="3"/>
    <n v="-300000"/>
    <n v="0"/>
    <n v="0"/>
    <n v="313"/>
    <d v="2026-02-28T00:00:00"/>
    <n v="212"/>
    <s v="Delhi"/>
    <n v="0"/>
    <n v="-1"/>
    <n v="0"/>
    <n v="0"/>
    <n v="0"/>
    <n v="0"/>
    <n v="0"/>
    <n v="0"/>
    <n v="0"/>
    <n v="0"/>
    <n v="0"/>
    <d v="2025-02-27T00:00:00"/>
    <n v="0"/>
    <s v="Claim"/>
  </r>
  <r>
    <s v="Valid"/>
    <n v="202509"/>
    <s v="GMC021090100AV"/>
    <s v="A V GLOBAL CORPORATION PRIVATE LIMITED"/>
    <d v="2025-06-10T00:00:00"/>
    <d v="2026-06-09T00:00:00"/>
    <s v="Tarun Kumar Sharma"/>
    <x v="240"/>
    <s v="31-Mar-1989"/>
    <x v="668"/>
    <d v="2025-08-19T00:00:00"/>
    <n v="0.04"/>
    <n v="0.22500000000000001"/>
    <d v="2025-08-19T00:00:00"/>
    <d v="2026-06-09T00:00:00"/>
    <m/>
    <m/>
    <n v="36"/>
    <s v="36-45"/>
    <x v="0"/>
    <x v="0"/>
    <n v="300000"/>
    <n v="300000"/>
    <n v="1"/>
    <n v="295"/>
    <d v="2026-02-28T00:00:00"/>
    <n v="194"/>
    <s v="Delhi"/>
    <n v="4055.0979643835622"/>
    <n v="1"/>
    <n v="3436.5236986301375"/>
    <n v="0"/>
    <n v="0"/>
    <n v="618.5742657534247"/>
    <n v="137.4609479452055"/>
    <n v="773.21783219178099"/>
    <n v="2259.9511780821917"/>
    <n v="1661.0641158904109"/>
    <n v="864.78080260273998"/>
    <d v="2025-02-27T00:00:00"/>
    <n v="3436.5236986301375"/>
    <m/>
  </r>
  <r>
    <s v="Valid"/>
    <n v="202509"/>
    <s v="GMC021090100AV"/>
    <s v="A V GLOBAL CORPORATION PRIVATE LIMITED"/>
    <d v="2025-06-10T00:00:00"/>
    <d v="2026-06-09T00:00:00"/>
    <s v="Hemlata Sharma"/>
    <x v="240"/>
    <s v="07-Jan-1992"/>
    <x v="669"/>
    <d v="2025-08-19T00:00:00"/>
    <n v="0.04"/>
    <n v="0.22500000000000001"/>
    <d v="2025-08-19T00:00:00"/>
    <d v="2026-06-09T00:00:00"/>
    <m/>
    <m/>
    <n v="33"/>
    <s v="0-35"/>
    <x v="1"/>
    <x v="1"/>
    <n v="300000"/>
    <n v="0"/>
    <n v="0"/>
    <n v="295"/>
    <d v="2026-02-28T00:00:00"/>
    <n v="194"/>
    <s v="Delhi"/>
    <n v="3131.2119534246576"/>
    <n v="1"/>
    <n v="2653.5694520547945"/>
    <n v="0"/>
    <n v="0"/>
    <n v="477.642501369863"/>
    <n v="106.14277808219178"/>
    <n v="597.05312671232878"/>
    <n v="1745.0592328767123"/>
    <n v="1282.6185361643834"/>
    <n v="667.7550110958905"/>
    <d v="2025-02-27T00:00:00"/>
    <n v="2653.5694520547945"/>
    <m/>
  </r>
  <r>
    <s v="Valid"/>
    <n v="202509"/>
    <s v="GMC021090100AV"/>
    <s v="A V GLOBAL CORPORATION PRIVATE LIMITED"/>
    <d v="2025-06-10T00:00:00"/>
    <d v="2026-06-09T00:00:00"/>
    <s v="Ayush Sharma"/>
    <x v="240"/>
    <s v="06-Dec-2012"/>
    <x v="670"/>
    <d v="2025-08-19T00:00:00"/>
    <n v="0.04"/>
    <n v="0.22500000000000001"/>
    <d v="2025-08-19T00:00:00"/>
    <d v="2026-06-09T00:00:00"/>
    <m/>
    <m/>
    <n v="12"/>
    <s v="0-35"/>
    <x v="0"/>
    <x v="2"/>
    <n v="300000"/>
    <n v="0"/>
    <n v="0"/>
    <n v="295"/>
    <d v="2026-02-28T00:00:00"/>
    <n v="194"/>
    <s v="Delhi"/>
    <n v="3131.2119534246576"/>
    <n v="1"/>
    <n v="2653.5694520547945"/>
    <n v="0"/>
    <n v="0"/>
    <n v="477.642501369863"/>
    <n v="106.14277808219178"/>
    <n v="597.05312671232878"/>
    <n v="1745.0592328767123"/>
    <n v="1282.6185361643834"/>
    <n v="667.7550110958905"/>
    <d v="2025-02-27T00:00:00"/>
    <n v="2653.5694520547945"/>
    <m/>
  </r>
  <r>
    <s v="Valid"/>
    <n v="202509"/>
    <s v="GMC021090100AV"/>
    <s v="A V GLOBAL CORPORATION PRIVATE LIMITED"/>
    <d v="2025-06-10T00:00:00"/>
    <d v="2026-06-09T00:00:00"/>
    <s v="Devanshi Sharma"/>
    <x v="240"/>
    <s v="26-Dec-2017"/>
    <x v="671"/>
    <d v="2025-08-19T00:00:00"/>
    <n v="0.04"/>
    <n v="0.22500000000000001"/>
    <d v="2025-08-19T00:00:00"/>
    <d v="2026-06-09T00:00:00"/>
    <m/>
    <m/>
    <n v="7"/>
    <s v="0-35"/>
    <x v="1"/>
    <x v="3"/>
    <n v="300000"/>
    <n v="0"/>
    <n v="0"/>
    <n v="295"/>
    <d v="2026-02-28T00:00:00"/>
    <n v="194"/>
    <s v="Delhi"/>
    <n v="3131.2119534246576"/>
    <n v="1"/>
    <n v="2653.5694520547945"/>
    <n v="0"/>
    <n v="0"/>
    <n v="477.642501369863"/>
    <n v="106.14277808219178"/>
    <n v="597.05312671232878"/>
    <n v="1745.0592328767123"/>
    <n v="1282.6185361643834"/>
    <n v="667.7550110958905"/>
    <d v="2025-02-27T00:00:00"/>
    <n v="2653.5694520547945"/>
    <m/>
  </r>
  <r>
    <s v="Deletion"/>
    <n v="202509"/>
    <s v="GMC021090100AV"/>
    <s v="A V GLOBAL CORPORATION PRIVATE LIMITED"/>
    <d v="2025-06-10T00:00:00"/>
    <d v="2026-06-09T00:00:00"/>
    <s v="Tarun Kumar Sharma"/>
    <x v="240"/>
    <s v="31-Mar-1989"/>
    <x v="668"/>
    <d v="2025-08-19T00:00:00"/>
    <n v="0.04"/>
    <n v="0.22500000000000001"/>
    <d v="2025-08-19T00:00:00"/>
    <d v="2026-06-09T00:00:00"/>
    <d v="2025-08-18T00:00:00"/>
    <d v="2025-08-19T00:00:00"/>
    <n v="36"/>
    <s v="36-45"/>
    <x v="0"/>
    <x v="0"/>
    <n v="-300000"/>
    <n v="-300000"/>
    <n v="-1"/>
    <n v="295"/>
    <d v="2026-02-28T00:00:00"/>
    <n v="194"/>
    <s v="Delhi"/>
    <n v="-4055.0979643835622"/>
    <n v="-1"/>
    <n v="-3436.5236986301375"/>
    <n v="0"/>
    <n v="0"/>
    <n v="-618.5742657534247"/>
    <n v="-137.4609479452055"/>
    <n v="-773.21783219178099"/>
    <n v="-2259.9511780821917"/>
    <n v="-1661.0641158904109"/>
    <n v="-864.78080260273998"/>
    <d v="2025-02-27T00:00:00"/>
    <n v="-3436.5236986301375"/>
    <s v="No claim"/>
  </r>
  <r>
    <s v="Deletion"/>
    <n v="202509"/>
    <s v="GMC021090100AV"/>
    <s v="A V GLOBAL CORPORATION PRIVATE LIMITED"/>
    <d v="2025-06-10T00:00:00"/>
    <d v="2026-06-09T00:00:00"/>
    <s v="Hemlata Sharma"/>
    <x v="240"/>
    <s v="07-Jan-1992"/>
    <x v="669"/>
    <d v="2025-08-19T00:00:00"/>
    <n v="0.04"/>
    <n v="0.22500000000000001"/>
    <d v="2025-08-19T00:00:00"/>
    <d v="2026-06-09T00:00:00"/>
    <d v="2025-08-18T00:00:00"/>
    <d v="2025-08-19T00:00:00"/>
    <n v="33"/>
    <s v="0-35"/>
    <x v="1"/>
    <x v="1"/>
    <n v="-300000"/>
    <n v="0"/>
    <n v="0"/>
    <n v="295"/>
    <d v="2026-02-28T00:00:00"/>
    <n v="194"/>
    <s v="Delhi"/>
    <n v="-3131.2119534246576"/>
    <n v="-1"/>
    <n v="-2653.5694520547945"/>
    <n v="0"/>
    <n v="0"/>
    <n v="-477.642501369863"/>
    <n v="-106.14277808219178"/>
    <n v="-597.05312671232878"/>
    <n v="-1745.0592328767123"/>
    <n v="-1282.6185361643834"/>
    <n v="-667.7550110958905"/>
    <d v="2025-02-27T00:00:00"/>
    <n v="-2653.5694520547945"/>
    <s v="No claim"/>
  </r>
  <r>
    <s v="Deletion"/>
    <n v="202509"/>
    <s v="GMC021090100AV"/>
    <s v="A V GLOBAL CORPORATION PRIVATE LIMITED"/>
    <d v="2025-06-10T00:00:00"/>
    <d v="2026-06-09T00:00:00"/>
    <s v="Ayush Sharma"/>
    <x v="240"/>
    <s v="06-Dec-2012"/>
    <x v="670"/>
    <d v="2025-08-19T00:00:00"/>
    <n v="0.04"/>
    <n v="0.22500000000000001"/>
    <d v="2025-08-19T00:00:00"/>
    <d v="2026-06-09T00:00:00"/>
    <d v="2025-08-18T00:00:00"/>
    <d v="2025-08-19T00:00:00"/>
    <n v="12"/>
    <s v="0-35"/>
    <x v="0"/>
    <x v="2"/>
    <n v="-300000"/>
    <n v="0"/>
    <n v="0"/>
    <n v="295"/>
    <d v="2026-02-28T00:00:00"/>
    <n v="194"/>
    <s v="Delhi"/>
    <n v="-3131.2119534246576"/>
    <n v="-1"/>
    <n v="-2653.5694520547945"/>
    <n v="0"/>
    <n v="0"/>
    <n v="-477.642501369863"/>
    <n v="-106.14277808219178"/>
    <n v="-597.05312671232878"/>
    <n v="-1745.0592328767123"/>
    <n v="-1282.6185361643834"/>
    <n v="-667.7550110958905"/>
    <d v="2025-02-27T00:00:00"/>
    <n v="-2653.5694520547945"/>
    <s v="No claim"/>
  </r>
  <r>
    <s v="Deletion"/>
    <n v="202509"/>
    <s v="GMC021090100AV"/>
    <s v="A V GLOBAL CORPORATION PRIVATE LIMITED"/>
    <d v="2025-06-10T00:00:00"/>
    <d v="2026-06-09T00:00:00"/>
    <s v="Devanshi Sharma"/>
    <x v="240"/>
    <s v="26-Dec-2017"/>
    <x v="671"/>
    <d v="2025-08-19T00:00:00"/>
    <n v="0.04"/>
    <n v="0.22500000000000001"/>
    <d v="2025-08-19T00:00:00"/>
    <d v="2026-06-09T00:00:00"/>
    <d v="2025-08-18T00:00:00"/>
    <d v="2025-08-19T00:00:00"/>
    <n v="7"/>
    <s v="0-35"/>
    <x v="1"/>
    <x v="3"/>
    <n v="-300000"/>
    <n v="0"/>
    <n v="0"/>
    <n v="295"/>
    <d v="2026-02-28T00:00:00"/>
    <n v="194"/>
    <s v="Delhi"/>
    <n v="-3131.2119534246576"/>
    <n v="-1"/>
    <n v="-2653.5694520547945"/>
    <n v="0"/>
    <n v="0"/>
    <n v="-477.642501369863"/>
    <n v="-106.14277808219178"/>
    <n v="-597.05312671232878"/>
    <n v="-1745.0592328767123"/>
    <n v="-1282.6185361643834"/>
    <n v="-667.7550110958905"/>
    <d v="2025-02-27T00:00:00"/>
    <n v="-2653.5694520547945"/>
    <s v="No claim"/>
  </r>
  <r>
    <s v="Valid"/>
    <n v="202509"/>
    <s v="GMC021090100AV"/>
    <s v="A V GLOBAL CORPORATION PRIVATE LIMITED"/>
    <d v="2025-06-10T00:00:00"/>
    <d v="2026-06-09T00:00:00"/>
    <s v="SAANVI SACHIN SURYAVANSHI"/>
    <x v="241"/>
    <d v="1986-07-19T00:00:00"/>
    <x v="672"/>
    <d v="2025-09-01T00:00:00"/>
    <n v="0.04"/>
    <n v="0.22500000000000001"/>
    <d v="2025-09-01T00:00:00"/>
    <d v="2026-06-09T00:00:00"/>
    <m/>
    <m/>
    <n v="39"/>
    <s v="36-45"/>
    <x v="1"/>
    <x v="0"/>
    <n v="300000"/>
    <n v="300000"/>
    <n v="1"/>
    <n v="282"/>
    <d v="2026-02-28T00:00:00"/>
    <n v="181"/>
    <s v="Delhi"/>
    <n v="3876.3987320547949"/>
    <n v="1"/>
    <n v="3285.0836712328769"/>
    <n v="0"/>
    <n v="0"/>
    <n v="591.31506082191777"/>
    <n v="131.40334684931508"/>
    <n v="739.14382602739727"/>
    <n v="2108.5111506849316"/>
    <n v="1549.7556957534248"/>
    <n v="864.78080260273998"/>
    <d v="2025-02-27T00:00:00"/>
    <n v="3285.0836712328769"/>
    <m/>
  </r>
  <r>
    <s v="Valid"/>
    <n v="202509"/>
    <s v="GMC021090100AV"/>
    <s v="A V GLOBAL CORPORATION PRIVATE LIMITED"/>
    <d v="2025-06-10T00:00:00"/>
    <d v="2026-06-09T00:00:00"/>
    <s v="SACHIN CHANDRAKANT SURYAVANSHI"/>
    <x v="241"/>
    <d v="1991-07-03T00:00:00"/>
    <x v="673"/>
    <d v="2025-09-01T00:00:00"/>
    <n v="0.04"/>
    <n v="0.22500000000000001"/>
    <d v="2025-09-01T00:00:00"/>
    <d v="2026-06-09T00:00:00"/>
    <m/>
    <m/>
    <n v="34"/>
    <s v="0-35"/>
    <x v="0"/>
    <x v="1"/>
    <n v="300000"/>
    <n v="0"/>
    <n v="0"/>
    <n v="282"/>
    <d v="2026-02-28T00:00:00"/>
    <n v="181"/>
    <s v="Delhi"/>
    <n v="2993.226341917808"/>
    <n v="1"/>
    <n v="2536.6324931506847"/>
    <n v="0"/>
    <n v="0"/>
    <n v="456.59384876712323"/>
    <n v="101.4652997260274"/>
    <n v="570.74231095890411"/>
    <n v="1628.1222739726027"/>
    <n v="1196.6698713698629"/>
    <n v="667.75501109589038"/>
    <d v="2025-02-27T00:00:00"/>
    <n v="2536.6324931506847"/>
    <m/>
  </r>
  <r>
    <s v="Valid"/>
    <n v="202509"/>
    <s v="GMC021090100AV"/>
    <s v="A V GLOBAL CORPORATION PRIVATE LIMITED"/>
    <d v="2025-06-10T00:00:00"/>
    <d v="2026-06-09T00:00:00"/>
    <s v="SADHVI SACHIN SURYAVANSHI"/>
    <x v="241"/>
    <d v="2020-12-30T00:00:00"/>
    <x v="674"/>
    <d v="2025-09-01T00:00:00"/>
    <n v="0.04"/>
    <n v="0.22500000000000001"/>
    <d v="2025-09-01T00:00:00"/>
    <d v="2026-06-09T00:00:00"/>
    <m/>
    <m/>
    <n v="4"/>
    <s v="0-35"/>
    <x v="1"/>
    <x v="3"/>
    <n v="300000"/>
    <n v="0"/>
    <n v="0"/>
    <n v="282"/>
    <d v="2026-02-28T00:00:00"/>
    <n v="181"/>
    <s v="Delhi"/>
    <n v="2993.226341917808"/>
    <n v="1"/>
    <n v="2536.6324931506847"/>
    <n v="0"/>
    <n v="0"/>
    <n v="456.59384876712323"/>
    <n v="101.4652997260274"/>
    <n v="570.74231095890411"/>
    <n v="1628.1222739726027"/>
    <n v="1196.6698713698629"/>
    <n v="667.75501109589038"/>
    <d v="2025-02-27T00:00:00"/>
    <n v="2536.6324931506847"/>
    <m/>
  </r>
  <r>
    <s v="Valid"/>
    <n v="202509"/>
    <s v="GMC021090100AV"/>
    <s v="A V GLOBAL CORPORATION PRIVATE LIMITED"/>
    <d v="2025-06-10T00:00:00"/>
    <d v="2026-06-09T00:00:00"/>
    <s v="KUSH SACHIN SURYAVANSHI"/>
    <x v="241"/>
    <d v="2020-12-30T00:00:00"/>
    <x v="675"/>
    <d v="2025-09-01T00:00:00"/>
    <n v="0.04"/>
    <n v="0.22500000000000001"/>
    <d v="2025-09-01T00:00:00"/>
    <d v="2026-06-09T00:00:00"/>
    <m/>
    <m/>
    <n v="4"/>
    <s v="0-35"/>
    <x v="0"/>
    <x v="2"/>
    <n v="300000"/>
    <n v="0"/>
    <n v="0"/>
    <n v="282"/>
    <d v="2026-02-28T00:00:00"/>
    <n v="181"/>
    <s v="Delhi"/>
    <n v="2993.226341917808"/>
    <n v="1"/>
    <n v="2536.6324931506847"/>
    <n v="0"/>
    <n v="0"/>
    <n v="456.59384876712323"/>
    <n v="101.4652997260274"/>
    <n v="570.74231095890411"/>
    <n v="1628.1222739726027"/>
    <n v="1196.6698713698629"/>
    <n v="667.75501109589038"/>
    <d v="2025-02-27T00:00:00"/>
    <n v="2536.6324931506847"/>
    <m/>
  </r>
  <r>
    <s v="Valid"/>
    <n v="202509"/>
    <s v="GMC021090100AV"/>
    <s v="A V GLOBAL CORPORATION PRIVATE LIMITED"/>
    <d v="2025-06-10T00:00:00"/>
    <d v="2026-06-09T00:00:00"/>
    <s v="MUKESH SINGH RAWAT"/>
    <x v="242"/>
    <d v="1997-09-29T00:00:00"/>
    <x v="676"/>
    <d v="2025-09-01T00:00:00"/>
    <n v="0.04"/>
    <n v="0.22500000000000001"/>
    <d v="2025-09-01T00:00:00"/>
    <d v="2026-06-09T00:00:00"/>
    <m/>
    <m/>
    <n v="27"/>
    <s v="0-35"/>
    <x v="0"/>
    <x v="0"/>
    <n v="300000"/>
    <n v="300000"/>
    <n v="1"/>
    <n v="282"/>
    <d v="2026-02-28T00:00:00"/>
    <n v="181"/>
    <s v="Delhi"/>
    <n v="2993.226341917808"/>
    <n v="1"/>
    <n v="2536.6324931506847"/>
    <n v="0"/>
    <n v="0"/>
    <n v="456.59384876712323"/>
    <n v="101.4652997260274"/>
    <n v="570.74231095890411"/>
    <n v="1628.1222739726027"/>
    <n v="1196.6698713698629"/>
    <n v="667.75501109589038"/>
    <d v="2025-02-27T00:00:00"/>
    <n v="2536.6324931506847"/>
    <m/>
  </r>
  <r>
    <s v="Valid"/>
    <n v="202509"/>
    <s v="GMC021090100AV"/>
    <s v="A V GLOBAL CORPORATION PRIVATE LIMITED"/>
    <d v="2025-06-10T00:00:00"/>
    <d v="2026-06-09T00:00:00"/>
    <s v="VIJAYAKUMAR KRISHNAN"/>
    <x v="243"/>
    <d v="1998-03-18T00:00:00"/>
    <x v="677"/>
    <d v="2025-09-01T00:00:00"/>
    <n v="0.04"/>
    <n v="0.22500000000000001"/>
    <d v="2025-09-01T00:00:00"/>
    <d v="2026-06-09T00:00:00"/>
    <m/>
    <m/>
    <n v="27"/>
    <s v="0-35"/>
    <x v="0"/>
    <x v="0"/>
    <n v="300000"/>
    <n v="300000"/>
    <n v="1"/>
    <n v="282"/>
    <d v="2026-02-28T00:00:00"/>
    <n v="181"/>
    <s v="Delhi"/>
    <n v="2993.226341917808"/>
    <n v="1"/>
    <n v="2536.6324931506847"/>
    <n v="0"/>
    <n v="0"/>
    <n v="456.59384876712323"/>
    <n v="101.4652997260274"/>
    <n v="570.74231095890411"/>
    <n v="1628.1222739726027"/>
    <n v="1196.6698713698629"/>
    <n v="667.75501109589038"/>
    <d v="2025-02-27T00:00:00"/>
    <n v="2536.6324931506847"/>
    <m/>
  </r>
  <r>
    <s v="Valid"/>
    <n v="202509"/>
    <s v="GMC021090100AV"/>
    <s v="A V GLOBAL CORPORATION PRIVATE LIMITED"/>
    <d v="2025-06-10T00:00:00"/>
    <d v="2026-06-09T00:00:00"/>
    <s v="RUCHIR RAMESH PALAVAKAR"/>
    <x v="244"/>
    <d v="1992-05-19T00:00:00"/>
    <x v="678"/>
    <d v="2025-09-03T00:00:00"/>
    <n v="0.04"/>
    <n v="0.22500000000000001"/>
    <d v="2025-09-03T00:00:00"/>
    <d v="2026-06-09T00:00:00"/>
    <m/>
    <m/>
    <n v="33"/>
    <s v="0-35"/>
    <x v="0"/>
    <x v="0"/>
    <n v="300000"/>
    <n v="300000"/>
    <n v="1"/>
    <n v="280"/>
    <d v="2026-02-28T00:00:00"/>
    <n v="179"/>
    <s v="Delhi"/>
    <n v="2971.9977863013701"/>
    <n v="1"/>
    <n v="2518.642191780822"/>
    <n v="0"/>
    <n v="0"/>
    <n v="453.35559452054792"/>
    <n v="100.74568767123289"/>
    <n v="566.69449315068493"/>
    <n v="1610.1319726027398"/>
    <n v="1183.4469998630136"/>
    <n v="667.75501109589038"/>
    <d v="2025-02-27T00:00:00"/>
    <n v="2518.642191780822"/>
    <m/>
  </r>
  <r>
    <s v="Valid"/>
    <n v="202509"/>
    <s v="GMC021090100AV"/>
    <s v="A V GLOBAL CORPORATION PRIVATE LIMITED"/>
    <d v="2025-06-10T00:00:00"/>
    <d v="2026-06-09T00:00:00"/>
    <s v="SAYALI HARISHCHANDRA BHAGAT"/>
    <x v="244"/>
    <d v="1997-10-17T00:00:00"/>
    <x v="679"/>
    <d v="2025-09-03T00:00:00"/>
    <n v="0.04"/>
    <n v="0.22500000000000001"/>
    <d v="2025-09-03T00:00:00"/>
    <d v="2026-06-09T00:00:00"/>
    <m/>
    <m/>
    <n v="27"/>
    <s v="0-35"/>
    <x v="1"/>
    <x v="1"/>
    <n v="300000"/>
    <n v="0"/>
    <n v="0"/>
    <n v="280"/>
    <d v="2026-02-28T00:00:00"/>
    <n v="179"/>
    <s v="Delhi"/>
    <n v="2971.9977863013701"/>
    <n v="1"/>
    <n v="2518.642191780822"/>
    <n v="0"/>
    <n v="0"/>
    <n v="453.35559452054792"/>
    <n v="100.74568767123289"/>
    <n v="566.69449315068493"/>
    <n v="1610.1319726027398"/>
    <n v="1183.4469998630136"/>
    <n v="667.75501109589038"/>
    <d v="2025-02-27T00:00:00"/>
    <n v="2518.642191780822"/>
    <m/>
  </r>
  <r>
    <s v="Valid"/>
    <n v="202509"/>
    <s v="GMC021090100AV"/>
    <s v="A V GLOBAL CORPORATION PRIVATE LIMITED"/>
    <d v="2025-06-10T00:00:00"/>
    <d v="2026-06-09T00:00:00"/>
    <s v="SENTHIL KUMAR M"/>
    <x v="245"/>
    <d v="1992-12-24T00:00:00"/>
    <x v="680"/>
    <d v="2025-09-01T00:00:00"/>
    <n v="0.04"/>
    <n v="0.22500000000000001"/>
    <d v="2025-09-01T00:00:00"/>
    <d v="2026-06-09T00:00:00"/>
    <m/>
    <m/>
    <n v="32"/>
    <s v="0-35"/>
    <x v="0"/>
    <x v="0"/>
    <n v="300000"/>
    <n v="300000"/>
    <n v="1"/>
    <n v="282"/>
    <d v="2026-02-28T00:00:00"/>
    <n v="181"/>
    <s v="Delhi"/>
    <n v="2993.226341917808"/>
    <n v="1"/>
    <n v="2536.6324931506847"/>
    <n v="0"/>
    <n v="0"/>
    <n v="456.59384876712323"/>
    <n v="101.4652997260274"/>
    <n v="570.74231095890411"/>
    <n v="1628.1222739726027"/>
    <n v="1196.6698713698629"/>
    <n v="667.75501109589038"/>
    <d v="2025-02-27T00:00:00"/>
    <n v="2536.6324931506847"/>
    <m/>
  </r>
  <r>
    <s v="Valid"/>
    <n v="202509"/>
    <s v="GMC021090100AV"/>
    <s v="A V GLOBAL CORPORATION PRIVATE LIMITED"/>
    <d v="2025-06-10T00:00:00"/>
    <d v="2026-06-09T00:00:00"/>
    <s v="Tarun Kumar Sharma"/>
    <x v="240"/>
    <d v="1989-03-31T00:00:00"/>
    <x v="681"/>
    <d v="2025-08-19T00:00:00"/>
    <n v="0.04"/>
    <n v="0.22500000000000001"/>
    <d v="2025-08-19T00:00:00"/>
    <d v="2026-06-09T00:00:00"/>
    <m/>
    <m/>
    <n v="36"/>
    <s v="36-45"/>
    <x v="0"/>
    <x v="0"/>
    <n v="300000"/>
    <n v="300000"/>
    <n v="1"/>
    <n v="295"/>
    <d v="2026-02-28T00:00:00"/>
    <n v="194"/>
    <s v="Delhi"/>
    <n v="4055.0979643835622"/>
    <n v="1"/>
    <n v="3436.5236986301375"/>
    <n v="0"/>
    <n v="0"/>
    <n v="618.5742657534247"/>
    <n v="137.4609479452055"/>
    <n v="773.21783219178099"/>
    <n v="2259.9511780821917"/>
    <n v="1661.0641158904109"/>
    <n v="864.78080260273998"/>
    <d v="2025-02-27T00:00:00"/>
    <n v="3436.5236986301375"/>
    <m/>
  </r>
  <r>
    <s v="Valid"/>
    <n v="202509"/>
    <s v="GMC021090100AV"/>
    <s v="A V GLOBAL CORPORATION PRIVATE LIMITED"/>
    <d v="2025-06-10T00:00:00"/>
    <d v="2026-06-09T00:00:00"/>
    <s v="Hemlata Sharma"/>
    <x v="240"/>
    <d v="1992-01-07T00:00:00"/>
    <x v="682"/>
    <d v="2025-08-19T00:00:00"/>
    <n v="0.04"/>
    <n v="0.22500000000000001"/>
    <d v="2025-08-19T00:00:00"/>
    <d v="2026-06-09T00:00:00"/>
    <m/>
    <m/>
    <n v="33"/>
    <s v="0-35"/>
    <x v="1"/>
    <x v="1"/>
    <n v="300000"/>
    <n v="0"/>
    <n v="0"/>
    <n v="295"/>
    <d v="2026-02-28T00:00:00"/>
    <n v="194"/>
    <s v="Delhi"/>
    <n v="3131.2119534246576"/>
    <n v="1"/>
    <n v="2653.5694520547945"/>
    <n v="0"/>
    <n v="0"/>
    <n v="477.642501369863"/>
    <n v="106.14277808219178"/>
    <n v="597.05312671232878"/>
    <n v="1745.0592328767123"/>
    <n v="1282.6185361643834"/>
    <n v="667.7550110958905"/>
    <d v="2025-02-27T00:00:00"/>
    <n v="2653.5694520547945"/>
    <m/>
  </r>
  <r>
    <s v="Valid"/>
    <n v="202509"/>
    <s v="GMC021090100AV"/>
    <s v="A V GLOBAL CORPORATION PRIVATE LIMITED"/>
    <d v="2025-06-10T00:00:00"/>
    <d v="2026-06-09T00:00:00"/>
    <s v="Ayush Sharma"/>
    <x v="240"/>
    <d v="2012-12-06T00:00:00"/>
    <x v="683"/>
    <d v="2025-08-19T00:00:00"/>
    <n v="0.04"/>
    <n v="0.22500000000000001"/>
    <d v="2025-08-19T00:00:00"/>
    <d v="2026-06-09T00:00:00"/>
    <m/>
    <m/>
    <n v="12"/>
    <s v="0-35"/>
    <x v="0"/>
    <x v="2"/>
    <n v="300000"/>
    <n v="0"/>
    <n v="0"/>
    <n v="295"/>
    <d v="2026-02-28T00:00:00"/>
    <n v="194"/>
    <s v="Delhi"/>
    <n v="3131.2119534246576"/>
    <n v="1"/>
    <n v="2653.5694520547945"/>
    <n v="0"/>
    <n v="0"/>
    <n v="477.642501369863"/>
    <n v="106.14277808219178"/>
    <n v="597.05312671232878"/>
    <n v="1745.0592328767123"/>
    <n v="1282.6185361643834"/>
    <n v="667.7550110958905"/>
    <d v="2025-02-27T00:00:00"/>
    <n v="2653.5694520547945"/>
    <m/>
  </r>
  <r>
    <s v="Valid"/>
    <n v="202509"/>
    <s v="GMC021090100AV"/>
    <s v="A V GLOBAL CORPORATION PRIVATE LIMITED"/>
    <d v="2025-06-10T00:00:00"/>
    <d v="2026-06-09T00:00:00"/>
    <s v="Devanshi Sharma"/>
    <x v="240"/>
    <d v="2017-12-26T00:00:00"/>
    <x v="684"/>
    <d v="2025-08-19T00:00:00"/>
    <n v="0.04"/>
    <n v="0.22500000000000001"/>
    <d v="2025-08-19T00:00:00"/>
    <d v="2026-06-09T00:00:00"/>
    <m/>
    <m/>
    <n v="7"/>
    <s v="0-35"/>
    <x v="1"/>
    <x v="3"/>
    <n v="300000"/>
    <n v="0"/>
    <n v="0"/>
    <n v="295"/>
    <d v="2026-02-28T00:00:00"/>
    <n v="194"/>
    <s v="Delhi"/>
    <n v="3131.2119534246576"/>
    <n v="1"/>
    <n v="2653.5694520547945"/>
    <n v="0"/>
    <n v="0"/>
    <n v="477.642501369863"/>
    <n v="106.14277808219178"/>
    <n v="597.05312671232878"/>
    <n v="1745.0592328767123"/>
    <n v="1282.6185361643834"/>
    <n v="667.7550110958905"/>
    <d v="2025-02-27T00:00:00"/>
    <n v="2653.5694520547945"/>
    <m/>
  </r>
  <r>
    <s v="Deletion"/>
    <n v="202509"/>
    <s v="GMC021090100AV"/>
    <s v="A V GLOBAL CORPORATION PRIVATE LIMITED"/>
    <d v="2025-06-10T00:00:00"/>
    <d v="2026-06-09T00:00:00"/>
    <s v="Mahesh Subramani Nandi"/>
    <x v="85"/>
    <d v="1987-11-17T00:00:00"/>
    <x v="269"/>
    <d v="2025-06-10T00:00:00"/>
    <n v="0.04"/>
    <n v="0.22500000000000001"/>
    <d v="2025-06-10T00:00:00"/>
    <d v="2026-06-09T00:00:00"/>
    <d v="2025-08-23T00:00:00"/>
    <d v="2025-08-24T00:00:00"/>
    <n v="37"/>
    <s v="36-45"/>
    <x v="0"/>
    <x v="0"/>
    <n v="-300000"/>
    <n v="-300000"/>
    <n v="-1"/>
    <n v="290"/>
    <d v="2026-02-28T00:00:00"/>
    <n v="189"/>
    <s v="Delhi"/>
    <n v="-3986.3674904109594"/>
    <n v="-1"/>
    <n v="-3378.2775342465757"/>
    <n v="0"/>
    <n v="0"/>
    <n v="-608.08995616438358"/>
    <n v="-135.13110136986302"/>
    <n v="-760.1124452054795"/>
    <n v="-2201.7050136986304"/>
    <n v="-1618.2531850684934"/>
    <n v="-864.78080260273953"/>
    <d v="2025-02-27T00:00:00"/>
    <n v="-3378.2775342465757"/>
    <s v="No claim"/>
  </r>
  <r>
    <s v="Deletion"/>
    <n v="202509"/>
    <s v="GMC021090100AV"/>
    <s v="A V GLOBAL CORPORATION PRIVATE LIMITED"/>
    <d v="2025-06-10T00:00:00"/>
    <d v="2026-06-09T00:00:00"/>
    <s v="Daksh Mahesh Nandi"/>
    <x v="85"/>
    <d v="2019-10-13T00:00:00"/>
    <x v="270"/>
    <d v="2025-06-10T00:00:00"/>
    <n v="0.04"/>
    <n v="0.22500000000000001"/>
    <d v="2025-06-10T00:00:00"/>
    <d v="2026-06-09T00:00:00"/>
    <d v="2025-08-23T00:00:00"/>
    <d v="2025-08-24T00:00:00"/>
    <n v="5"/>
    <s v="0-35"/>
    <x v="0"/>
    <x v="2"/>
    <n v="-300000"/>
    <n v="0"/>
    <n v="0"/>
    <n v="290"/>
    <d v="2026-02-28T00:00:00"/>
    <n v="189"/>
    <s v="Delhi"/>
    <n v="-3078.1405643835615"/>
    <n v="-1"/>
    <n v="-2608.5936986301367"/>
    <n v="0"/>
    <n v="0"/>
    <n v="-469.54686575342458"/>
    <n v="-104.34374794520546"/>
    <n v="-586.93358219178083"/>
    <n v="-1700.0834794520547"/>
    <n v="-1249.5613573972603"/>
    <n v="-667.75501109589015"/>
    <d v="2025-02-27T00:00:00"/>
    <n v="-2608.5936986301367"/>
    <s v="No claim"/>
  </r>
  <r>
    <s v="Deletion"/>
    <n v="202509"/>
    <s v="GMC021090100AV"/>
    <s v="A V GLOBAL CORPORATION PRIVATE LIMITED"/>
    <d v="2025-06-10T00:00:00"/>
    <d v="2026-06-09T00:00:00"/>
    <s v="Roja Mahesh Nandi"/>
    <x v="85"/>
    <d v="1994-01-21T00:00:00"/>
    <x v="271"/>
    <d v="2025-06-10T00:00:00"/>
    <n v="0.04"/>
    <n v="0.22500000000000001"/>
    <d v="2025-06-10T00:00:00"/>
    <d v="2026-06-09T00:00:00"/>
    <d v="2025-08-23T00:00:00"/>
    <d v="2025-08-24T00:00:00"/>
    <n v="31"/>
    <s v="0-35"/>
    <x v="1"/>
    <x v="1"/>
    <n v="-300000"/>
    <n v="0"/>
    <n v="0"/>
    <n v="290"/>
    <d v="2026-02-28T00:00:00"/>
    <n v="189"/>
    <s v="Delhi"/>
    <n v="-3078.1405643835615"/>
    <n v="-1"/>
    <n v="-2608.5936986301367"/>
    <n v="0"/>
    <n v="0"/>
    <n v="-469.54686575342458"/>
    <n v="-104.34374794520546"/>
    <n v="-586.93358219178083"/>
    <n v="-1700.0834794520547"/>
    <n v="-1249.5613573972603"/>
    <n v="-667.75501109589015"/>
    <d v="2025-02-27T00:00:00"/>
    <n v="-2608.5936986301367"/>
    <s v="No claim"/>
  </r>
  <r>
    <s v="Deletion"/>
    <n v="202509"/>
    <s v="GMC021090100AV"/>
    <s v="A V GLOBAL CORPORATION PRIVATE LIMITED"/>
    <d v="2025-06-10T00:00:00"/>
    <d v="2026-06-09T00:00:00"/>
    <s v="Tirth Mahesh Nandi"/>
    <x v="85"/>
    <d v="2025-02-14T00:00:00"/>
    <x v="272"/>
    <d v="2025-06-10T00:00:00"/>
    <n v="0.04"/>
    <n v="0.22500000000000001"/>
    <d v="2025-06-10T00:00:00"/>
    <d v="2026-06-09T00:00:00"/>
    <d v="2025-08-23T00:00:00"/>
    <d v="2025-08-24T00:00:00"/>
    <n v="0"/>
    <s v="0-35"/>
    <x v="0"/>
    <x v="2"/>
    <n v="-300000"/>
    <n v="0"/>
    <n v="0"/>
    <n v="290"/>
    <d v="2026-02-28T00:00:00"/>
    <n v="189"/>
    <s v="Delhi"/>
    <n v="-3078.1405643835615"/>
    <n v="-1"/>
    <n v="-2608.5936986301367"/>
    <n v="0"/>
    <n v="0"/>
    <n v="-469.54686575342458"/>
    <n v="-104.34374794520546"/>
    <n v="-586.93358219178083"/>
    <n v="-1700.0834794520547"/>
    <n v="-1249.5613573972603"/>
    <n v="-667.75501109589015"/>
    <d v="2025-02-27T00:00:00"/>
    <n v="-2608.5936986301367"/>
    <s v="No claim"/>
  </r>
  <r>
    <s v="Deletion"/>
    <n v="202509"/>
    <s v="GMC021090100AV"/>
    <s v="A V GLOBAL CORPORATION PRIVATE LIMITED"/>
    <d v="2025-06-10T00:00:00"/>
    <d v="2026-06-09T00:00:00"/>
    <s v="M Rajendiran"/>
    <x v="116"/>
    <d v="1989-05-11T00:00:00"/>
    <x v="372"/>
    <d v="2025-06-10T00:00:00"/>
    <n v="0.04"/>
    <n v="0.22500000000000001"/>
    <d v="2025-06-10T00:00:00"/>
    <d v="2026-06-09T00:00:00"/>
    <d v="2025-08-30T00:00:00"/>
    <d v="2025-08-31T00:00:00"/>
    <n v="36"/>
    <s v="36-45"/>
    <x v="0"/>
    <x v="0"/>
    <n v="-300000"/>
    <n v="-300000"/>
    <n v="-1"/>
    <n v="283"/>
    <d v="2026-02-28T00:00:00"/>
    <n v="182"/>
    <s v="Delhi"/>
    <n v="-3890.144826849315"/>
    <n v="-1"/>
    <n v="-3296.7329041095891"/>
    <n v="0"/>
    <n v="0"/>
    <n v="-593.41192273972604"/>
    <n v="-131.86931616438358"/>
    <n v="-741.76490342465752"/>
    <n v="-2120.1603835616438"/>
    <n v="-1558.3178819178081"/>
    <n v="-864.78080260273975"/>
    <d v="2025-02-27T00:00:00"/>
    <n v="-3296.7329041095891"/>
    <s v="No claim"/>
  </r>
  <r>
    <s v="Deletion"/>
    <n v="202509"/>
    <s v="GMC021090100AV"/>
    <s v="A V GLOBAL CORPORATION PRIVATE LIMITED"/>
    <d v="2025-06-10T00:00:00"/>
    <d v="2026-06-09T00:00:00"/>
    <s v="Rkrish"/>
    <x v="116"/>
    <d v="2015-09-24T00:00:00"/>
    <x v="373"/>
    <d v="2025-06-10T00:00:00"/>
    <n v="0.04"/>
    <n v="0.22500000000000001"/>
    <d v="2025-06-10T00:00:00"/>
    <d v="2026-06-09T00:00:00"/>
    <d v="2025-08-30T00:00:00"/>
    <d v="2025-08-31T00:00:00"/>
    <n v="9"/>
    <s v="0-35"/>
    <x v="0"/>
    <x v="2"/>
    <n v="-300000"/>
    <n v="0"/>
    <n v="0"/>
    <n v="283"/>
    <d v="2026-02-28T00:00:00"/>
    <n v="182"/>
    <s v="Delhi"/>
    <n v="-3003.8406197260274"/>
    <n v="-1"/>
    <n v="-2545.6276438356163"/>
    <n v="0"/>
    <n v="0"/>
    <n v="-458.21297589041092"/>
    <n v="-101.82510575342465"/>
    <n v="-572.7662198630137"/>
    <n v="-1637.1174246575342"/>
    <n v="-1203.2813071232877"/>
    <n v="-667.75501109589004"/>
    <d v="2025-02-27T00:00:00"/>
    <n v="-2545.6276438356163"/>
    <s v="No claim"/>
  </r>
  <r>
    <s v="Deletion"/>
    <n v="202509"/>
    <s v="GMC021090100AV"/>
    <s v="A V GLOBAL CORPORATION PRIVATE LIMITED"/>
    <d v="2025-06-10T00:00:00"/>
    <d v="2026-06-09T00:00:00"/>
    <s v="Rananthi"/>
    <x v="116"/>
    <d v="1988-06-22T00:00:00"/>
    <x v="374"/>
    <d v="2025-06-10T00:00:00"/>
    <n v="0.04"/>
    <n v="0.22500000000000001"/>
    <d v="2025-06-10T00:00:00"/>
    <d v="2026-06-09T00:00:00"/>
    <d v="2025-08-30T00:00:00"/>
    <d v="2025-08-31T00:00:00"/>
    <n v="36"/>
    <s v="36-45"/>
    <x v="1"/>
    <x v="1"/>
    <n v="-300000"/>
    <n v="0"/>
    <n v="0"/>
    <n v="283"/>
    <d v="2026-02-28T00:00:00"/>
    <n v="182"/>
    <s v="Delhi"/>
    <n v="-3890.144826849315"/>
    <n v="-1"/>
    <n v="-3296.7329041095891"/>
    <n v="0"/>
    <n v="0"/>
    <n v="-593.41192273972604"/>
    <n v="-131.86931616438358"/>
    <n v="-741.76490342465752"/>
    <n v="-2120.1603835616438"/>
    <n v="-1558.3178819178081"/>
    <n v="-864.78080260273975"/>
    <d v="2025-02-27T00:00:00"/>
    <n v="-3296.7329041095891"/>
    <s v="No claim"/>
  </r>
  <r>
    <s v="Deletion"/>
    <n v="202509"/>
    <s v="GMC021090100AV"/>
    <s v="A V GLOBAL CORPORATION PRIVATE LIMITED"/>
    <d v="2025-06-10T00:00:00"/>
    <d v="2026-06-09T00:00:00"/>
    <s v="Rlekhashree"/>
    <x v="116"/>
    <d v="2017-02-04T00:00:00"/>
    <x v="375"/>
    <d v="2025-06-10T00:00:00"/>
    <n v="0.04"/>
    <n v="0.22500000000000001"/>
    <d v="2025-06-10T00:00:00"/>
    <d v="2026-06-09T00:00:00"/>
    <d v="2025-08-30T00:00:00"/>
    <d v="2025-08-31T00:00:00"/>
    <n v="8"/>
    <s v="0-35"/>
    <x v="1"/>
    <x v="3"/>
    <n v="-300000"/>
    <n v="0"/>
    <n v="0"/>
    <n v="283"/>
    <d v="2026-02-28T00:00:00"/>
    <n v="182"/>
    <s v="Delhi"/>
    <n v="-3003.8406197260274"/>
    <n v="-1"/>
    <n v="-2545.6276438356163"/>
    <n v="0"/>
    <n v="0"/>
    <n v="-458.21297589041092"/>
    <n v="-101.82510575342465"/>
    <n v="-572.7662198630137"/>
    <n v="-1637.1174246575342"/>
    <n v="-1203.2813071232877"/>
    <n v="-667.75501109589004"/>
    <d v="2025-02-27T00:00:00"/>
    <n v="-2545.6276438356163"/>
    <s v="No claim"/>
  </r>
  <r>
    <s v="Deletion"/>
    <n v="202509"/>
    <s v="GMC021090100AV"/>
    <s v="A V GLOBAL CORPORATION PRIVATE LIMITED"/>
    <d v="2025-06-10T00:00:00"/>
    <d v="2026-06-09T00:00:00"/>
    <s v="Sachin Ghanshyam Neman"/>
    <x v="138"/>
    <d v="1978-12-21T00:00:00"/>
    <x v="433"/>
    <d v="2025-06-10T00:00:00"/>
    <n v="0.04"/>
    <n v="0.22500000000000001"/>
    <d v="2025-06-10T00:00:00"/>
    <d v="2026-06-09T00:00:00"/>
    <d v="2025-08-13T00:00:00"/>
    <d v="2025-08-14T00:00:00"/>
    <n v="46"/>
    <s v="46-55"/>
    <x v="0"/>
    <x v="0"/>
    <n v="-300000"/>
    <n v="-300000"/>
    <n v="-1"/>
    <n v="300"/>
    <d v="2026-02-28T00:00:00"/>
    <n v="199"/>
    <s v="Delhi"/>
    <n v="-7879.7199452054792"/>
    <n v="-1"/>
    <n v="-6677.728767123288"/>
    <n v="0"/>
    <n v="0"/>
    <n v="-1201.9911780821917"/>
    <n v="-267.10915068493154"/>
    <n v="-1502.4889726027398"/>
    <n v="-4429.5600821917806"/>
    <n v="-3255.7266604109586"/>
    <n v="-1652.403983424658"/>
    <d v="2025-02-27T00:00:00"/>
    <n v="-6677.728767123288"/>
    <s v="No claim"/>
  </r>
  <r>
    <s v="Deletion"/>
    <n v="202509"/>
    <s v="GMC021090100AV"/>
    <s v="A V GLOBAL CORPORATION PRIVATE LIMITED"/>
    <d v="2025-06-10T00:00:00"/>
    <d v="2026-06-09T00:00:00"/>
    <s v="Aparna Sachin Neman"/>
    <x v="138"/>
    <d v="1984-07-23T00:00:00"/>
    <x v="434"/>
    <d v="2025-06-10T00:00:00"/>
    <n v="0.04"/>
    <n v="0.22500000000000001"/>
    <d v="2025-06-10T00:00:00"/>
    <d v="2026-06-09T00:00:00"/>
    <d v="2025-08-13T00:00:00"/>
    <d v="2025-08-14T00:00:00"/>
    <n v="40"/>
    <s v="36-45"/>
    <x v="1"/>
    <x v="1"/>
    <n v="-300000"/>
    <n v="0"/>
    <n v="0"/>
    <n v="300"/>
    <d v="2026-02-28T00:00:00"/>
    <n v="199"/>
    <s v="Delhi"/>
    <n v="-4123.828438356165"/>
    <n v="-1"/>
    <n v="-3494.7698630136988"/>
    <n v="0"/>
    <n v="0"/>
    <n v="-629.05857534246582"/>
    <n v="-139.79079452054796"/>
    <n v="-786.32321917808224"/>
    <n v="-2318.1973424657535"/>
    <n v="-1703.8750467123289"/>
    <n v="-864.78080260273975"/>
    <d v="2025-02-27T00:00:00"/>
    <n v="-3494.7698630136988"/>
    <s v="No claim"/>
  </r>
  <r>
    <s v="Deletion"/>
    <n v="202509"/>
    <s v="GMC021090100AV"/>
    <s v="A V GLOBAL CORPORATION PRIVATE LIMITED"/>
    <d v="2025-06-10T00:00:00"/>
    <d v="2026-06-09T00:00:00"/>
    <s v="Shubham Sachin Neman"/>
    <x v="138"/>
    <d v="2008-07-26T00:00:00"/>
    <x v="435"/>
    <d v="2025-06-10T00:00:00"/>
    <n v="0.04"/>
    <n v="0.22500000000000001"/>
    <d v="2025-06-10T00:00:00"/>
    <d v="2026-06-09T00:00:00"/>
    <d v="2025-08-13T00:00:00"/>
    <d v="2025-08-14T00:00:00"/>
    <n v="16"/>
    <s v="0-35"/>
    <x v="0"/>
    <x v="2"/>
    <n v="-300000"/>
    <n v="0"/>
    <n v="0"/>
    <n v="300"/>
    <d v="2026-02-28T00:00:00"/>
    <n v="199"/>
    <s v="Delhi"/>
    <n v="-3184.2833424657533"/>
    <n v="-1"/>
    <n v="-2698.5452054794519"/>
    <n v="0"/>
    <n v="0"/>
    <n v="-485.7381369863013"/>
    <n v="-107.94180821917807"/>
    <n v="-607.17267123287672"/>
    <n v="-1790.0349863013698"/>
    <n v="-1315.6757149315067"/>
    <n v="-667.75501109589015"/>
    <d v="2025-02-27T00:00:00"/>
    <n v="-2698.5452054794519"/>
    <s v="No claim"/>
  </r>
  <r>
    <s v="Deletion"/>
    <n v="202509"/>
    <s v="GMC021090100AV"/>
    <s v="A V GLOBAL CORPORATION PRIVATE LIMITED"/>
    <d v="2025-06-10T00:00:00"/>
    <d v="2026-06-09T00:00:00"/>
    <s v="Chetan Vasant Tandel"/>
    <x v="158"/>
    <d v="1995-07-15T00:00:00"/>
    <x v="475"/>
    <d v="2025-06-10T00:00:00"/>
    <n v="0.04"/>
    <n v="0.22500000000000001"/>
    <d v="2025-06-10T00:00:00"/>
    <d v="2026-06-09T00:00:00"/>
    <d v="2025-08-30T00:00:00"/>
    <d v="2025-08-31T00:00:00"/>
    <n v="29"/>
    <s v="0-35"/>
    <x v="0"/>
    <x v="0"/>
    <n v="-300000"/>
    <n v="-300000"/>
    <n v="-1"/>
    <n v="283"/>
    <d v="2026-02-28T00:00:00"/>
    <n v="182"/>
    <s v="Delhi"/>
    <n v="-3003.8406197260274"/>
    <n v="-1"/>
    <n v="-2545.6276438356163"/>
    <n v="0"/>
    <n v="0"/>
    <n v="-458.21297589041092"/>
    <n v="-101.82510575342465"/>
    <n v="-572.7662198630137"/>
    <n v="-1637.1174246575342"/>
    <n v="-1203.2813071232877"/>
    <n v="-667.75501109589004"/>
    <d v="2025-02-27T00:00:00"/>
    <n v="-2545.6276438356163"/>
    <s v="No claim"/>
  </r>
  <r>
    <s v="Valid"/>
    <n v="202509"/>
    <s v="GMC021090100AV"/>
    <s v="A V GLOBAL CORPORATION PRIVATE LIMITED"/>
    <d v="2025-06-10T00:00:00"/>
    <d v="2026-06-09T00:00:00"/>
    <s v="Vanya Jinal Patel"/>
    <x v="75"/>
    <d v="2025-09-07T00:00:00"/>
    <x v="685"/>
    <d v="2025-09-07T00:00:00"/>
    <n v="0.04"/>
    <n v="0.22500000000000001"/>
    <d v="2025-09-07T00:00:00"/>
    <d v="2026-06-09T00:00:00"/>
    <m/>
    <m/>
    <n v="0"/>
    <s v="0-35"/>
    <x v="1"/>
    <x v="3"/>
    <n v="300000"/>
    <n v="0"/>
    <n v="0"/>
    <n v="276"/>
    <d v="2026-02-28T00:00:00"/>
    <n v="175"/>
    <s v="Delhi"/>
    <n v="2929.5406750684929"/>
    <n v="1"/>
    <n v="2482.6615890410958"/>
    <n v="0"/>
    <n v="0"/>
    <n v="446.87908602739725"/>
    <n v="99.306463561643838"/>
    <n v="558.59885753424658"/>
    <n v="1574.1513698630138"/>
    <n v="1157.001256849315"/>
    <n v="667.75501109589038"/>
    <d v="2025-02-27T00:00:00"/>
    <n v="2482.6615890410958"/>
    <m/>
  </r>
  <r>
    <s v="Valid"/>
    <n v="202509"/>
    <s v="GMC021090100AV"/>
    <s v="A V GLOBAL CORPORATION PRIVATE LIMITED"/>
    <d v="2025-06-10T00:00:00"/>
    <d v="2026-06-09T00:00:00"/>
    <s v="HIMANI MEHTA"/>
    <x v="246"/>
    <d v="1984-09-13T00:00:00"/>
    <x v="686"/>
    <d v="2025-09-22T00:00:00"/>
    <n v="0.04"/>
    <n v="0.22500000000000001"/>
    <d v="2025-09-22T00:00:00"/>
    <d v="2026-06-09T00:00:00"/>
    <m/>
    <m/>
    <n v="41"/>
    <s v="36-45"/>
    <x v="1"/>
    <x v="0"/>
    <n v="1000000"/>
    <n v="1000000"/>
    <n v="1"/>
    <n v="261"/>
    <d v="2026-02-28T00:00:00"/>
    <n v="160"/>
    <s v="Delhi"/>
    <n v="6445.6585742465759"/>
    <n v="1"/>
    <n v="5462.4225205479461"/>
    <n v="0"/>
    <n v="0"/>
    <n v="983.23605369863026"/>
    <n v="218.49690082191785"/>
    <n v="1229.0450671232879"/>
    <n v="3348.6115068493154"/>
    <n v="2461.2294575342466"/>
    <n v="1553.6510950684938"/>
    <d v="2025-02-27T00:00:00"/>
    <n v="5462.4225205479461"/>
    <m/>
  </r>
  <r>
    <s v="Valid"/>
    <n v="202510"/>
    <s v="GMC021090100AV"/>
    <s v="A V GLOBAL CORPORATION PRIVATE LIMITED"/>
    <d v="2025-06-10T00:00:00"/>
    <d v="2026-06-09T00:00:00"/>
    <s v="NITI MEHTA ."/>
    <x v="247"/>
    <d v="1985-06-05T00:00:00"/>
    <x v="687"/>
    <d v="2025-09-01T00:00:00"/>
    <n v="0.04"/>
    <n v="0.22500000000000001"/>
    <d v="2025-09-01T00:00:00"/>
    <d v="2026-06-09T00:00:00"/>
    <m/>
    <m/>
    <n v="40"/>
    <s v="36-45"/>
    <x v="1"/>
    <x v="0"/>
    <n v="1000000"/>
    <n v="1000000"/>
    <n v="1"/>
    <n v="282"/>
    <d v="2026-02-28T00:00:00"/>
    <n v="181"/>
    <s v="Delhi"/>
    <n v="6964.2747813698643"/>
    <n v="1"/>
    <n v="5901.9277808219185"/>
    <n v="0"/>
    <n v="0"/>
    <n v="1062.3470005479453"/>
    <n v="236.07711123287675"/>
    <n v="1327.9337506849317"/>
    <n v="3788.1167671232879"/>
    <n v="2784.2658238356166"/>
    <n v="1553.6510950684935"/>
    <d v="2025-02-27T00:00:00"/>
    <n v="5901.9277808219185"/>
    <m/>
  </r>
  <r>
    <s v="Valid"/>
    <n v="202510"/>
    <s v="GMC021090100AV"/>
    <s v="A V GLOBAL CORPORATION PRIVATE LIMITED"/>
    <d v="2025-06-10T00:00:00"/>
    <d v="2026-06-09T00:00:00"/>
    <s v="VENKATACHALAM SRIDHARAN ."/>
    <x v="248"/>
    <d v="1960-05-29T00:00:00"/>
    <x v="688"/>
    <d v="2025-09-01T00:00:00"/>
    <n v="0.04"/>
    <n v="0.22500000000000001"/>
    <d v="2025-09-01T00:00:00"/>
    <d v="2026-06-09T00:00:00"/>
    <m/>
    <m/>
    <n v="65"/>
    <s v="56-65"/>
    <x v="0"/>
    <x v="0"/>
    <n v="1000000"/>
    <n v="1000000"/>
    <n v="1"/>
    <n v="282"/>
    <d v="2026-02-28T00:00:00"/>
    <n v="181"/>
    <s v="Delhi"/>
    <n v="23716.261035616437"/>
    <n v="1"/>
    <n v="20098.52630136986"/>
    <n v="0"/>
    <n v="0"/>
    <n v="3617.7347342465746"/>
    <n v="803.94105205479445"/>
    <n v="4522.1684178082187"/>
    <n v="12900.117945205478"/>
    <n v="9481.5866897260257"/>
    <n v="5290.8301417808225"/>
    <d v="2025-02-27T00:00:00"/>
    <n v="20098.52630136986"/>
    <m/>
  </r>
  <r>
    <s v="Valid"/>
    <n v="202510"/>
    <s v="GMC021090100AV"/>
    <s v="A V GLOBAL CORPORATION PRIVATE LIMITED"/>
    <d v="2025-06-10T00:00:00"/>
    <d v="2026-06-09T00:00:00"/>
    <s v="THIRIPURA SUNDARI ."/>
    <x v="248"/>
    <d v="1965-05-22T00:00:00"/>
    <x v="689"/>
    <d v="2025-09-01T00:00:00"/>
    <n v="0.04"/>
    <n v="0.22500000000000001"/>
    <d v="2025-09-01T00:00:00"/>
    <d v="2026-06-09T00:00:00"/>
    <m/>
    <m/>
    <n v="60"/>
    <s v="56-65"/>
    <x v="1"/>
    <x v="1"/>
    <n v="1000000"/>
    <n v="0"/>
    <n v="0"/>
    <n v="282"/>
    <d v="2026-02-28T00:00:00"/>
    <n v="181"/>
    <s v="Delhi"/>
    <n v="23716.261035616437"/>
    <n v="1"/>
    <n v="20098.52630136986"/>
    <n v="0"/>
    <n v="0"/>
    <n v="3617.7347342465746"/>
    <n v="803.94105205479445"/>
    <n v="4522.1684178082187"/>
    <n v="12900.117945205478"/>
    <n v="9481.5866897260257"/>
    <n v="5290.8301417808225"/>
    <d v="2025-02-27T00:00:00"/>
    <n v="20098.52630136986"/>
    <m/>
  </r>
  <r>
    <s v="Valid"/>
    <n v="202510"/>
    <s v="GMC021090100AV"/>
    <s v="A V GLOBAL CORPORATION PRIVATE LIMITED"/>
    <d v="2025-06-10T00:00:00"/>
    <d v="2026-06-09T00:00:00"/>
    <s v="JASWANT"/>
    <x v="249"/>
    <d v="1989-12-10T00:00:00"/>
    <x v="690"/>
    <d v="2025-10-01T00:00:00"/>
    <n v="0.04"/>
    <n v="0.22500000000000001"/>
    <d v="2025-10-01T00:00:00"/>
    <d v="2026-06-09T00:00:00"/>
    <m/>
    <m/>
    <n v="35"/>
    <s v="0-35"/>
    <x v="0"/>
    <x v="0"/>
    <n v="300000"/>
    <n v="300000"/>
    <n v="1"/>
    <n v="252"/>
    <d v="2026-02-28T00:00:00"/>
    <n v="151"/>
    <s v="Delhi"/>
    <n v="2674.7980076712329"/>
    <n v="1"/>
    <n v="2266.7779726027397"/>
    <n v="0"/>
    <n v="0"/>
    <n v="408.02003506849314"/>
    <n v="90.671118904109591"/>
    <n v="510.02504383561643"/>
    <n v="1358.2677534246577"/>
    <n v="998.32679876712336"/>
    <n v="667.75501109589015"/>
    <d v="2025-02-27T00:00:00"/>
    <n v="2266.7779726027397"/>
    <m/>
  </r>
  <r>
    <s v="Valid"/>
    <n v="202510"/>
    <s v="GMC021090100AV"/>
    <s v="A V GLOBAL CORPORATION PRIVATE LIMITED"/>
    <d v="2025-06-10T00:00:00"/>
    <d v="2026-06-09T00:00:00"/>
    <s v="SUKHVINDER KAUR"/>
    <x v="249"/>
    <d v="1991-12-07T00:00:00"/>
    <x v="691"/>
    <d v="2025-10-01T00:00:00"/>
    <n v="0.04"/>
    <n v="0.22500000000000001"/>
    <d v="2025-10-01T00:00:00"/>
    <d v="2026-06-09T00:00:00"/>
    <m/>
    <m/>
    <n v="33"/>
    <s v="0-35"/>
    <x v="1"/>
    <x v="1"/>
    <n v="300000"/>
    <n v="0"/>
    <n v="0"/>
    <n v="252"/>
    <d v="2026-02-28T00:00:00"/>
    <n v="151"/>
    <s v="Delhi"/>
    <n v="2674.7980076712329"/>
    <n v="1"/>
    <n v="2266.7779726027397"/>
    <n v="0"/>
    <n v="0"/>
    <n v="408.02003506849314"/>
    <n v="90.671118904109591"/>
    <n v="510.02504383561643"/>
    <n v="1358.2677534246577"/>
    <n v="998.32679876712336"/>
    <n v="667.75501109589015"/>
    <d v="2025-02-27T00:00:00"/>
    <n v="2266.7779726027397"/>
    <m/>
  </r>
  <r>
    <s v="Valid"/>
    <n v="202510"/>
    <s v="GMC021090100AV"/>
    <s v="A V GLOBAL CORPORATION PRIVATE LIMITED"/>
    <d v="2025-06-10T00:00:00"/>
    <d v="2026-06-09T00:00:00"/>
    <s v="DIGWANSH SINGH"/>
    <x v="249"/>
    <d v="2014-12-01T00:00:00"/>
    <x v="692"/>
    <d v="2025-10-01T00:00:00"/>
    <n v="0.04"/>
    <n v="0.22500000000000001"/>
    <d v="2025-10-01T00:00:00"/>
    <d v="2026-06-09T00:00:00"/>
    <m/>
    <m/>
    <n v="10"/>
    <s v="0-35"/>
    <x v="0"/>
    <x v="2"/>
    <n v="300000"/>
    <n v="0"/>
    <n v="0"/>
    <n v="252"/>
    <d v="2026-02-28T00:00:00"/>
    <n v="151"/>
    <s v="Delhi"/>
    <n v="2674.7980076712329"/>
    <n v="1"/>
    <n v="2266.7779726027397"/>
    <n v="0"/>
    <n v="0"/>
    <n v="408.02003506849314"/>
    <n v="90.671118904109591"/>
    <n v="510.02504383561643"/>
    <n v="1358.2677534246577"/>
    <n v="998.32679876712336"/>
    <n v="667.75501109589015"/>
    <d v="2025-02-27T00:00:00"/>
    <n v="2266.7779726027397"/>
    <m/>
  </r>
  <r>
    <s v="Valid"/>
    <n v="202510"/>
    <s v="GMC021090100AV"/>
    <s v="A V GLOBAL CORPORATION PRIVATE LIMITED"/>
    <d v="2025-06-10T00:00:00"/>
    <d v="2026-06-09T00:00:00"/>
    <s v="SAHIBPREET "/>
    <x v="249"/>
    <d v="2013-04-07T00:00:00"/>
    <x v="693"/>
    <d v="2025-10-01T00:00:00"/>
    <n v="0.04"/>
    <n v="0.22500000000000001"/>
    <d v="2025-10-01T00:00:00"/>
    <d v="2026-06-09T00:00:00"/>
    <m/>
    <m/>
    <n v="12"/>
    <s v="0-35"/>
    <x v="0"/>
    <x v="2"/>
    <n v="300000"/>
    <n v="0"/>
    <n v="0"/>
    <n v="252"/>
    <d v="2026-02-28T00:00:00"/>
    <n v="151"/>
    <s v="Delhi"/>
    <n v="2674.7980076712329"/>
    <n v="1"/>
    <n v="2266.7779726027397"/>
    <n v="0"/>
    <n v="0"/>
    <n v="408.02003506849314"/>
    <n v="90.671118904109591"/>
    <n v="510.02504383561643"/>
    <n v="1358.2677534246577"/>
    <n v="998.32679876712336"/>
    <n v="667.75501109589015"/>
    <d v="2025-02-27T00:00:00"/>
    <n v="2266.7779726027397"/>
    <m/>
  </r>
  <r>
    <s v="Valid"/>
    <n v="202510"/>
    <s v="GMC021090100AV"/>
    <s v="A V GLOBAL CORPORATION PRIVATE LIMITED"/>
    <d v="2025-06-10T00:00:00"/>
    <d v="2026-06-09T00:00:00"/>
    <s v="SHIVPRASAD BHENDE"/>
    <x v="250"/>
    <d v="1993-01-20T00:00:00"/>
    <x v="694"/>
    <d v="2025-10-01T00:00:00"/>
    <n v="0.04"/>
    <n v="0.22500000000000001"/>
    <d v="2025-10-01T00:00:00"/>
    <d v="2026-06-09T00:00:00"/>
    <m/>
    <m/>
    <n v="32"/>
    <s v="0-35"/>
    <x v="0"/>
    <x v="0"/>
    <n v="300000"/>
    <n v="300000"/>
    <n v="1"/>
    <n v="252"/>
    <d v="2026-02-28T00:00:00"/>
    <n v="151"/>
    <s v="Delhi"/>
    <n v="2674.7980076712329"/>
    <n v="1"/>
    <n v="2266.7779726027397"/>
    <n v="0"/>
    <n v="0"/>
    <n v="408.02003506849314"/>
    <n v="90.671118904109591"/>
    <n v="510.02504383561643"/>
    <n v="1358.2677534246577"/>
    <n v="998.32679876712336"/>
    <n v="667.75501109589015"/>
    <d v="2025-02-27T00:00:00"/>
    <n v="2266.7779726027397"/>
    <m/>
  </r>
  <r>
    <s v="Deletion"/>
    <n v="202510"/>
    <s v="GMC021090100AV"/>
    <s v="A V GLOBAL CORPORATION PRIVATE LIMITED"/>
    <d v="2025-06-10T00:00:00"/>
    <d v="2026-06-09T00:00:00"/>
    <s v="Poonam"/>
    <x v="200"/>
    <d v="1993-03-25T00:00:00"/>
    <x v="587"/>
    <d v="2025-06-10T00:00:00"/>
    <n v="0.04"/>
    <n v="0.22500000000000001"/>
    <d v="2025-06-10T00:00:00"/>
    <d v="2026-06-09T00:00:00"/>
    <d v="2025-10-11T00:00:00"/>
    <d v="2025-10-12T00:00:00"/>
    <n v="32"/>
    <s v="0-35"/>
    <x v="1"/>
    <x v="0"/>
    <n v="-300000"/>
    <n v="-300000"/>
    <n v="-1"/>
    <n v="241"/>
    <d v="2026-02-28T00:00:00"/>
    <n v="140"/>
    <s v="Delhi"/>
    <n v="-2558.0409517808221"/>
    <n v="-1"/>
    <n v="-2167.8313150684935"/>
    <n v="0"/>
    <n v="0"/>
    <n v="-390.2096367123288"/>
    <n v="-86.713252602739743"/>
    <n v="-487.76204589041106"/>
    <n v="-1259.3210958904112"/>
    <n v="-925.60100547945228"/>
    <n v="-667.75501109589015"/>
    <d v="2025-02-27T00:00:00"/>
    <n v="-2167.8313150684935"/>
    <s v="No claim"/>
  </r>
  <r>
    <s v="Deletion"/>
    <n v="202510"/>
    <s v="GMC021090100AV"/>
    <s v="A V GLOBAL CORPORATION PRIVATE LIMITED"/>
    <d v="2025-06-10T00:00:00"/>
    <d v="2026-06-09T00:00:00"/>
    <s v="Mrunmay Shrikrishna Ludbe"/>
    <x v="229"/>
    <d v="2003-03-18T00:00:00"/>
    <x v="642"/>
    <d v="2025-06-10T00:00:00"/>
    <n v="0.04"/>
    <n v="0.22500000000000001"/>
    <d v="2025-06-10T00:00:00"/>
    <d v="2026-06-09T00:00:00"/>
    <d v="2025-09-30T00:00:00"/>
    <d v="2025-10-01T00:00:00"/>
    <n v="22"/>
    <s v="0-35"/>
    <x v="0"/>
    <x v="0"/>
    <n v="-300000"/>
    <n v="-300000"/>
    <n v="-1"/>
    <n v="252"/>
    <d v="2026-02-28T00:00:00"/>
    <n v="151"/>
    <s v="Delhi"/>
    <n v="-2674.7980076712329"/>
    <n v="-1"/>
    <n v="-2266.7779726027397"/>
    <n v="0"/>
    <n v="0"/>
    <n v="-408.02003506849314"/>
    <n v="-90.671118904109591"/>
    <n v="-510.02504383561643"/>
    <n v="-1358.2677534246577"/>
    <n v="-998.32679876712336"/>
    <n v="-667.75501109589015"/>
    <d v="2025-02-27T00:00:00"/>
    <n v="-2266.7779726027397"/>
    <s v="No claim"/>
  </r>
  <r>
    <s v="Valid"/>
    <n v="202511"/>
    <s v="GMC021090100AV"/>
    <s v="A V GLOBAL CORPORATION PRIVATE LIMITED"/>
    <d v="2025-06-10T00:00:00"/>
    <d v="2026-06-09T00:00:00"/>
    <s v="Vajr Jain"/>
    <x v="140"/>
    <d v="2025-11-06T00:00:00"/>
    <x v="695"/>
    <d v="2025-11-06T00:00:00"/>
    <n v="0.04"/>
    <n v="0.22500000000000001"/>
    <d v="2025-11-06T00:00:00"/>
    <d v="2026-06-09T00:00:00"/>
    <m/>
    <m/>
    <n v="0"/>
    <s v="0-35"/>
    <x v="0"/>
    <x v="2"/>
    <n v="1000000"/>
    <n v="0"/>
    <n v="0"/>
    <n v="216"/>
    <d v="2026-02-28T00:00:00"/>
    <n v="115"/>
    <s v="Delhi"/>
    <n v="3766.0510158904108"/>
    <n v="1"/>
    <n v="3191.5686575342465"/>
    <n v="0"/>
    <n v="0"/>
    <n v="574.48235835616435"/>
    <n v="127.66274630136986"/>
    <n v="718.10294794520553"/>
    <n v="1699.2147945205479"/>
    <n v="1248.9228739726027"/>
    <n v="1096.8800893150687"/>
    <d v="2025-02-27T00:00:00"/>
    <n v="3191.5686575342465"/>
    <m/>
  </r>
  <r>
    <s v="Valid"/>
    <n v="202512"/>
    <s v="GMC021090100AV"/>
    <s v="A V GLOBAL CORPORATION PRIVATE LIMITED"/>
    <d v="2025-06-10T00:00:00"/>
    <d v="2026-06-09T00:00:00"/>
    <s v="SANTOSH KUMAR MISHRA"/>
    <x v="251"/>
    <d v="1992-01-17T00:00:00"/>
    <x v="696"/>
    <d v="2025-12-01T00:00:00"/>
    <n v="0.04"/>
    <n v="0.22500000000000001"/>
    <d v="2025-12-01T00:00:00"/>
    <d v="2026-06-09T00:00:00"/>
    <m/>
    <m/>
    <n v="33"/>
    <s v="0-35"/>
    <x v="0"/>
    <x v="0"/>
    <n v="300000"/>
    <n v="300000"/>
    <n v="1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Valid"/>
    <n v="202512"/>
    <s v="GMC021090100AV"/>
    <s v="A V GLOBAL CORPORATION PRIVATE LIMITED"/>
    <d v="2025-06-10T00:00:00"/>
    <d v="2026-06-09T00:00:00"/>
    <s v="Pammi Mishra"/>
    <x v="251"/>
    <d v="1997-03-21T00:00:00"/>
    <x v="697"/>
    <d v="2025-12-01T00:00:00"/>
    <n v="0.04"/>
    <n v="0.22500000000000001"/>
    <d v="2025-12-01T00:00:00"/>
    <d v="2026-06-09T00:00:00"/>
    <m/>
    <m/>
    <n v="28"/>
    <s v="0-35"/>
    <x v="1"/>
    <x v="1"/>
    <n v="300000"/>
    <n v="0"/>
    <n v="0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Valid"/>
    <n v="202512"/>
    <s v="GMC021090100AV"/>
    <s v="A V GLOBAL CORPORATION PRIVATE LIMITED"/>
    <d v="2025-06-10T00:00:00"/>
    <d v="2026-06-09T00:00:00"/>
    <s v="Ayansh Mishra"/>
    <x v="251"/>
    <d v="2020-08-12T00:00:00"/>
    <x v="698"/>
    <d v="2025-12-01T00:00:00"/>
    <n v="0.04"/>
    <n v="0.22500000000000001"/>
    <d v="2025-12-01T00:00:00"/>
    <d v="2026-06-09T00:00:00"/>
    <m/>
    <m/>
    <n v="5"/>
    <s v="0-35"/>
    <x v="0"/>
    <x v="2"/>
    <n v="300000"/>
    <n v="0"/>
    <n v="0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Valid"/>
    <n v="202512"/>
    <s v="GMC021090100AV"/>
    <s v="A V GLOBAL CORPORATION PRIVATE LIMITED"/>
    <d v="2025-06-10T00:00:00"/>
    <d v="2026-06-09T00:00:00"/>
    <s v="Aavya"/>
    <x v="251"/>
    <d v="2025-09-18T00:00:00"/>
    <x v="699"/>
    <d v="2025-12-01T00:00:00"/>
    <n v="0.04"/>
    <n v="0.22500000000000001"/>
    <d v="2025-12-01T00:00:00"/>
    <d v="2026-06-09T00:00:00"/>
    <m/>
    <m/>
    <n v="0"/>
    <s v="0-35"/>
    <x v="1"/>
    <x v="3"/>
    <n v="300000"/>
    <n v="0"/>
    <n v="0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Valid"/>
    <n v="202512"/>
    <s v="GMC021090100AV"/>
    <s v="A V GLOBAL CORPORATION PRIVATE LIMITED"/>
    <d v="2025-06-10T00:00:00"/>
    <d v="2026-06-09T00:00:00"/>
    <s v="SHANKAR HALDAR"/>
    <x v="252"/>
    <d v="1989-07-20T00:00:00"/>
    <x v="700"/>
    <d v="2025-12-01T00:00:00"/>
    <n v="0.04"/>
    <n v="0.22500000000000001"/>
    <d v="2025-12-01T00:00:00"/>
    <d v="2026-06-09T00:00:00"/>
    <m/>
    <m/>
    <n v="36"/>
    <s v="36-45"/>
    <x v="0"/>
    <x v="0"/>
    <n v="300000"/>
    <n v="300000"/>
    <n v="1"/>
    <n v="191"/>
    <d v="2026-02-28T00:00:00"/>
    <n v="90"/>
    <s v="Delhi"/>
    <n v="2625.5041057534245"/>
    <n v="1"/>
    <n v="2225.0034794520548"/>
    <n v="0"/>
    <n v="0"/>
    <n v="400.50062630136983"/>
    <n v="89.000139178082193"/>
    <n v="500.62578287671232"/>
    <n v="1048.4309589041095"/>
    <n v="770.59675479452051"/>
    <n v="864.78080260273987"/>
    <d v="2025-02-27T00:00:00"/>
    <n v="2225.0034794520548"/>
    <m/>
  </r>
  <r>
    <s v="Valid"/>
    <n v="202512"/>
    <s v="GMC021090100AV"/>
    <s v="A V GLOBAL CORPORATION PRIVATE LIMITED"/>
    <d v="2025-06-10T00:00:00"/>
    <d v="2026-06-09T00:00:00"/>
    <s v="Asha "/>
    <x v="252"/>
    <d v="1993-12-20T00:00:00"/>
    <x v="701"/>
    <d v="2025-12-01T00:00:00"/>
    <n v="0.04"/>
    <n v="0.22500000000000001"/>
    <d v="2025-12-01T00:00:00"/>
    <d v="2026-06-09T00:00:00"/>
    <m/>
    <m/>
    <n v="31"/>
    <s v="0-35"/>
    <x v="1"/>
    <x v="1"/>
    <n v="300000"/>
    <n v="0"/>
    <n v="0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Valid"/>
    <n v="202512"/>
    <s v="GMC021090100AV"/>
    <s v="A V GLOBAL CORPORATION PRIVATE LIMITED"/>
    <d v="2025-06-10T00:00:00"/>
    <d v="2026-06-09T00:00:00"/>
    <s v="Ayansh Haldar"/>
    <x v="252"/>
    <d v="2024-09-24T00:00:00"/>
    <x v="702"/>
    <d v="2025-12-01T00:00:00"/>
    <n v="0.04"/>
    <n v="0.22500000000000001"/>
    <d v="2025-12-01T00:00:00"/>
    <d v="2026-06-09T00:00:00"/>
    <m/>
    <m/>
    <n v="1"/>
    <s v="0-35"/>
    <x v="0"/>
    <x v="2"/>
    <n v="300000"/>
    <n v="0"/>
    <n v="0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Valid"/>
    <n v="202512"/>
    <s v="GMC021090100AV"/>
    <s v="A V GLOBAL CORPORATION PRIVATE LIMITED"/>
    <d v="2025-06-10T00:00:00"/>
    <d v="2026-06-09T00:00:00"/>
    <s v="Shruti "/>
    <x v="252"/>
    <d v="2021-05-29T00:00:00"/>
    <x v="703"/>
    <d v="2025-12-01T00:00:00"/>
    <n v="0.04"/>
    <n v="0.22500000000000001"/>
    <d v="2025-12-01T00:00:00"/>
    <d v="2026-06-09T00:00:00"/>
    <m/>
    <m/>
    <n v="4"/>
    <s v="0-35"/>
    <x v="1"/>
    <x v="3"/>
    <n v="300000"/>
    <n v="0"/>
    <n v="0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Valid"/>
    <n v="202512"/>
    <s v="GMC021090100AV"/>
    <s v="A V GLOBAL CORPORATION PRIVATE LIMITED"/>
    <d v="2025-06-10T00:00:00"/>
    <d v="2026-06-09T00:00:00"/>
    <s v="RAHUL KUMAR YADAV"/>
    <x v="253"/>
    <d v="1998-10-11T00:00:00"/>
    <x v="704"/>
    <d v="2025-12-01T00:00:00"/>
    <n v="0.04"/>
    <n v="0.22500000000000001"/>
    <d v="2025-12-01T00:00:00"/>
    <d v="2026-06-09T00:00:00"/>
    <m/>
    <m/>
    <n v="27"/>
    <s v="0-35"/>
    <x v="0"/>
    <x v="0"/>
    <n v="300000"/>
    <n v="300000"/>
    <n v="1"/>
    <n v="191"/>
    <d v="2026-02-28T00:00:00"/>
    <n v="90"/>
    <s v="Delhi"/>
    <n v="2027.3270613698633"/>
    <n v="1"/>
    <n v="1718.073780821918"/>
    <n v="0"/>
    <n v="0"/>
    <n v="309.25328054794522"/>
    <n v="68.722951232876724"/>
    <n v="386.56660068493159"/>
    <n v="809.56356164383567"/>
    <n v="595.02921780821919"/>
    <n v="667.75501109589038"/>
    <d v="2025-02-27T00:00:00"/>
    <n v="1718.073780821918"/>
    <m/>
  </r>
  <r>
    <s v="Deletion"/>
    <n v="202512"/>
    <s v="GMC021090100AV"/>
    <s v="A V GLOBAL CORPORATION PRIVATE LIMITED"/>
    <d v="2025-06-10T00:00:00"/>
    <d v="2026-06-09T00:00:00"/>
    <s v="Amit Ranjan"/>
    <x v="50"/>
    <d v="1988-04-06T00:00:00"/>
    <x v="159"/>
    <d v="2025-06-10T00:00:00"/>
    <n v="0.04"/>
    <n v="0.22500000000000001"/>
    <d v="2025-06-10T00:00:00"/>
    <d v="2026-06-09T00:00:00"/>
    <d v="2025-11-22T00:00:00"/>
    <d v="2025-11-23T00:00:00"/>
    <n v="37"/>
    <s v="36-45"/>
    <x v="0"/>
    <x v="0"/>
    <n v="-300000"/>
    <n v="-300000"/>
    <n v="-1"/>
    <n v="199"/>
    <d v="2026-02-28T00:00:00"/>
    <n v="98"/>
    <s v="Delhi"/>
    <n v="-2735.472864109589"/>
    <n v="-1"/>
    <n v="-2318.1973424657535"/>
    <n v="0"/>
    <n v="0"/>
    <n v="-417.27552164383565"/>
    <n v="-92.72789369863014"/>
    <n v="-521.59440205479461"/>
    <n v="-1141.6248219178083"/>
    <n v="-839.09424410958911"/>
    <n v="-864.78080260273998"/>
    <d v="2025-02-27T00:00:00"/>
    <n v="-2318.1973424657535"/>
    <s v="No claim"/>
  </r>
  <r>
    <s v="Deletion"/>
    <n v="202512"/>
    <s v="GMC021090100AV"/>
    <s v="A V GLOBAL CORPORATION PRIVATE LIMITED"/>
    <d v="2025-06-10T00:00:00"/>
    <d v="2026-06-09T00:00:00"/>
    <s v="Parikshit Ranjan"/>
    <x v="50"/>
    <d v="2017-08-11T00:00:00"/>
    <x v="160"/>
    <d v="2025-06-10T00:00:00"/>
    <n v="0.04"/>
    <n v="0.22500000000000001"/>
    <d v="2025-06-10T00:00:00"/>
    <d v="2026-06-09T00:00:00"/>
    <d v="2025-11-22T00:00:00"/>
    <d v="2025-11-23T00:00:00"/>
    <n v="7"/>
    <s v="0-35"/>
    <x v="0"/>
    <x v="2"/>
    <n v="-300000"/>
    <n v="0"/>
    <n v="0"/>
    <n v="199"/>
    <d v="2026-02-28T00:00:00"/>
    <n v="98"/>
    <s v="Delhi"/>
    <n v="-2112.2412838356163"/>
    <n v="-1"/>
    <n v="-1790.0349863013698"/>
    <n v="0"/>
    <n v="0"/>
    <n v="-322.20629753424657"/>
    <n v="-71.601399452054793"/>
    <n v="-402.75787191780825"/>
    <n v="-881.52476712328769"/>
    <n v="-647.92070383561645"/>
    <n v="-667.7550110958905"/>
    <d v="2025-02-27T00:00:00"/>
    <n v="-1790.0349863013698"/>
    <s v="No claim"/>
  </r>
  <r>
    <s v="Deletion"/>
    <n v="202512"/>
    <s v="GMC021090100AV"/>
    <s v="A V GLOBAL CORPORATION PRIVATE LIMITED"/>
    <d v="2025-06-10T00:00:00"/>
    <d v="2026-06-09T00:00:00"/>
    <s v="Niharika Ranjan"/>
    <x v="50"/>
    <d v="1993-03-10T00:00:00"/>
    <x v="161"/>
    <d v="2025-06-10T00:00:00"/>
    <n v="0.04"/>
    <n v="0.22500000000000001"/>
    <d v="2025-06-10T00:00:00"/>
    <d v="2026-06-09T00:00:00"/>
    <d v="2025-11-22T00:00:00"/>
    <d v="2025-11-23T00:00:00"/>
    <n v="32"/>
    <s v="0-35"/>
    <x v="1"/>
    <x v="1"/>
    <n v="-300000"/>
    <n v="0"/>
    <n v="0"/>
    <n v="199"/>
    <d v="2026-02-28T00:00:00"/>
    <n v="98"/>
    <s v="Delhi"/>
    <n v="-2112.2412838356163"/>
    <n v="-1"/>
    <n v="-1790.0349863013698"/>
    <n v="0"/>
    <n v="0"/>
    <n v="-322.20629753424657"/>
    <n v="-71.601399452054793"/>
    <n v="-402.75787191780825"/>
    <n v="-881.52476712328769"/>
    <n v="-647.92070383561645"/>
    <n v="-667.7550110958905"/>
    <d v="2025-02-27T00:00:00"/>
    <n v="-1790.0349863013698"/>
    <s v="No claim"/>
  </r>
  <r>
    <s v="Deletion"/>
    <n v="202512"/>
    <s v="GMC021090100AV"/>
    <s v="A V GLOBAL CORPORATION PRIVATE LIMITED"/>
    <d v="2025-06-10T00:00:00"/>
    <d v="2026-06-09T00:00:00"/>
    <s v="Vivanshi Singh"/>
    <x v="50"/>
    <d v="2023-11-01T00:00:00"/>
    <x v="162"/>
    <d v="2025-06-10T00:00:00"/>
    <n v="0.04"/>
    <n v="0.22500000000000001"/>
    <d v="2025-06-10T00:00:00"/>
    <d v="2026-06-09T00:00:00"/>
    <d v="2025-11-22T00:00:00"/>
    <d v="2025-11-23T00:00:00"/>
    <n v="1"/>
    <s v="0-35"/>
    <x v="1"/>
    <x v="3"/>
    <n v="-300000"/>
    <n v="0"/>
    <n v="0"/>
    <n v="199"/>
    <d v="2026-02-28T00:00:00"/>
    <n v="98"/>
    <s v="Delhi"/>
    <n v="-2112.2412838356163"/>
    <n v="-1"/>
    <n v="-1790.0349863013698"/>
    <n v="0"/>
    <n v="0"/>
    <n v="-322.20629753424657"/>
    <n v="-71.601399452054793"/>
    <n v="-402.75787191780825"/>
    <n v="-881.52476712328769"/>
    <n v="-647.92070383561645"/>
    <n v="-667.7550110958905"/>
    <d v="2025-02-27T00:00:00"/>
    <n v="-1790.0349863013698"/>
    <s v="No claim"/>
  </r>
  <r>
    <s v="Deletion"/>
    <n v="202512"/>
    <s v="GMC021090100AV"/>
    <s v="A V GLOBAL CORPORATION PRIVATE LIMITED"/>
    <d v="2025-06-10T00:00:00"/>
    <d v="2026-06-09T00:00:00"/>
    <s v="Shweta"/>
    <x v="210"/>
    <d v="2000-11-24T00:00:00"/>
    <x v="613"/>
    <d v="2025-06-10T00:00:00"/>
    <n v="0.04"/>
    <n v="0.22500000000000001"/>
    <d v="2025-06-10T00:00:00"/>
    <d v="2026-06-09T00:00:00"/>
    <d v="2025-11-06T00:00:00"/>
    <d v="2025-11-07T00:00:00"/>
    <n v="24"/>
    <s v="0-35"/>
    <x v="1"/>
    <x v="0"/>
    <n v="-300000"/>
    <n v="-300000"/>
    <n v="-1"/>
    <n v="215"/>
    <d v="2026-02-28T00:00:00"/>
    <n v="114"/>
    <s v="Delhi"/>
    <n v="0"/>
    <n v="-1"/>
    <n v="0"/>
    <n v="0"/>
    <n v="0"/>
    <n v="0"/>
    <n v="0"/>
    <n v="0"/>
    <n v="0"/>
    <n v="0"/>
    <n v="0"/>
    <d v="2025-02-27T00:00:00"/>
    <n v="0"/>
    <s v="Claim"/>
  </r>
  <r>
    <s v="Deletion"/>
    <n v="202512"/>
    <s v="GMC021090100AV"/>
    <s v="A V GLOBAL CORPORATION PRIVATE LIMITED"/>
    <d v="2025-06-10T00:00:00"/>
    <d v="2026-06-09T00:00:00"/>
    <s v="Rani Patel"/>
    <x v="213"/>
    <d v="1997-04-21T00:00:00"/>
    <x v="619"/>
    <d v="2025-06-10T00:00:00"/>
    <n v="0.04"/>
    <n v="0.22500000000000001"/>
    <d v="2025-06-10T00:00:00"/>
    <d v="2026-06-09T00:00:00"/>
    <d v="2025-11-02T00:00:00"/>
    <d v="2025-11-03T00:00:00"/>
    <n v="28"/>
    <s v="0-35"/>
    <x v="1"/>
    <x v="0"/>
    <n v="-300000"/>
    <n v="-300000"/>
    <n v="-1"/>
    <n v="219"/>
    <d v="2026-02-28T00:00:00"/>
    <n v="118"/>
    <s v="Delhi"/>
    <n v="-2324.52684"/>
    <n v="-1"/>
    <n v="-1969.9379999999999"/>
    <n v="0"/>
    <n v="0"/>
    <n v="-354.58883999999995"/>
    <n v="-78.797519999999992"/>
    <n v="-443.23604999999998"/>
    <n v="-1061.4277808219176"/>
    <n v="-780.14941890410944"/>
    <n v="-667.7550110958905"/>
    <d v="2025-02-27T00:00:00"/>
    <n v="-1969.9379999999999"/>
    <s v="No claim"/>
  </r>
  <r>
    <s v="Deletion"/>
    <n v="202512"/>
    <s v="GMC021090100AV"/>
    <s v="A V GLOBAL CORPORATION PRIVATE LIMITED"/>
    <d v="2025-06-10T00:00:00"/>
    <d v="2026-06-09T00:00:00"/>
    <s v="Ashi"/>
    <x v="222"/>
    <d v="2003-12-07T00:00:00"/>
    <x v="633"/>
    <d v="2025-06-10T00:00:00"/>
    <n v="0.04"/>
    <n v="0.22500000000000001"/>
    <d v="2025-06-10T00:00:00"/>
    <d v="2026-06-09T00:00:00"/>
    <d v="2025-11-21T00:00:00"/>
    <d v="2025-11-22T00:00:00"/>
    <n v="21"/>
    <s v="0-35"/>
    <x v="1"/>
    <x v="0"/>
    <n v="-300000"/>
    <n v="-300000"/>
    <n v="-1"/>
    <n v="200"/>
    <d v="2026-02-28T00:00:00"/>
    <n v="99"/>
    <s v="Delhi"/>
    <n v="-2122.8555616438357"/>
    <n v="-1"/>
    <n v="-1799.0301369863014"/>
    <n v="0"/>
    <n v="0"/>
    <n v="-323.82542465753426"/>
    <n v="-71.961205479452062"/>
    <n v="-404.78178082191783"/>
    <n v="-890.51991780821913"/>
    <n v="-654.53213958904109"/>
    <n v="-667.7550110958905"/>
    <d v="2025-02-27T00:00:00"/>
    <n v="-1799.0301369863014"/>
    <s v="No claim"/>
  </r>
  <r>
    <s v="Valid"/>
    <n v="202602"/>
    <s v="GMC021090100AV"/>
    <s v="A V GLOBAL CORPORATION PRIVATE LIMITED"/>
    <d v="2025-06-10T00:00:00"/>
    <d v="2026-06-09T00:00:00"/>
    <s v="RUCHI DHIRAYAN"/>
    <x v="254"/>
    <s v="04-Apr-2000"/>
    <x v="705"/>
    <d v="2026-01-15T00:00:00"/>
    <n v="0.04"/>
    <n v="0.22500000000000001"/>
    <d v="2026-01-15T00:00:00"/>
    <d v="2026-06-09T00:00:00"/>
    <m/>
    <m/>
    <n v="25"/>
    <s v="0-35"/>
    <x v="1"/>
    <x v="0"/>
    <n v="300000"/>
    <n v="300000"/>
    <n v="1"/>
    <n v="146"/>
    <d v="2026-02-28T00:00:00"/>
    <n v="45"/>
    <s v="Delhi"/>
    <n v="1549.6845600000001"/>
    <n v="1"/>
    <n v="1313.2920000000001"/>
    <n v="0"/>
    <n v="0"/>
    <n v="236.39256"/>
    <n v="52.531680000000009"/>
    <n v="295.49070000000006"/>
    <n v="404.78178082191783"/>
    <n v="297.51460890410959"/>
    <n v="667.7550110958905"/>
    <d v="2025-02-27T00:00:00"/>
    <n v="1313.2920000000001"/>
    <m/>
  </r>
  <r>
    <s v="Valid"/>
    <n v="202602"/>
    <s v="GMC021090100AV"/>
    <s v="A V GLOBAL CORPORATION PRIVATE LIMITED"/>
    <d v="2025-06-10T00:00:00"/>
    <d v="2026-06-09T00:00:00"/>
    <s v="HARSH KAUSHIK"/>
    <x v="255"/>
    <s v="12-Apr-1997"/>
    <x v="706"/>
    <d v="2026-01-01T00:00:00"/>
    <n v="0.04"/>
    <n v="0.22500000000000001"/>
    <d v="2026-01-01T00:00:00"/>
    <d v="2026-06-09T00:00:00"/>
    <m/>
    <m/>
    <n v="28"/>
    <s v="0-35"/>
    <x v="0"/>
    <x v="0"/>
    <n v="300000"/>
    <n v="300000"/>
    <n v="1"/>
    <n v="160"/>
    <d v="2026-02-28T00:00:00"/>
    <n v="59"/>
    <s v="Delhi"/>
    <n v="1698.2844493150687"/>
    <n v="1"/>
    <n v="1439.2241095890413"/>
    <n v="0"/>
    <n v="0"/>
    <n v="259.06033972602745"/>
    <n v="57.568964383561649"/>
    <n v="323.82542465753431"/>
    <n v="530.71389041095904"/>
    <n v="390.07470945205489"/>
    <n v="667.75501109589038"/>
    <d v="2025-02-27T00:00:00"/>
    <n v="1439.2241095890413"/>
    <m/>
  </r>
  <r>
    <s v="Valid"/>
    <n v="202602"/>
    <s v="GMC021090100AV"/>
    <s v="A V GLOBAL CORPORATION PRIVATE LIMITED"/>
    <d v="2025-06-10T00:00:00"/>
    <d v="2026-06-09T00:00:00"/>
    <s v="LALITA SHARMA"/>
    <x v="255"/>
    <s v="27-Mar-1994"/>
    <x v="707"/>
    <d v="2026-01-01T00:00:00"/>
    <n v="0.04"/>
    <n v="0.22500000000000001"/>
    <d v="2026-01-01T00:00:00"/>
    <d v="2026-06-09T00:00:00"/>
    <m/>
    <m/>
    <n v="31"/>
    <s v="0-35"/>
    <x v="1"/>
    <x v="1"/>
    <n v="300000"/>
    <n v="0"/>
    <n v="0"/>
    <n v="160"/>
    <d v="2026-02-28T00:00:00"/>
    <n v="59"/>
    <s v="Delhi"/>
    <n v="1698.2844493150687"/>
    <n v="1"/>
    <n v="1439.2241095890413"/>
    <n v="0"/>
    <n v="0"/>
    <n v="259.06033972602745"/>
    <n v="57.568964383561649"/>
    <n v="323.82542465753431"/>
    <n v="530.71389041095904"/>
    <n v="390.07470945205489"/>
    <n v="667.75501109589038"/>
    <d v="2025-02-27T00:00:00"/>
    <n v="1439.2241095890413"/>
    <m/>
  </r>
  <r>
    <s v="Valid"/>
    <n v="202602"/>
    <s v="GMC021090100AV"/>
    <s v="A V GLOBAL CORPORATION PRIVATE LIMITED"/>
    <d v="2025-06-10T00:00:00"/>
    <d v="2026-06-09T00:00:00"/>
    <s v="KAMLESH KUMAR"/>
    <x v="256"/>
    <s v="25-Jul-1980"/>
    <x v="708"/>
    <d v="2026-01-25T00:00:00"/>
    <n v="0.04"/>
    <n v="0.22500000000000001"/>
    <d v="2026-01-25T00:00:00"/>
    <d v="2026-06-09T00:00:00"/>
    <m/>
    <m/>
    <n v="45"/>
    <s v="36-45"/>
    <x v="0"/>
    <x v="0"/>
    <n v="300000"/>
    <n v="300000"/>
    <n v="1"/>
    <n v="136"/>
    <d v="2026-02-28T00:00:00"/>
    <n v="35"/>
    <s v="Delhi"/>
    <n v="1869.4688920547947"/>
    <n v="1"/>
    <n v="1584.2956712328769"/>
    <n v="0"/>
    <n v="0"/>
    <n v="285.17322082191782"/>
    <n v="63.371826849315077"/>
    <n v="356.46652602739732"/>
    <n v="407.72315068493157"/>
    <n v="299.67651575342472"/>
    <n v="864.78080260273964"/>
    <d v="2025-02-27T00:00:00"/>
    <n v="1584.2956712328769"/>
    <m/>
  </r>
  <r>
    <s v="Valid"/>
    <n v="202602"/>
    <s v="GMC021090100AV"/>
    <s v="A V GLOBAL CORPORATION PRIVATE LIMITED"/>
    <d v="2025-06-10T00:00:00"/>
    <d v="2026-06-09T00:00:00"/>
    <s v="MEENA DEVI"/>
    <x v="256"/>
    <s v="19-Sep-1985"/>
    <x v="709"/>
    <d v="2026-01-25T00:00:00"/>
    <n v="0.04"/>
    <n v="0.22500000000000001"/>
    <d v="2026-01-25T00:00:00"/>
    <d v="2026-06-09T00:00:00"/>
    <m/>
    <m/>
    <n v="40"/>
    <s v="36-45"/>
    <x v="1"/>
    <x v="1"/>
    <n v="300000"/>
    <n v="0"/>
    <n v="0"/>
    <n v="136"/>
    <d v="2026-02-28T00:00:00"/>
    <n v="35"/>
    <s v="Delhi"/>
    <n v="1869.4688920547947"/>
    <n v="1"/>
    <n v="1584.2956712328769"/>
    <n v="0"/>
    <n v="0"/>
    <n v="285.17322082191782"/>
    <n v="63.371826849315077"/>
    <n v="356.46652602739732"/>
    <n v="407.72315068493157"/>
    <n v="299.67651575342472"/>
    <n v="864.78080260273964"/>
    <d v="2025-02-27T00:00:00"/>
    <n v="1584.2956712328769"/>
    <m/>
  </r>
  <r>
    <s v="Valid"/>
    <n v="202602"/>
    <s v="GMC021090100AV"/>
    <s v="A V GLOBAL CORPORATION PRIVATE LIMITED"/>
    <d v="2025-06-10T00:00:00"/>
    <d v="2026-06-09T00:00:00"/>
    <s v="VANIYA KUMARI"/>
    <x v="256"/>
    <s v="13-Jan-2013"/>
    <x v="710"/>
    <d v="2026-01-25T00:00:00"/>
    <n v="0.04"/>
    <n v="0.22500000000000001"/>
    <d v="2026-01-25T00:00:00"/>
    <d v="2026-06-09T00:00:00"/>
    <m/>
    <m/>
    <n v="13"/>
    <s v="0-35"/>
    <x v="1"/>
    <x v="3"/>
    <n v="300000"/>
    <n v="0"/>
    <n v="0"/>
    <n v="136"/>
    <d v="2026-02-28T00:00:00"/>
    <n v="35"/>
    <s v="Delhi"/>
    <n v="1443.5417819178083"/>
    <n v="1"/>
    <n v="1223.340493150685"/>
    <n v="0"/>
    <n v="0"/>
    <n v="220.20128876712329"/>
    <n v="48.933619726027402"/>
    <n v="275.25161095890411"/>
    <n v="314.83027397260275"/>
    <n v="231.40025136986301"/>
    <n v="667.7550110958905"/>
    <d v="2025-02-27T00:00:00"/>
    <n v="1223.340493150685"/>
    <m/>
  </r>
  <r>
    <s v="Valid"/>
    <n v="202602"/>
    <s v="GMC021090100AV"/>
    <s v="A V GLOBAL CORPORATION PRIVATE LIMITED"/>
    <d v="2025-06-10T00:00:00"/>
    <d v="2026-06-09T00:00:00"/>
    <s v="TANIYA KUMARI"/>
    <x v="256"/>
    <s v="01-Jan-2015"/>
    <x v="711"/>
    <d v="2026-01-25T00:00:00"/>
    <n v="0.04"/>
    <n v="0.22500000000000001"/>
    <d v="2026-01-25T00:00:00"/>
    <d v="2026-06-09T00:00:00"/>
    <m/>
    <m/>
    <n v="11"/>
    <s v="0-35"/>
    <x v="1"/>
    <x v="3"/>
    <n v="300000"/>
    <n v="0"/>
    <n v="0"/>
    <n v="136"/>
    <d v="2026-02-28T00:00:00"/>
    <n v="35"/>
    <s v="Delhi"/>
    <n v="1443.5417819178083"/>
    <n v="1"/>
    <n v="1223.340493150685"/>
    <n v="0"/>
    <n v="0"/>
    <n v="220.20128876712329"/>
    <n v="48.933619726027402"/>
    <n v="275.25161095890411"/>
    <n v="314.83027397260275"/>
    <n v="231.40025136986301"/>
    <n v="667.7550110958905"/>
    <d v="2025-02-27T00:00:00"/>
    <n v="1223.340493150685"/>
    <m/>
  </r>
  <r>
    <s v="Valid"/>
    <n v="202602"/>
    <s v="GMC021090100AV"/>
    <s v="A V GLOBAL CORPORATION PRIVATE LIMITED"/>
    <d v="2025-06-10T00:00:00"/>
    <d v="2026-06-09T00:00:00"/>
    <s v="RASHABH KUMAR KASHYAP"/>
    <x v="256"/>
    <s v="21-Dec-2020"/>
    <x v="712"/>
    <d v="2026-01-25T00:00:00"/>
    <n v="0.04"/>
    <n v="0.22500000000000001"/>
    <d v="2026-01-25T00:00:00"/>
    <d v="2026-06-09T00:00:00"/>
    <m/>
    <m/>
    <n v="5"/>
    <s v="0-35"/>
    <x v="0"/>
    <x v="2"/>
    <n v="300000"/>
    <n v="0"/>
    <n v="0"/>
    <n v="136"/>
    <d v="2026-02-28T00:00:00"/>
    <n v="35"/>
    <s v="Delhi"/>
    <n v="1443.5417819178083"/>
    <n v="1"/>
    <n v="1223.340493150685"/>
    <n v="0"/>
    <n v="0"/>
    <n v="220.20128876712329"/>
    <n v="48.933619726027402"/>
    <n v="275.25161095890411"/>
    <n v="314.83027397260275"/>
    <n v="231.40025136986301"/>
    <n v="667.7550110958905"/>
    <d v="2025-02-27T00:00:00"/>
    <n v="1223.340493150685"/>
    <m/>
  </r>
  <r>
    <s v="Valid"/>
    <n v="202602"/>
    <s v="GMC021090100AV"/>
    <s v="A V GLOBAL CORPORATION PRIVATE LIMITED"/>
    <d v="2025-06-10T00:00:00"/>
    <d v="2026-06-09T00:00:00"/>
    <s v="K RAJESHWAR REDDY"/>
    <x v="257"/>
    <s v="02-Jan-1993"/>
    <x v="713"/>
    <d v="2026-01-02T00:00:00"/>
    <n v="0.04"/>
    <n v="0.22500000000000001"/>
    <d v="2026-01-02T00:00:00"/>
    <d v="2026-06-09T00:00:00"/>
    <m/>
    <m/>
    <n v="33"/>
    <s v="0-35"/>
    <x v="0"/>
    <x v="0"/>
    <n v="300000"/>
    <n v="300000"/>
    <n v="1"/>
    <n v="159"/>
    <d v="2026-02-28T00:00:00"/>
    <n v="58"/>
    <s v="Delhi"/>
    <n v="1687.6701715068493"/>
    <n v="1"/>
    <n v="1430.2289589041095"/>
    <n v="0"/>
    <n v="0"/>
    <n v="257.44121260273971"/>
    <n v="57.20915835616438"/>
    <n v="321.80151575342467"/>
    <n v="521.71873972602737"/>
    <n v="383.46327369863013"/>
    <n v="667.75501109589027"/>
    <d v="2025-02-27T00:00:00"/>
    <n v="1430.2289589041095"/>
    <m/>
  </r>
  <r>
    <s v="Valid"/>
    <n v="202602"/>
    <s v="GMC021090100AV"/>
    <s v="A V GLOBAL CORPORATION PRIVATE LIMITED"/>
    <d v="2025-06-10T00:00:00"/>
    <d v="2026-06-09T00:00:00"/>
    <s v="M JYOTI REDDY"/>
    <x v="257"/>
    <s v="22-Jul-1994"/>
    <x v="714"/>
    <d v="2026-01-02T00:00:00"/>
    <n v="0.04"/>
    <n v="0.22500000000000001"/>
    <d v="2026-01-02T00:00:00"/>
    <d v="2026-06-09T00:00:00"/>
    <m/>
    <m/>
    <n v="31"/>
    <s v="0-35"/>
    <x v="1"/>
    <x v="1"/>
    <n v="300000"/>
    <n v="0"/>
    <n v="0"/>
    <n v="159"/>
    <d v="2026-02-28T00:00:00"/>
    <n v="58"/>
    <s v="Delhi"/>
    <n v="1687.6701715068493"/>
    <n v="1"/>
    <n v="1430.2289589041095"/>
    <n v="0"/>
    <n v="0"/>
    <n v="257.44121260273971"/>
    <n v="57.20915835616438"/>
    <n v="321.80151575342467"/>
    <n v="521.71873972602737"/>
    <n v="383.46327369863013"/>
    <n v="667.75501109589027"/>
    <d v="2025-02-27T00:00:00"/>
    <n v="1430.2289589041095"/>
    <m/>
  </r>
  <r>
    <s v="Valid"/>
    <n v="202602"/>
    <s v="GMC021090100AV"/>
    <s v="A V GLOBAL CORPORATION PRIVATE LIMITED"/>
    <d v="2025-06-10T00:00:00"/>
    <d v="2026-06-09T00:00:00"/>
    <s v="VINEETH KUMAR V"/>
    <x v="258"/>
    <s v="22-Jan-1988"/>
    <x v="715"/>
    <d v="2026-01-02T00:00:00"/>
    <n v="0.04"/>
    <n v="0.22500000000000001"/>
    <d v="2026-01-02T00:00:00"/>
    <d v="2026-06-09T00:00:00"/>
    <m/>
    <m/>
    <n v="37"/>
    <s v="36-45"/>
    <x v="0"/>
    <x v="0"/>
    <n v="300000"/>
    <n v="300000"/>
    <n v="1"/>
    <n v="159"/>
    <d v="2026-02-28T00:00:00"/>
    <n v="58"/>
    <s v="Delhi"/>
    <n v="2185.6290723287675"/>
    <n v="1"/>
    <n v="1852.2280273972606"/>
    <n v="0"/>
    <n v="0"/>
    <n v="333.40104493150687"/>
    <n v="74.08912109589042"/>
    <n v="416.75130616438366"/>
    <n v="675.6555068493152"/>
    <n v="496.60679753424665"/>
    <n v="864.78080260273975"/>
    <d v="2025-02-27T00:00:00"/>
    <n v="1852.2280273972606"/>
    <m/>
  </r>
  <r>
    <s v="Valid"/>
    <n v="202602"/>
    <s v="GMC021090100AV"/>
    <s v="A V GLOBAL CORPORATION PRIVATE LIMITED"/>
    <d v="2025-06-10T00:00:00"/>
    <d v="2026-06-09T00:00:00"/>
    <s v="ANU VIJAYAN"/>
    <x v="258"/>
    <s v="01-Aug-1996"/>
    <x v="716"/>
    <d v="2026-01-02T00:00:00"/>
    <n v="0.04"/>
    <n v="0.22500000000000001"/>
    <d v="2026-01-02T00:00:00"/>
    <d v="2026-06-09T00:00:00"/>
    <m/>
    <m/>
    <n v="29"/>
    <s v="0-35"/>
    <x v="1"/>
    <x v="1"/>
    <n v="300000"/>
    <n v="0"/>
    <n v="0"/>
    <n v="159"/>
    <d v="2026-02-28T00:00:00"/>
    <n v="58"/>
    <s v="Delhi"/>
    <n v="1687.6701715068493"/>
    <n v="1"/>
    <n v="1430.2289589041095"/>
    <n v="0"/>
    <n v="0"/>
    <n v="257.44121260273971"/>
    <n v="57.20915835616438"/>
    <n v="321.80151575342467"/>
    <n v="521.71873972602737"/>
    <n v="383.46327369863013"/>
    <n v="667.75501109589027"/>
    <d v="2025-02-27T00:00:00"/>
    <n v="1430.2289589041095"/>
    <m/>
  </r>
  <r>
    <s v="Valid"/>
    <n v="202602"/>
    <s v="GMC021090100AV"/>
    <s v="A V GLOBAL CORPORATION PRIVATE LIMITED"/>
    <d v="2025-06-10T00:00:00"/>
    <d v="2026-06-09T00:00:00"/>
    <s v="UMA PARVATHY"/>
    <x v="258"/>
    <s v="08-Dec-2020"/>
    <x v="717"/>
    <d v="2026-01-02T00:00:00"/>
    <n v="0.04"/>
    <n v="0.22500000000000001"/>
    <d v="2026-01-02T00:00:00"/>
    <d v="2026-06-09T00:00:00"/>
    <m/>
    <m/>
    <n v="5"/>
    <s v="0-35"/>
    <x v="1"/>
    <x v="3"/>
    <n v="300000"/>
    <n v="0"/>
    <n v="0"/>
    <n v="159"/>
    <d v="2026-02-28T00:00:00"/>
    <n v="58"/>
    <s v="Delhi"/>
    <n v="1687.6701715068493"/>
    <n v="1"/>
    <n v="1430.2289589041095"/>
    <n v="0"/>
    <n v="0"/>
    <n v="257.44121260273971"/>
    <n v="57.20915835616438"/>
    <n v="321.80151575342467"/>
    <n v="521.71873972602737"/>
    <n v="383.46327369863013"/>
    <n v="667.75501109589027"/>
    <d v="2025-02-27T00:00:00"/>
    <n v="1430.2289589041095"/>
    <m/>
  </r>
  <r>
    <s v="Valid"/>
    <n v="202602"/>
    <s v="GMC021090100AV"/>
    <s v="A V GLOBAL CORPORATION PRIVATE LIMITED"/>
    <d v="2025-06-10T00:00:00"/>
    <d v="2026-06-09T00:00:00"/>
    <s v="HARI SIDHARTH"/>
    <x v="259"/>
    <s v="02-Mar-1995"/>
    <x v="718"/>
    <d v="2026-01-21T00:00:00"/>
    <n v="0.04"/>
    <n v="0.22500000000000001"/>
    <d v="2026-01-21T00:00:00"/>
    <d v="2026-06-09T00:00:00"/>
    <m/>
    <m/>
    <n v="30"/>
    <s v="0-35"/>
    <x v="0"/>
    <x v="0"/>
    <n v="300000"/>
    <n v="300000"/>
    <n v="1"/>
    <n v="140"/>
    <d v="2026-02-28T00:00:00"/>
    <n v="39"/>
    <s v="Delhi"/>
    <n v="1485.998893150685"/>
    <n v="1"/>
    <n v="1259.321095890411"/>
    <n v="0"/>
    <n v="0"/>
    <n v="226.67779726027396"/>
    <n v="50.372843835616443"/>
    <n v="283.34724657534247"/>
    <n v="350.81087671232882"/>
    <n v="257.84599438356167"/>
    <n v="667.75501109589027"/>
    <d v="2025-02-27T00:00:00"/>
    <n v="1259.321095890411"/>
    <m/>
  </r>
  <r>
    <s v="Valid"/>
    <n v="202602"/>
    <s v="GMC021090100AV"/>
    <s v="A V GLOBAL CORPORATION PRIVATE LIMITED"/>
    <d v="2025-06-10T00:00:00"/>
    <d v="2026-06-09T00:00:00"/>
    <s v="SURUTHI.S"/>
    <x v="259"/>
    <s v="12-Feb-1999"/>
    <x v="719"/>
    <d v="2026-01-21T00:00:00"/>
    <n v="0.04"/>
    <n v="0.22500000000000001"/>
    <d v="2026-01-21T00:00:00"/>
    <d v="2026-06-09T00:00:00"/>
    <m/>
    <m/>
    <n v="26"/>
    <s v="0-35"/>
    <x v="1"/>
    <x v="1"/>
    <n v="300000"/>
    <n v="0"/>
    <n v="0"/>
    <n v="140"/>
    <d v="2026-02-28T00:00:00"/>
    <n v="39"/>
    <s v="Delhi"/>
    <n v="1485.998893150685"/>
    <n v="1"/>
    <n v="1259.321095890411"/>
    <n v="0"/>
    <n v="0"/>
    <n v="226.67779726027396"/>
    <n v="50.372843835616443"/>
    <n v="283.34724657534247"/>
    <n v="350.81087671232882"/>
    <n v="257.84599438356167"/>
    <n v="667.75501109589027"/>
    <d v="2025-02-27T00:00:00"/>
    <n v="1259.321095890411"/>
    <m/>
  </r>
  <r>
    <s v="Valid"/>
    <n v="202602"/>
    <s v="GMC021090100AV"/>
    <s v="A V GLOBAL CORPORATION PRIVATE LIMITED"/>
    <d v="2025-06-10T00:00:00"/>
    <d v="2026-06-09T00:00:00"/>
    <s v="RAKESH KRISHNARAJ.H"/>
    <x v="259"/>
    <s v="28-Dec-2021"/>
    <x v="720"/>
    <d v="2026-01-21T00:00:00"/>
    <n v="0.04"/>
    <n v="0.22500000000000001"/>
    <d v="2026-01-21T00:00:00"/>
    <d v="2026-06-09T00:00:00"/>
    <m/>
    <m/>
    <n v="4"/>
    <s v="0-35"/>
    <x v="0"/>
    <x v="2"/>
    <n v="300000"/>
    <n v="0"/>
    <n v="0"/>
    <n v="140"/>
    <d v="2026-02-28T00:00:00"/>
    <n v="39"/>
    <s v="Delhi"/>
    <n v="1485.998893150685"/>
    <n v="1"/>
    <n v="1259.321095890411"/>
    <n v="0"/>
    <n v="0"/>
    <n v="226.67779726027396"/>
    <n v="50.372843835616443"/>
    <n v="283.34724657534247"/>
    <n v="350.81087671232882"/>
    <n v="257.84599438356167"/>
    <n v="667.75501109589027"/>
    <d v="2025-02-27T00:00:00"/>
    <n v="1259.321095890411"/>
    <m/>
  </r>
  <r>
    <s v="Valid"/>
    <n v="202602"/>
    <s v="GMC021090100AV"/>
    <s v="A V GLOBAL CORPORATION PRIVATE LIMITED"/>
    <d v="2025-06-10T00:00:00"/>
    <d v="2026-06-09T00:00:00"/>
    <s v="JASHWIN KALEESH.H"/>
    <x v="259"/>
    <s v="18-Nov-2023"/>
    <x v="721"/>
    <d v="2026-01-21T00:00:00"/>
    <n v="0.04"/>
    <n v="0.22500000000000001"/>
    <d v="2026-01-21T00:00:00"/>
    <d v="2026-06-09T00:00:00"/>
    <m/>
    <m/>
    <n v="2"/>
    <s v="0-35"/>
    <x v="0"/>
    <x v="2"/>
    <n v="300000"/>
    <n v="0"/>
    <n v="0"/>
    <n v="140"/>
    <d v="2026-02-28T00:00:00"/>
    <n v="39"/>
    <s v="Delhi"/>
    <n v="1485.998893150685"/>
    <n v="1"/>
    <n v="1259.321095890411"/>
    <n v="0"/>
    <n v="0"/>
    <n v="226.67779726027396"/>
    <n v="50.372843835616443"/>
    <n v="283.34724657534247"/>
    <n v="350.81087671232882"/>
    <n v="257.84599438356167"/>
    <n v="667.75501109589027"/>
    <d v="2025-02-27T00:00:00"/>
    <n v="1259.321095890411"/>
    <m/>
  </r>
  <r>
    <s v="Valid"/>
    <n v="202602"/>
    <s v="GMC021090100AV"/>
    <s v="A V GLOBAL CORPORATION PRIVATE LIMITED"/>
    <d v="2025-06-10T00:00:00"/>
    <d v="2026-06-09T00:00:00"/>
    <s v="YASH PAL"/>
    <x v="260"/>
    <s v="03-Dec-1994"/>
    <x v="722"/>
    <d v="2026-01-01T00:00:00"/>
    <n v="0.04"/>
    <n v="0.22500000000000001"/>
    <d v="2026-01-01T00:00:00"/>
    <d v="2026-06-09T00:00:00"/>
    <m/>
    <m/>
    <n v="31"/>
    <s v="0-35"/>
    <x v="0"/>
    <x v="0"/>
    <n v="300000"/>
    <n v="300000"/>
    <n v="1"/>
    <n v="160"/>
    <d v="2026-02-28T00:00:00"/>
    <n v="59"/>
    <s v="Delhi"/>
    <n v="1698.2844493150687"/>
    <n v="1"/>
    <n v="1439.2241095890413"/>
    <n v="0"/>
    <n v="0"/>
    <n v="259.06033972602745"/>
    <n v="57.568964383561649"/>
    <n v="323.82542465753431"/>
    <n v="530.71389041095904"/>
    <n v="390.07470945205489"/>
    <n v="667.75501109589038"/>
    <d v="2025-02-27T00:00:00"/>
    <n v="1439.2241095890413"/>
    <m/>
  </r>
  <r>
    <s v="Valid"/>
    <n v="202602"/>
    <s v="GMC021090100AV"/>
    <s v="A V GLOBAL CORPORATION PRIVATE LIMITED"/>
    <d v="2025-06-10T00:00:00"/>
    <d v="2026-06-09T00:00:00"/>
    <s v="MANISHA KUMARI"/>
    <x v="260"/>
    <s v="07-Jun-2006"/>
    <x v="723"/>
    <d v="2026-01-01T00:00:00"/>
    <n v="0.04"/>
    <n v="0.22500000000000001"/>
    <d v="2026-01-01T00:00:00"/>
    <d v="2026-06-09T00:00:00"/>
    <m/>
    <m/>
    <n v="19"/>
    <s v="0-35"/>
    <x v="1"/>
    <x v="1"/>
    <n v="300000"/>
    <n v="0"/>
    <n v="0"/>
    <n v="160"/>
    <d v="2026-02-28T00:00:00"/>
    <n v="59"/>
    <s v="Delhi"/>
    <n v="1698.2844493150687"/>
    <n v="1"/>
    <n v="1439.2241095890413"/>
    <n v="0"/>
    <n v="0"/>
    <n v="259.06033972602745"/>
    <n v="57.568964383561649"/>
    <n v="323.82542465753431"/>
    <n v="530.71389041095904"/>
    <n v="390.07470945205489"/>
    <n v="667.75501109589038"/>
    <d v="2025-02-27T00:00:00"/>
    <n v="1439.2241095890413"/>
    <m/>
  </r>
  <r>
    <s v="Deletion"/>
    <n v="202602"/>
    <s v="GMC021090100AV"/>
    <s v="A V GLOBAL CORPORATION PRIVATE LIMITED"/>
    <d v="2025-06-10T00:00:00"/>
    <d v="2026-06-09T00:00:00"/>
    <s v="N Murugan"/>
    <x v="115"/>
    <d v="1975-06-04T00:00:00"/>
    <x v="368"/>
    <d v="2025-06-10T00:00:00"/>
    <n v="0.04"/>
    <n v="0.22500000000000001"/>
    <d v="2025-06-10T00:00:00"/>
    <d v="2026-06-09T00:00:00"/>
    <d v="2026-01-31T00:00:00"/>
    <d v="2026-02-01T00:00:00"/>
    <n v="50"/>
    <s v="46-55"/>
    <x v="0"/>
    <x v="0"/>
    <n v="-300000"/>
    <n v="-300000"/>
    <n v="-1"/>
    <n v="129"/>
    <d v="2026-02-28T00:00:00"/>
    <n v="28"/>
    <s v="Delhi"/>
    <n v="-3388.2795764383554"/>
    <n v="-1"/>
    <n v="-2871.4233698630132"/>
    <n v="0"/>
    <n v="0"/>
    <n v="-516.85620657534241"/>
    <n v="-114.85693479452053"/>
    <n v="-646.07025821917796"/>
    <n v="-623.25468493150674"/>
    <n v="-458.09219342465747"/>
    <n v="-1652.4039834246573"/>
    <d v="2025-02-27T00:00:00"/>
    <n v="-2871.4233698630132"/>
    <s v="No claim"/>
  </r>
  <r>
    <s v="Deletion"/>
    <n v="202602"/>
    <s v="GMC021090100AV"/>
    <s v="A V GLOBAL CORPORATION PRIVATE LIMITED"/>
    <d v="2025-06-10T00:00:00"/>
    <d v="2026-06-09T00:00:00"/>
    <s v="M Saraswathy"/>
    <x v="115"/>
    <d v="1980-01-18T00:00:00"/>
    <x v="369"/>
    <d v="2025-06-10T00:00:00"/>
    <n v="0.04"/>
    <n v="0.22500000000000001"/>
    <d v="2025-06-10T00:00:00"/>
    <d v="2026-06-09T00:00:00"/>
    <d v="2026-01-31T00:00:00"/>
    <d v="2026-02-01T00:00:00"/>
    <n v="45"/>
    <s v="36-45"/>
    <x v="1"/>
    <x v="1"/>
    <n v="-300000"/>
    <n v="0"/>
    <n v="0"/>
    <n v="129"/>
    <d v="2026-02-28T00:00:00"/>
    <n v="28"/>
    <s v="Delhi"/>
    <n v="-1773.2462284931507"/>
    <n v="-1"/>
    <n v="-1502.7510410958905"/>
    <n v="0"/>
    <n v="0"/>
    <n v="-270.49518739726028"/>
    <n v="-60.110041643835622"/>
    <n v="-338.11898424657539"/>
    <n v="-326.1785205479452"/>
    <n v="-239.74121260273972"/>
    <n v="-864.78080260273987"/>
    <d v="2025-02-27T00:00:00"/>
    <n v="-1502.7510410958905"/>
    <s v="No claim"/>
  </r>
  <r>
    <s v="Deletion"/>
    <n v="202602"/>
    <s v="GMC021090100AV"/>
    <s v="A V GLOBAL CORPORATION PRIVATE LIMITED"/>
    <d v="2025-06-10T00:00:00"/>
    <d v="2026-06-09T00:00:00"/>
    <s v="M Vijay"/>
    <x v="115"/>
    <d v="2005-06-06T00:00:00"/>
    <x v="370"/>
    <d v="2025-06-10T00:00:00"/>
    <n v="0.04"/>
    <n v="0.22500000000000001"/>
    <d v="2025-06-10T00:00:00"/>
    <d v="2026-06-09T00:00:00"/>
    <d v="2026-01-31T00:00:00"/>
    <d v="2026-02-01T00:00:00"/>
    <n v="20"/>
    <s v="0-35"/>
    <x v="0"/>
    <x v="2"/>
    <n v="-300000"/>
    <n v="0"/>
    <n v="0"/>
    <n v="129"/>
    <d v="2026-02-28T00:00:00"/>
    <n v="28"/>
    <s v="Delhi"/>
    <n v="-1369.2418372602738"/>
    <n v="-1"/>
    <n v="-1160.3744383561643"/>
    <n v="0"/>
    <n v="0"/>
    <n v="-208.86739890410956"/>
    <n v="-46.414977534246574"/>
    <n v="-261.08424863013698"/>
    <n v="-251.86421917808218"/>
    <n v="-185.12020109589039"/>
    <n v="-667.75501109589027"/>
    <d v="2025-02-27T00:00:00"/>
    <n v="-1160.3744383561643"/>
    <s v="No claim"/>
  </r>
  <r>
    <s v="Deletion"/>
    <n v="202602"/>
    <s v="GMC021090100AV"/>
    <s v="A V GLOBAL CORPORATION PRIVATE LIMITED"/>
    <d v="2025-06-10T00:00:00"/>
    <d v="2026-06-09T00:00:00"/>
    <s v="M Kanaga"/>
    <x v="115"/>
    <d v="2003-09-19T00:00:00"/>
    <x v="371"/>
    <d v="2025-06-10T00:00:00"/>
    <n v="0.04"/>
    <n v="0.22500000000000001"/>
    <d v="2025-06-10T00:00:00"/>
    <d v="2026-06-09T00:00:00"/>
    <d v="2026-01-31T00:00:00"/>
    <d v="2026-02-01T00:00:00"/>
    <n v="21"/>
    <s v="0-35"/>
    <x v="1"/>
    <x v="3"/>
    <n v="-300000"/>
    <n v="0"/>
    <n v="0"/>
    <n v="129"/>
    <d v="2026-02-28T00:00:00"/>
    <n v="28"/>
    <s v="Delhi"/>
    <n v="-1369.2418372602738"/>
    <n v="-1"/>
    <n v="-1160.3744383561643"/>
    <n v="0"/>
    <n v="0"/>
    <n v="-208.86739890410956"/>
    <n v="-46.414977534246574"/>
    <n v="-261.08424863013698"/>
    <n v="-251.86421917808218"/>
    <n v="-185.12020109589039"/>
    <n v="-667.75501109589027"/>
    <d v="2025-02-27T00:00:00"/>
    <n v="-1160.3744383561643"/>
    <s v="No claim"/>
  </r>
  <r>
    <s v="Deletion"/>
    <n v="202602"/>
    <s v="GMC021090100AV"/>
    <s v="A V GLOBAL CORPORATION PRIVATE LIMITED"/>
    <d v="2025-06-10T00:00:00"/>
    <d v="2026-06-09T00:00:00"/>
    <s v="Alok P Kadam"/>
    <x v="134"/>
    <d v="1993-12-08T00:00:00"/>
    <x v="426"/>
    <d v="2025-06-10T00:00:00"/>
    <n v="0.04"/>
    <n v="0.22500000000000001"/>
    <d v="2025-06-10T00:00:00"/>
    <d v="2026-06-09T00:00:00"/>
    <d v="2026-01-31T00:00:00"/>
    <d v="2026-02-01T00:00:00"/>
    <n v="31"/>
    <s v="0-35"/>
    <x v="0"/>
    <x v="0"/>
    <n v="-300000"/>
    <n v="-300000"/>
    <n v="-1"/>
    <n v="129"/>
    <d v="2026-02-28T00:00:00"/>
    <n v="28"/>
    <s v="Delhi"/>
    <n v="-1369.2418372602738"/>
    <n v="-1"/>
    <n v="-1160.3744383561643"/>
    <n v="0"/>
    <n v="0"/>
    <n v="-208.86739890410956"/>
    <n v="-46.414977534246574"/>
    <n v="-261.08424863013698"/>
    <n v="-251.86421917808218"/>
    <n v="-185.12020109589039"/>
    <n v="-667.75501109589027"/>
    <d v="2025-02-27T00:00:00"/>
    <n v="-1160.3744383561643"/>
    <s v="No claim"/>
  </r>
  <r>
    <s v="Deletion"/>
    <n v="202602"/>
    <s v="GMC021090100AV"/>
    <s v="A V GLOBAL CORPORATION PRIVATE LIMITED"/>
    <d v="2025-06-10T00:00:00"/>
    <d v="2026-06-09T00:00:00"/>
    <s v="Umesh Kumar Singh"/>
    <x v="173"/>
    <d v="1995-09-08T00:00:00"/>
    <x v="508"/>
    <d v="2025-06-10T00:00:00"/>
    <n v="0.04"/>
    <n v="0.22500000000000001"/>
    <d v="2025-06-10T00:00:00"/>
    <d v="2026-06-09T00:00:00"/>
    <d v="2025-12-31T00:00:00"/>
    <d v="2026-01-01T00:00:00"/>
    <n v="29"/>
    <s v="0-35"/>
    <x v="0"/>
    <x v="0"/>
    <n v="-300000"/>
    <n v="-300000"/>
    <n v="-1"/>
    <n v="160"/>
    <d v="2026-02-28T00:00:00"/>
    <n v="59"/>
    <s v="Delhi"/>
    <n v="-1698.2844493150687"/>
    <n v="-1"/>
    <n v="-1439.2241095890413"/>
    <n v="0"/>
    <n v="0"/>
    <n v="-259.06033972602745"/>
    <n v="-57.568964383561649"/>
    <n v="-323.82542465753431"/>
    <n v="-530.71389041095904"/>
    <n v="-390.07470945205489"/>
    <n v="-667.75501109589038"/>
    <d v="2025-02-27T00:00:00"/>
    <n v="-1439.2241095890413"/>
    <s v="No claim"/>
  </r>
  <r>
    <s v="Deletion"/>
    <n v="202602"/>
    <s v="GMC021090100AV"/>
    <s v="A V GLOBAL CORPORATION PRIVATE LIMITED"/>
    <d v="2025-06-10T00:00:00"/>
    <d v="2026-06-09T00:00:00"/>
    <s v="Jeevabalan M"/>
    <x v="191"/>
    <d v="2001-09-28T00:00:00"/>
    <x v="558"/>
    <d v="2025-06-10T00:00:00"/>
    <n v="0.04"/>
    <n v="0.22500000000000001"/>
    <d v="2025-06-10T00:00:00"/>
    <d v="2026-06-09T00:00:00"/>
    <d v="2026-01-04T00:00:00"/>
    <d v="2026-01-05T00:00:00"/>
    <n v="23"/>
    <s v="0-35"/>
    <x v="0"/>
    <x v="0"/>
    <n v="-300000"/>
    <n v="-300000"/>
    <n v="-1"/>
    <n v="156"/>
    <d v="2026-02-28T00:00:00"/>
    <n v="55"/>
    <s v="Delhi"/>
    <n v="-1655.8273380821918"/>
    <n v="-1"/>
    <n v="-1403.2435068493151"/>
    <n v="0"/>
    <n v="0"/>
    <n v="-252.58383123287669"/>
    <n v="-56.129740273972601"/>
    <n v="-315.7297890410959"/>
    <n v="-494.73328767123286"/>
    <n v="-363.62896643835614"/>
    <n v="-667.75501109589027"/>
    <d v="2025-02-27T00:00:00"/>
    <n v="-1403.2435068493151"/>
    <s v="No claim"/>
  </r>
  <r>
    <s v="Deletion"/>
    <n v="202602"/>
    <s v="GMC021090100AV"/>
    <s v="A V GLOBAL CORPORATION PRIVATE LIMITED"/>
    <d v="2025-06-10T00:00:00"/>
    <d v="2026-06-09T00:00:00"/>
    <s v="Varsha B"/>
    <x v="231"/>
    <d v="2003-05-04T00:00:00"/>
    <x v="644"/>
    <d v="2025-06-10T00:00:00"/>
    <n v="0.04"/>
    <n v="0.22500000000000001"/>
    <d v="2025-06-10T00:00:00"/>
    <d v="2026-06-09T00:00:00"/>
    <d v="2026-01-20T00:00:00"/>
    <d v="2026-01-21T00:00:00"/>
    <n v="22"/>
    <s v="0-35"/>
    <x v="1"/>
    <x v="0"/>
    <n v="-300000"/>
    <n v="-300000"/>
    <n v="-1"/>
    <n v="140"/>
    <d v="2026-02-28T00:00:00"/>
    <n v="39"/>
    <s v="Delhi"/>
    <n v="-1485.998893150685"/>
    <n v="-1"/>
    <n v="-1259.321095890411"/>
    <n v="0"/>
    <n v="0"/>
    <n v="-226.67779726027396"/>
    <n v="-50.372843835616443"/>
    <n v="-283.34724657534247"/>
    <n v="-350.81087671232882"/>
    <n v="-257.84599438356167"/>
    <n v="-667.75501109589027"/>
    <d v="2025-02-27T00:00:00"/>
    <n v="-1259.321095890411"/>
    <s v="No clai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49F38-306C-416D-BA6C-1E45B74C48D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Emp id">
  <location ref="A4:C266" firstHeaderRow="0" firstDataRow="1" firstDataCol="1"/>
  <pivotFields count="42">
    <pivotField showAll="0"/>
    <pivotField showAll="0"/>
    <pivotField showAll="0"/>
    <pivotField showAll="0"/>
    <pivotField numFmtId="15" showAll="0"/>
    <pivotField numFmtId="15" showAll="0"/>
    <pivotField showAll="0"/>
    <pivotField axis="axisRow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umFmtId="15" showAll="0"/>
    <pivotField showAll="0"/>
    <pivotField showAll="0"/>
    <pivotField numFmtId="9" showAll="0"/>
    <pivotField numFmtId="9" showAll="0"/>
    <pivotField numFmtId="15" showAll="0"/>
    <pivotField numFmtId="15" showAll="0"/>
    <pivotField showAll="0"/>
    <pivotField showAll="0"/>
    <pivotField numFmtId="1" showAll="0"/>
    <pivotField showAll="0"/>
    <pivotField showAll="0"/>
    <pivotField showAll="0"/>
    <pivotField numFmtId="3" showAll="0"/>
    <pivotField numFmtId="3" showAll="0"/>
    <pivotField dataField="1" numFmtId="165" showAll="0"/>
    <pivotField numFmtId="164" showAll="0"/>
    <pivotField numFmtId="14" showAll="0"/>
    <pivotField numFmtId="164"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43" showAll="0"/>
    <pivotField numFmtId="43" showAll="0"/>
    <pivotField numFmtId="164" showAll="0"/>
    <pivotField numFmtId="14" showAll="0"/>
    <pivotField numFmtId="164" showAll="0"/>
    <pivotField showAll="0"/>
  </pivotFields>
  <rowFields count="1">
    <field x="7"/>
  </rowFields>
  <rowItems count="2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of Policies" fld="23" baseField="0" baseItem="0"/>
    <dataField name="Sum of No of Person Cover Per Day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A3A5F-7253-4367-AA98-B2C8929FD0C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E4:J729" firstHeaderRow="0" firstDataRow="1" firstDataCol="3"/>
  <pivotFields count="4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/>
    <pivotField compact="0" numFmtId="15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/>
    <pivotField axis="axisRow" compact="0" outline="0" showAll="0" defaultSubtotal="0">
      <items count="7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sd="0"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</items>
    </pivotField>
    <pivotField compact="0" outline="0" showAll="0" defaultSubtotal="0"/>
    <pivotField compact="0" numFmtId="9" outline="0" showAll="0" defaultSubtotal="0"/>
    <pivotField compact="0" numFmtId="9" outline="0" showAll="0" defaultSubtotal="0"/>
    <pivotField compact="0" numFmtId="15" outline="0" showAll="0" defaultSubtotal="0"/>
    <pivotField compact="0" numFmtId="15" outline="0" showAll="0" defaultSubtotal="0"/>
    <pivotField compact="0" outline="0" showAll="0" defaultSubtotal="0"/>
    <pivotField compact="0" outline="0" showAll="0" defaultSubtotal="0"/>
    <pivotField compact="0" numFmtId="1" outline="0" subtotalTop="0" showAll="0" defaultSubtotal="0"/>
    <pivotField compact="0" outline="0" subtotalTop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4">
        <item x="0"/>
        <item x="3"/>
        <item x="2"/>
        <item x="1"/>
      </items>
    </pivotField>
    <pivotField compact="0" numFmtId="3" outline="0" showAll="0" defaultSubtotal="0"/>
    <pivotField dataField="1" compact="0" numFmtId="3" outline="0" showAll="0" defaultSubtotal="0"/>
    <pivotField compact="0" numFmtId="165" outline="0" showAll="0" defaultSubtotal="0"/>
    <pivotField compact="0" numFmtId="164" outline="0" showAll="0" defaultSubtotal="0"/>
    <pivotField compact="0" numFmtId="1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numFmtId="43" outline="0" showAll="0" defaultSubtotal="0"/>
    <pivotField compact="0" numFmtId="43" outline="0" showAll="0" defaultSubtotal="0"/>
    <pivotField compact="0" numFmtId="164" outline="0" showAll="0" defaultSubtotal="0"/>
    <pivotField compact="0" numFmtId="14" outline="0" showAll="0" defaultSubtotal="0"/>
    <pivotField compact="0" numFmtId="164" outline="0" showAll="0" defaultSubtotal="0"/>
    <pivotField compact="0" outline="0" showAll="0" defaultSubtotal="0"/>
  </pivotFields>
  <rowFields count="3">
    <field x="9"/>
    <field x="19"/>
    <field x="20"/>
  </rowFields>
  <rowItems count="725">
    <i>
      <x/>
      <x v="1"/>
      <x/>
    </i>
    <i>
      <x v="1"/>
      <x/>
      <x v="3"/>
    </i>
    <i>
      <x v="2"/>
      <x v="1"/>
      <x/>
    </i>
    <i>
      <x v="3"/>
      <x v="1"/>
      <x/>
    </i>
    <i>
      <x v="4"/>
      <x v="1"/>
      <x v="2"/>
    </i>
    <i>
      <x v="5"/>
      <x v="1"/>
      <x v="2"/>
    </i>
    <i>
      <x v="6"/>
      <x/>
      <x v="3"/>
    </i>
    <i>
      <x v="7"/>
      <x v="1"/>
      <x/>
    </i>
    <i>
      <x v="8"/>
      <x/>
      <x v="3"/>
    </i>
    <i>
      <x v="9"/>
      <x/>
      <x v="1"/>
    </i>
    <i>
      <x v="10"/>
      <x v="1"/>
      <x v="2"/>
    </i>
    <i>
      <x v="11"/>
      <x/>
      <x/>
    </i>
    <i>
      <x v="12"/>
      <x v="1"/>
      <x v="3"/>
    </i>
    <i>
      <x v="13"/>
      <x v="1"/>
      <x v="2"/>
    </i>
    <i>
      <x v="14"/>
      <x v="1"/>
      <x/>
    </i>
    <i>
      <x v="15"/>
      <x/>
      <x v="1"/>
    </i>
    <i>
      <x v="16"/>
      <x/>
      <x v="3"/>
    </i>
    <i>
      <x v="17"/>
    </i>
    <i>
      <x v="18"/>
      <x v="1"/>
      <x/>
    </i>
    <i>
      <x v="19"/>
      <x/>
      <x v="3"/>
    </i>
    <i>
      <x v="20"/>
      <x/>
      <x v="1"/>
    </i>
    <i>
      <x v="21"/>
      <x v="1"/>
      <x/>
    </i>
    <i>
      <x v="22"/>
      <x/>
      <x v="3"/>
    </i>
    <i>
      <x v="23"/>
      <x v="1"/>
      <x v="2"/>
    </i>
    <i>
      <x v="24"/>
      <x v="1"/>
      <x/>
    </i>
    <i>
      <x v="25"/>
      <x/>
      <x v="3"/>
    </i>
    <i>
      <x v="26"/>
      <x v="1"/>
      <x/>
    </i>
    <i>
      <x v="27"/>
      <x/>
      <x v="1"/>
    </i>
    <i>
      <x v="28"/>
      <x/>
      <x v="1"/>
    </i>
    <i>
      <x v="29"/>
      <x/>
      <x v="3"/>
    </i>
    <i>
      <x v="30"/>
      <x v="1"/>
      <x/>
    </i>
    <i>
      <x v="31"/>
      <x/>
      <x v="3"/>
    </i>
    <i>
      <x v="32"/>
      <x v="1"/>
      <x/>
    </i>
    <i>
      <x v="33"/>
      <x/>
      <x v="1"/>
    </i>
    <i>
      <x v="34"/>
      <x/>
      <x v="3"/>
    </i>
    <i>
      <x v="35"/>
      <x v="1"/>
      <x/>
    </i>
    <i>
      <x v="36"/>
      <x/>
      <x v="3"/>
    </i>
    <i>
      <x v="37"/>
      <x/>
      <x v="1"/>
    </i>
    <i>
      <x v="38"/>
      <x v="1"/>
      <x v="2"/>
    </i>
    <i>
      <x v="39"/>
      <x v="1"/>
      <x/>
    </i>
    <i>
      <x v="40"/>
      <x/>
      <x v="3"/>
    </i>
    <i>
      <x v="41"/>
      <x/>
      <x v="1"/>
    </i>
    <i>
      <x v="42"/>
      <x v="1"/>
      <x v="2"/>
    </i>
    <i>
      <x v="43"/>
      <x v="1"/>
      <x/>
    </i>
    <i>
      <x v="44"/>
      <x/>
      <x v="3"/>
    </i>
    <i>
      <x v="45"/>
      <x v="1"/>
      <x v="2"/>
    </i>
    <i>
      <x v="46"/>
      <x/>
      <x v="1"/>
    </i>
    <i>
      <x v="47"/>
      <x v="1"/>
      <x/>
    </i>
    <i>
      <x v="48"/>
      <x/>
      <x v="3"/>
    </i>
    <i>
      <x v="49"/>
      <x v="1"/>
      <x/>
    </i>
    <i>
      <x v="50"/>
      <x/>
      <x v="3"/>
    </i>
    <i>
      <x v="51"/>
      <x/>
      <x/>
    </i>
    <i>
      <x v="52"/>
      <x v="1"/>
      <x/>
    </i>
    <i>
      <x v="53"/>
      <x/>
      <x v="3"/>
    </i>
    <i>
      <x v="54"/>
      <x v="1"/>
      <x v="2"/>
    </i>
    <i>
      <x v="55"/>
      <x v="1"/>
      <x/>
    </i>
    <i>
      <x v="56"/>
      <x/>
      <x v="1"/>
    </i>
    <i>
      <x v="57"/>
      <x/>
      <x v="3"/>
    </i>
    <i>
      <x v="58"/>
      <x v="1"/>
      <x/>
    </i>
    <i>
      <x v="59"/>
      <x v="1"/>
      <x v="2"/>
    </i>
    <i>
      <x v="60"/>
      <x/>
      <x v="3"/>
    </i>
    <i>
      <x v="61"/>
      <x v="1"/>
      <x/>
    </i>
    <i>
      <x v="62"/>
      <x/>
      <x v="3"/>
    </i>
    <i>
      <x v="63"/>
      <x v="1"/>
      <x v="2"/>
    </i>
    <i>
      <x v="64"/>
      <x v="1"/>
      <x v="2"/>
    </i>
    <i>
      <x v="65"/>
      <x v="1"/>
      <x/>
    </i>
    <i>
      <x v="66"/>
      <x/>
      <x v="3"/>
    </i>
    <i>
      <x v="67"/>
      <x v="1"/>
      <x v="2"/>
    </i>
    <i>
      <x v="68"/>
      <x v="1"/>
      <x v="2"/>
    </i>
    <i>
      <x v="69"/>
      <x v="1"/>
      <x/>
    </i>
    <i>
      <x v="70"/>
      <x/>
      <x v="1"/>
    </i>
    <i>
      <x v="71"/>
      <x/>
      <x v="3"/>
    </i>
    <i>
      <x v="72"/>
      <x/>
      <x v="1"/>
    </i>
    <i>
      <x v="73"/>
      <x v="1"/>
      <x/>
    </i>
    <i>
      <x v="74"/>
      <x/>
      <x v="3"/>
    </i>
    <i>
      <x v="75"/>
      <x v="1"/>
      <x v="2"/>
    </i>
    <i>
      <x v="76"/>
      <x v="1"/>
      <x/>
    </i>
    <i>
      <x v="77"/>
      <x v="1"/>
      <x v="2"/>
    </i>
    <i>
      <x v="78"/>
      <x/>
      <x v="3"/>
    </i>
    <i>
      <x v="79"/>
      <x v="1"/>
      <x v="2"/>
    </i>
    <i>
      <x v="80"/>
      <x v="1"/>
      <x/>
    </i>
    <i>
      <x v="81"/>
      <x/>
      <x v="1"/>
    </i>
    <i>
      <x v="82"/>
      <x v="1"/>
      <x v="2"/>
    </i>
    <i>
      <x v="83"/>
      <x/>
      <x v="3"/>
    </i>
    <i>
      <x v="84"/>
      <x v="1"/>
      <x/>
    </i>
    <i>
      <x v="85"/>
      <x v="1"/>
      <x v="2"/>
    </i>
    <i>
      <x v="86"/>
      <x v="1"/>
      <x v="2"/>
    </i>
    <i>
      <x v="87"/>
      <x/>
      <x v="3"/>
    </i>
    <i>
      <x v="88"/>
      <x v="1"/>
      <x/>
    </i>
    <i>
      <x v="89"/>
      <x/>
      <x v="3"/>
    </i>
    <i>
      <x v="90"/>
      <x v="1"/>
      <x v="2"/>
    </i>
    <i>
      <x v="91"/>
      <x v="1"/>
      <x v="2"/>
    </i>
    <i>
      <x v="92"/>
      <x v="1"/>
      <x/>
    </i>
    <i>
      <x v="93"/>
      <x/>
      <x v="3"/>
    </i>
    <i>
      <x v="94"/>
      <x v="1"/>
      <x v="2"/>
    </i>
    <i>
      <x v="95"/>
      <x v="1"/>
      <x/>
    </i>
    <i>
      <x v="96"/>
      <x v="1"/>
      <x v="2"/>
    </i>
    <i>
      <x v="97"/>
      <x/>
      <x v="3"/>
    </i>
    <i>
      <x v="98"/>
      <x/>
      <x/>
    </i>
    <i>
      <x v="99"/>
      <x v="1"/>
      <x/>
    </i>
    <i>
      <x v="100"/>
      <x/>
      <x v="1"/>
    </i>
    <i>
      <x v="101"/>
      <x v="1"/>
      <x v="2"/>
    </i>
    <i>
      <x v="102"/>
      <x/>
      <x v="3"/>
    </i>
    <i>
      <x v="103"/>
      <x v="1"/>
      <x/>
    </i>
    <i>
      <x v="104"/>
      <x/>
      <x v="3"/>
    </i>
    <i>
      <x v="105"/>
      <x v="1"/>
      <x/>
    </i>
    <i>
      <x v="106"/>
      <x/>
      <x v="3"/>
    </i>
    <i>
      <x v="107"/>
      <x v="1"/>
      <x v="2"/>
    </i>
    <i>
      <x v="108"/>
      <x v="1"/>
      <x/>
    </i>
    <i>
      <x v="109"/>
      <x v="1"/>
      <x v="2"/>
    </i>
    <i>
      <x v="110"/>
      <x/>
      <x v="3"/>
    </i>
    <i>
      <x v="111"/>
      <x v="1"/>
      <x v="2"/>
    </i>
    <i>
      <x v="112"/>
      <x v="1"/>
      <x/>
    </i>
    <i>
      <x v="113"/>
      <x/>
      <x v="3"/>
    </i>
    <i>
      <x v="114"/>
      <x v="1"/>
      <x/>
    </i>
    <i>
      <x v="115"/>
      <x/>
      <x v="1"/>
    </i>
    <i>
      <x v="116"/>
      <x/>
      <x v="3"/>
    </i>
    <i>
      <x v="117"/>
      <x/>
      <x v="1"/>
    </i>
    <i>
      <x v="118"/>
      <x v="1"/>
      <x/>
    </i>
    <i>
      <x v="119"/>
      <x/>
      <x v="3"/>
    </i>
    <i>
      <x v="120"/>
      <x/>
      <x v="1"/>
    </i>
    <i>
      <x v="121"/>
      <x v="1"/>
      <x v="2"/>
    </i>
    <i>
      <x v="122"/>
      <x v="1"/>
      <x/>
    </i>
    <i>
      <x v="123"/>
      <x/>
      <x v="3"/>
    </i>
    <i>
      <x v="124"/>
      <x v="1"/>
      <x/>
    </i>
    <i>
      <x v="125"/>
      <x/>
      <x v="3"/>
    </i>
    <i>
      <x v="126"/>
      <x v="1"/>
      <x v="2"/>
    </i>
    <i>
      <x v="127"/>
      <x v="1"/>
      <x/>
    </i>
    <i>
      <x v="128"/>
      <x/>
      <x v="1"/>
    </i>
    <i>
      <x v="129"/>
      <x/>
      <x v="3"/>
    </i>
    <i>
      <x v="130"/>
      <x v="1"/>
      <x v="2"/>
    </i>
    <i>
      <x v="131"/>
      <x v="1"/>
      <x/>
    </i>
    <i>
      <x v="132"/>
      <x/>
      <x v="3"/>
    </i>
    <i>
      <x v="133"/>
      <x v="1"/>
      <x v="2"/>
    </i>
    <i>
      <x v="134"/>
      <x v="1"/>
      <x v="2"/>
    </i>
    <i>
      <x v="135"/>
      <x v="1"/>
      <x/>
    </i>
    <i>
      <x v="136"/>
      <x/>
      <x v="1"/>
    </i>
    <i>
      <x v="137"/>
      <x/>
      <x v="3"/>
    </i>
    <i>
      <x v="138"/>
      <x/>
      <x v="1"/>
    </i>
    <i>
      <x v="139"/>
      <x v="1"/>
      <x/>
    </i>
    <i>
      <x v="140"/>
      <x/>
      <x v="1"/>
    </i>
    <i>
      <x v="141"/>
      <x v="1"/>
      <x v="2"/>
    </i>
    <i>
      <x v="142"/>
      <x/>
      <x v="3"/>
    </i>
    <i>
      <x v="143"/>
      <x v="1"/>
      <x/>
    </i>
    <i>
      <x v="144"/>
      <x/>
      <x v="1"/>
    </i>
    <i>
      <x v="145"/>
      <x/>
      <x v="3"/>
    </i>
    <i>
      <x v="146"/>
      <x v="1"/>
      <x v="2"/>
    </i>
    <i>
      <x v="147"/>
      <x v="1"/>
      <x/>
    </i>
    <i>
      <x v="148"/>
      <x/>
      <x v="3"/>
    </i>
    <i>
      <x v="149"/>
      <x v="1"/>
      <x v="2"/>
    </i>
    <i>
      <x v="150"/>
      <x v="1"/>
      <x v="2"/>
    </i>
    <i>
      <x v="151"/>
      <x v="1"/>
      <x/>
    </i>
    <i>
      <x v="152"/>
      <x/>
      <x v="3"/>
    </i>
    <i>
      <x v="153"/>
      <x v="1"/>
      <x/>
    </i>
    <i>
      <x v="154"/>
      <x/>
      <x v="3"/>
    </i>
    <i>
      <x v="155"/>
      <x v="1"/>
      <x v="2"/>
    </i>
    <i>
      <x v="156"/>
      <x/>
      <x v="1"/>
    </i>
    <i>
      <x v="157"/>
      <x v="1"/>
      <x/>
    </i>
    <i>
      <x v="158"/>
      <x/>
      <x v="3"/>
    </i>
    <i>
      <x v="159"/>
      <x v="1"/>
      <x/>
    </i>
    <i>
      <x v="160"/>
      <x v="1"/>
      <x v="2"/>
    </i>
    <i>
      <x v="161"/>
      <x/>
      <x v="3"/>
    </i>
    <i>
      <x v="162"/>
      <x/>
      <x v="1"/>
    </i>
    <i>
      <x v="163"/>
      <x v="1"/>
      <x/>
    </i>
    <i>
      <x v="164"/>
      <x v="1"/>
      <x/>
    </i>
    <i>
      <x v="165"/>
      <x/>
      <x v="1"/>
    </i>
    <i>
      <x v="166"/>
      <x v="1"/>
      <x v="2"/>
    </i>
    <i>
      <x v="167"/>
      <x/>
      <x v="3"/>
    </i>
    <i>
      <x v="168"/>
      <x v="1"/>
      <x/>
    </i>
    <i>
      <x v="169"/>
      <x/>
      <x v="1"/>
    </i>
    <i>
      <x v="170"/>
      <x/>
      <x v="1"/>
    </i>
    <i>
      <x v="171"/>
      <x/>
      <x v="3"/>
    </i>
    <i>
      <x v="172"/>
      <x v="1"/>
      <x/>
    </i>
    <i>
      <x v="173"/>
      <x/>
      <x v="3"/>
    </i>
    <i>
      <x v="174"/>
      <x/>
      <x v="1"/>
    </i>
    <i>
      <x v="175"/>
      <x/>
      <x v="1"/>
    </i>
    <i>
      <x v="176"/>
      <x/>
      <x/>
    </i>
    <i>
      <x v="177"/>
      <x v="1"/>
      <x/>
    </i>
    <i>
      <x v="178"/>
      <x v="1"/>
      <x v="2"/>
    </i>
    <i>
      <x v="179"/>
      <x/>
      <x v="3"/>
    </i>
    <i>
      <x v="180"/>
      <x/>
      <x v="1"/>
    </i>
    <i>
      <x v="181"/>
      <x v="1"/>
      <x/>
    </i>
    <i>
      <x v="182"/>
      <x v="1"/>
      <x v="2"/>
    </i>
    <i>
      <x v="183"/>
      <x v="1"/>
      <x v="2"/>
    </i>
    <i>
      <x v="184"/>
      <x/>
      <x v="3"/>
    </i>
    <i>
      <x v="185"/>
      <x v="1"/>
      <x/>
    </i>
    <i>
      <x v="186"/>
      <x/>
      <x v="3"/>
    </i>
    <i>
      <x v="187"/>
      <x v="1"/>
      <x/>
    </i>
    <i>
      <x v="188"/>
      <x/>
      <x v="3"/>
    </i>
    <i>
      <x v="189"/>
      <x v="1"/>
      <x/>
    </i>
    <i>
      <x v="190"/>
      <x/>
      <x v="3"/>
    </i>
    <i>
      <x v="191"/>
      <x v="1"/>
      <x/>
    </i>
    <i>
      <x v="192"/>
      <x/>
      <x v="3"/>
    </i>
    <i>
      <x v="193"/>
      <x/>
      <x v="1"/>
    </i>
    <i>
      <x v="194"/>
      <x v="1"/>
      <x/>
    </i>
    <i>
      <x v="195"/>
      <x/>
      <x v="3"/>
    </i>
    <i>
      <x v="196"/>
      <x/>
      <x v="1"/>
    </i>
    <i>
      <x v="197"/>
      <x v="1"/>
      <x v="2"/>
    </i>
    <i>
      <x v="198"/>
      <x v="1"/>
      <x/>
    </i>
    <i>
      <x v="199"/>
      <x v="1"/>
      <x v="2"/>
    </i>
    <i>
      <x v="200"/>
      <x/>
      <x v="1"/>
    </i>
    <i>
      <x v="201"/>
      <x/>
      <x v="3"/>
    </i>
    <i>
      <x v="202"/>
      <x v="1"/>
      <x/>
    </i>
    <i>
      <x v="203"/>
      <x v="1"/>
      <x v="2"/>
    </i>
    <i>
      <x v="204"/>
      <x/>
      <x v="1"/>
    </i>
    <i>
      <x v="205"/>
      <x/>
      <x v="3"/>
    </i>
    <i>
      <x v="206"/>
      <x v="1"/>
      <x/>
    </i>
    <i>
      <x v="207"/>
      <x/>
      <x v="3"/>
    </i>
    <i>
      <x v="208"/>
      <x v="1"/>
      <x v="2"/>
    </i>
    <i>
      <x v="209"/>
      <x/>
      <x v="1"/>
    </i>
    <i>
      <x v="210"/>
      <x v="1"/>
      <x/>
    </i>
    <i>
      <x v="211"/>
      <x/>
      <x v="1"/>
    </i>
    <i>
      <x v="212"/>
      <x/>
      <x v="3"/>
    </i>
    <i>
      <x v="213"/>
      <x/>
      <x v="1"/>
    </i>
    <i>
      <x v="214"/>
      <x v="1"/>
      <x/>
    </i>
    <i>
      <x v="215"/>
      <x/>
      <x v="1"/>
    </i>
    <i>
      <x v="216"/>
      <x/>
      <x v="3"/>
    </i>
    <i>
      <x v="217"/>
      <x v="1"/>
      <x/>
    </i>
    <i>
      <x v="218"/>
      <x/>
      <x v="3"/>
    </i>
    <i>
      <x v="219"/>
      <x/>
      <x v="1"/>
    </i>
    <i>
      <x v="220"/>
      <x v="1"/>
      <x/>
    </i>
    <i>
      <x v="221"/>
      <x/>
      <x v="3"/>
    </i>
    <i>
      <x v="222"/>
      <x v="1"/>
      <x/>
    </i>
    <i>
      <x v="223"/>
      <x/>
      <x v="3"/>
    </i>
    <i>
      <x v="224"/>
      <x v="1"/>
      <x/>
    </i>
    <i>
      <x v="225"/>
      <x/>
      <x v="3"/>
    </i>
    <i>
      <x v="226"/>
      <x v="1"/>
      <x v="2"/>
    </i>
    <i>
      <x v="227"/>
      <x v="1"/>
      <x/>
    </i>
    <i>
      <x v="228"/>
      <x v="1"/>
      <x/>
    </i>
    <i>
      <x v="229"/>
      <x v="1"/>
      <x v="2"/>
    </i>
    <i>
      <x v="230"/>
      <x/>
      <x v="3"/>
    </i>
    <i>
      <x v="231"/>
      <x v="1"/>
      <x/>
    </i>
    <i>
      <x v="232"/>
      <x/>
      <x v="1"/>
    </i>
    <i>
      <x v="233"/>
      <x v="1"/>
      <x v="2"/>
    </i>
    <i>
      <x v="234"/>
      <x/>
      <x v="3"/>
    </i>
    <i>
      <x v="235"/>
      <x v="1"/>
      <x/>
    </i>
    <i>
      <x v="236"/>
      <x/>
      <x v="3"/>
    </i>
    <i>
      <x v="237"/>
      <x v="1"/>
      <x v="2"/>
    </i>
    <i>
      <x v="238"/>
      <x v="1"/>
      <x/>
    </i>
    <i>
      <x v="239"/>
      <x/>
      <x v="3"/>
    </i>
    <i>
      <x v="240"/>
      <x/>
      <x v="1"/>
    </i>
    <i>
      <x v="241"/>
      <x v="1"/>
      <x/>
    </i>
    <i>
      <x v="242"/>
      <x v="1"/>
      <x v="2"/>
    </i>
    <i>
      <x v="243"/>
      <x/>
      <x v="3"/>
    </i>
    <i>
      <x v="244"/>
      <x v="1"/>
      <x v="2"/>
    </i>
    <i>
      <x v="245"/>
      <x v="1"/>
      <x/>
    </i>
    <i>
      <x v="246"/>
      <x/>
      <x v="3"/>
    </i>
    <i>
      <x v="247"/>
      <x/>
      <x v="1"/>
    </i>
    <i>
      <x v="248"/>
      <x v="1"/>
      <x/>
    </i>
    <i>
      <x v="249"/>
      <x v="1"/>
      <x v="2"/>
    </i>
    <i>
      <x v="250"/>
      <x/>
      <x v="3"/>
    </i>
    <i>
      <x v="251"/>
      <x/>
      <x v="1"/>
    </i>
    <i>
      <x v="252"/>
      <x v="1"/>
      <x/>
    </i>
    <i>
      <x v="253"/>
      <x/>
      <x v="3"/>
    </i>
    <i>
      <x v="254"/>
      <x v="1"/>
      <x v="2"/>
    </i>
    <i>
      <x v="255"/>
      <x v="1"/>
      <x/>
    </i>
    <i>
      <x v="256"/>
      <x/>
      <x v="3"/>
    </i>
    <i>
      <x v="257"/>
      <x v="1"/>
      <x v="2"/>
    </i>
    <i>
      <x v="258"/>
      <x v="1"/>
      <x/>
    </i>
    <i>
      <x v="259"/>
      <x v="1"/>
      <x v="2"/>
    </i>
    <i>
      <x v="260"/>
      <x v="1"/>
      <x v="2"/>
    </i>
    <i>
      <x v="261"/>
      <x/>
      <x v="3"/>
    </i>
    <i>
      <x v="262"/>
      <x v="1"/>
      <x/>
    </i>
    <i>
      <x v="263"/>
      <x/>
      <x v="3"/>
    </i>
    <i>
      <x v="264"/>
      <x/>
      <x v="1"/>
    </i>
    <i>
      <x v="265"/>
      <x v="1"/>
      <x v="2"/>
    </i>
    <i>
      <x v="266"/>
      <x v="1"/>
      <x/>
    </i>
    <i>
      <x v="267"/>
      <x/>
      <x v="3"/>
    </i>
    <i>
      <x v="268"/>
      <x v="1"/>
      <x v="2"/>
    </i>
    <i>
      <x v="269"/>
      <x v="1"/>
      <x/>
    </i>
    <i>
      <x v="270"/>
      <x v="1"/>
      <x v="2"/>
    </i>
    <i>
      <x v="271"/>
      <x/>
      <x v="3"/>
    </i>
    <i>
      <x v="272"/>
      <x v="1"/>
      <x v="2"/>
    </i>
    <i>
      <x v="273"/>
      <x v="1"/>
      <x/>
    </i>
    <i>
      <x v="274"/>
      <x/>
      <x v="3"/>
    </i>
    <i>
      <x v="275"/>
      <x v="1"/>
      <x v="2"/>
    </i>
    <i>
      <x v="276"/>
      <x v="1"/>
      <x/>
    </i>
    <i>
      <x v="277"/>
      <x/>
      <x v="3"/>
    </i>
    <i>
      <x v="278"/>
      <x v="1"/>
      <x v="2"/>
    </i>
    <i>
      <x v="279"/>
      <x v="1"/>
      <x v="2"/>
    </i>
    <i>
      <x v="280"/>
      <x v="1"/>
      <x/>
    </i>
    <i>
      <x v="281"/>
      <x/>
      <x v="3"/>
    </i>
    <i>
      <x v="282"/>
      <x v="1"/>
      <x v="2"/>
    </i>
    <i>
      <x v="283"/>
      <x v="1"/>
      <x v="2"/>
    </i>
    <i>
      <x v="284"/>
      <x v="1"/>
      <x/>
    </i>
    <i>
      <x v="285"/>
      <x/>
      <x v="3"/>
    </i>
    <i>
      <x v="286"/>
      <x/>
      <x v="1"/>
    </i>
    <i>
      <x v="287"/>
      <x/>
      <x v="1"/>
    </i>
    <i>
      <x v="288"/>
      <x v="1"/>
      <x/>
    </i>
    <i>
      <x v="289"/>
      <x v="1"/>
      <x v="2"/>
    </i>
    <i>
      <x v="290"/>
      <x v="1"/>
      <x v="2"/>
    </i>
    <i>
      <x v="291"/>
      <x/>
      <x v="3"/>
    </i>
    <i>
      <x v="292"/>
      <x v="1"/>
      <x/>
    </i>
    <i>
      <x v="293"/>
      <x v="1"/>
      <x v="2"/>
    </i>
    <i>
      <x v="294"/>
      <x/>
      <x v="1"/>
    </i>
    <i>
      <x v="295"/>
      <x/>
      <x v="3"/>
    </i>
    <i>
      <x v="296"/>
      <x v="1"/>
      <x/>
    </i>
    <i>
      <x v="297"/>
      <x/>
      <x v="3"/>
    </i>
    <i>
      <x v="298"/>
      <x v="1"/>
      <x/>
    </i>
    <i>
      <x v="299"/>
      <x/>
      <x v="3"/>
    </i>
    <i>
      <x v="300"/>
      <x v="1"/>
      <x v="2"/>
    </i>
    <i>
      <x v="301"/>
      <x v="1"/>
      <x/>
    </i>
    <i>
      <x v="302"/>
      <x v="1"/>
      <x v="2"/>
    </i>
    <i>
      <x v="303"/>
      <x/>
      <x v="3"/>
    </i>
    <i>
      <x v="304"/>
      <x/>
      <x v="1"/>
    </i>
    <i>
      <x v="305"/>
      <x v="1"/>
      <x/>
    </i>
    <i>
      <x v="306"/>
      <x/>
      <x v="3"/>
    </i>
    <i>
      <x v="307"/>
      <x/>
      <x v="1"/>
    </i>
    <i>
      <x v="308"/>
      <x v="1"/>
      <x v="2"/>
    </i>
    <i>
      <x v="309"/>
      <x v="1"/>
      <x/>
    </i>
    <i>
      <x v="310"/>
      <x/>
      <x v="3"/>
    </i>
    <i>
      <x v="311"/>
      <x/>
      <x v="1"/>
    </i>
    <i>
      <x v="312"/>
      <x v="1"/>
      <x/>
    </i>
    <i>
      <x v="313"/>
      <x v="1"/>
      <x/>
    </i>
    <i>
      <x v="314"/>
      <x/>
      <x v="3"/>
    </i>
    <i>
      <x v="315"/>
      <x/>
      <x v="1"/>
    </i>
    <i>
      <x v="316"/>
      <x v="1"/>
      <x/>
    </i>
    <i>
      <x v="317"/>
      <x/>
      <x v="3"/>
    </i>
    <i>
      <x v="318"/>
      <x v="1"/>
      <x/>
    </i>
    <i>
      <x v="319"/>
      <x/>
      <x v="3"/>
    </i>
    <i>
      <x v="320"/>
      <x v="1"/>
      <x/>
    </i>
    <i>
      <x v="321"/>
      <x v="1"/>
      <x v="2"/>
    </i>
    <i>
      <x v="322"/>
      <x/>
      <x v="3"/>
    </i>
    <i>
      <x v="323"/>
      <x v="1"/>
      <x/>
    </i>
    <i>
      <x v="324"/>
      <x/>
      <x v="1"/>
    </i>
    <i>
      <x v="325"/>
      <x/>
      <x v="3"/>
    </i>
    <i>
      <x v="326"/>
      <x v="1"/>
      <x v="2"/>
    </i>
    <i>
      <x v="327"/>
      <x v="1"/>
      <x/>
    </i>
    <i>
      <x v="328"/>
      <x/>
      <x v="3"/>
    </i>
    <i>
      <x v="329"/>
      <x/>
      <x v="1"/>
    </i>
    <i>
      <x v="330"/>
      <x v="1"/>
      <x v="2"/>
    </i>
    <i>
      <x v="331"/>
      <x v="1"/>
      <x/>
    </i>
    <i>
      <x v="332"/>
      <x/>
      <x v="1"/>
    </i>
    <i>
      <x v="333"/>
      <x/>
      <x v="3"/>
    </i>
    <i>
      <x v="334"/>
      <x v="1"/>
      <x v="2"/>
    </i>
    <i>
      <x v="335"/>
      <x v="1"/>
      <x/>
    </i>
    <i>
      <x v="336"/>
      <x/>
      <x v="3"/>
    </i>
    <i>
      <x v="337"/>
      <x/>
      <x v="1"/>
    </i>
    <i>
      <x v="338"/>
      <x v="1"/>
      <x v="2"/>
    </i>
    <i>
      <x v="339"/>
      <x v="1"/>
      <x/>
    </i>
    <i>
      <x v="340"/>
      <x/>
      <x v="3"/>
    </i>
    <i>
      <x v="341"/>
      <x v="1"/>
      <x v="2"/>
    </i>
    <i>
      <x v="342"/>
      <x v="1"/>
      <x v="2"/>
    </i>
    <i>
      <x v="343"/>
      <x v="1"/>
      <x/>
    </i>
    <i>
      <x v="344"/>
      <x/>
      <x v="3"/>
    </i>
    <i>
      <x v="345"/>
      <x v="1"/>
      <x v="2"/>
    </i>
    <i>
      <x v="346"/>
      <x v="1"/>
      <x v="2"/>
    </i>
    <i>
      <x v="347"/>
      <x v="1"/>
      <x/>
    </i>
    <i>
      <x v="348"/>
      <x/>
      <x v="3"/>
    </i>
    <i>
      <x v="349"/>
      <x/>
      <x v="1"/>
    </i>
    <i>
      <x v="350"/>
      <x v="1"/>
      <x v="2"/>
    </i>
    <i>
      <x v="351"/>
      <x v="1"/>
      <x/>
    </i>
    <i>
      <x v="352"/>
      <x v="1"/>
      <x v="2"/>
    </i>
    <i>
      <x v="353"/>
      <x/>
      <x v="3"/>
    </i>
    <i>
      <x v="354"/>
      <x v="1"/>
      <x v="2"/>
    </i>
    <i>
      <x v="355"/>
      <x v="1"/>
      <x/>
    </i>
    <i>
      <x v="356"/>
      <x/>
      <x v="1"/>
    </i>
    <i>
      <x v="357"/>
      <x/>
      <x v="3"/>
    </i>
    <i>
      <x v="358"/>
      <x v="1"/>
      <x/>
    </i>
    <i>
      <x v="359"/>
      <x v="1"/>
      <x/>
    </i>
    <i>
      <x v="360"/>
      <x/>
      <x v="3"/>
    </i>
    <i>
      <x v="361"/>
      <x/>
      <x v="1"/>
    </i>
    <i>
      <x v="362"/>
      <x v="1"/>
      <x v="2"/>
    </i>
    <i>
      <x v="363"/>
      <x v="1"/>
      <x/>
    </i>
    <i>
      <x v="364"/>
      <x/>
      <x v="3"/>
    </i>
    <i>
      <x v="365"/>
      <x v="1"/>
      <x/>
    </i>
    <i>
      <x v="366"/>
      <x v="1"/>
      <x v="2"/>
    </i>
    <i>
      <x v="367"/>
      <x/>
      <x v="3"/>
    </i>
    <i>
      <x v="368"/>
      <x v="1"/>
      <x/>
    </i>
    <i>
      <x v="369"/>
      <x/>
      <x v="3"/>
    </i>
    <i>
      <x v="370"/>
      <x v="1"/>
      <x v="2"/>
    </i>
    <i>
      <x v="371"/>
      <x/>
      <x v="1"/>
    </i>
    <i>
      <x v="372"/>
      <x v="1"/>
      <x/>
    </i>
    <i>
      <x v="373"/>
      <x v="1"/>
      <x v="2"/>
    </i>
    <i>
      <x v="374"/>
      <x/>
      <x v="3"/>
    </i>
    <i>
      <x v="375"/>
      <x/>
      <x v="1"/>
    </i>
    <i>
      <x v="376"/>
      <x v="1"/>
      <x/>
    </i>
    <i>
      <x v="377"/>
      <x/>
      <x v="3"/>
    </i>
    <i>
      <x v="378"/>
      <x/>
      <x v="1"/>
    </i>
    <i>
      <x v="379"/>
      <x v="1"/>
      <x/>
    </i>
    <i>
      <x v="380"/>
      <x v="1"/>
      <x v="2"/>
    </i>
    <i>
      <x v="381"/>
      <x v="1"/>
      <x v="2"/>
    </i>
    <i>
      <x v="382"/>
      <x/>
      <x v="3"/>
    </i>
    <i>
      <x v="383"/>
      <x v="1"/>
      <x/>
    </i>
    <i>
      <x v="384"/>
      <x v="1"/>
      <x v="2"/>
    </i>
    <i>
      <x v="385"/>
      <x/>
      <x v="3"/>
    </i>
    <i>
      <x v="386"/>
      <x v="1"/>
      <x/>
    </i>
    <i>
      <x v="387"/>
      <x/>
      <x v="3"/>
    </i>
    <i>
      <x v="388"/>
      <x/>
      <x v="1"/>
    </i>
    <i>
      <x v="389"/>
      <x v="1"/>
      <x/>
    </i>
    <i>
      <x v="390"/>
      <x/>
      <x v="3"/>
    </i>
    <i>
      <x v="391"/>
      <x v="1"/>
      <x v="2"/>
    </i>
    <i>
      <x v="392"/>
      <x v="1"/>
      <x v="2"/>
    </i>
    <i>
      <x v="393"/>
      <x v="1"/>
      <x/>
    </i>
    <i>
      <x v="394"/>
      <x/>
      <x v="3"/>
    </i>
    <i>
      <x v="395"/>
      <x/>
      <x v="1"/>
    </i>
    <i>
      <x v="396"/>
      <x v="1"/>
      <x/>
    </i>
    <i>
      <x v="397"/>
      <x/>
      <x v="3"/>
    </i>
    <i>
      <x v="398"/>
      <x v="1"/>
      <x/>
    </i>
    <i>
      <x v="399"/>
      <x/>
      <x v="1"/>
    </i>
    <i>
      <x v="400"/>
      <x/>
      <x v="3"/>
    </i>
    <i>
      <x v="401"/>
      <x v="1"/>
      <x/>
    </i>
    <i>
      <x v="402"/>
      <x/>
      <x v="3"/>
    </i>
    <i>
      <x v="403"/>
      <x/>
      <x v="1"/>
    </i>
    <i>
      <x v="404"/>
      <x v="1"/>
      <x/>
    </i>
    <i>
      <x v="405"/>
      <x/>
      <x v="3"/>
    </i>
    <i>
      <x v="406"/>
      <x v="1"/>
      <x/>
    </i>
    <i>
      <x v="407"/>
      <x v="1"/>
      <x v="2"/>
    </i>
    <i>
      <x v="408"/>
      <x/>
      <x v="3"/>
    </i>
    <i>
      <x v="409"/>
      <x v="1"/>
      <x/>
    </i>
    <i>
      <x v="410"/>
      <x v="1"/>
      <x v="2"/>
    </i>
    <i>
      <x v="411"/>
      <x/>
      <x v="3"/>
    </i>
    <i>
      <x v="412"/>
      <x v="1"/>
      <x/>
    </i>
    <i>
      <x v="413"/>
      <x/>
      <x v="3"/>
    </i>
    <i>
      <x v="414"/>
      <x v="1"/>
      <x v="2"/>
    </i>
    <i>
      <x v="415"/>
      <x v="1"/>
      <x/>
    </i>
    <i>
      <x v="416"/>
      <x/>
      <x v="3"/>
    </i>
    <i>
      <x v="417"/>
      <x v="1"/>
      <x/>
    </i>
    <i>
      <x v="418"/>
      <x/>
      <x v="1"/>
    </i>
    <i>
      <x v="419"/>
      <x/>
      <x v="3"/>
    </i>
    <i>
      <x v="420"/>
      <x v="1"/>
      <x v="2"/>
    </i>
    <i>
      <x v="421"/>
      <x v="1"/>
      <x/>
    </i>
    <i>
      <x v="422"/>
      <x/>
      <x v="3"/>
    </i>
    <i>
      <x v="423"/>
      <x/>
      <x v="1"/>
    </i>
    <i>
      <x v="424"/>
      <x v="1"/>
      <x v="2"/>
    </i>
    <i>
      <x v="425"/>
      <x v="1"/>
      <x/>
    </i>
    <i>
      <x v="426"/>
      <x v="1"/>
      <x/>
    </i>
    <i>
      <x v="427"/>
      <x v="1"/>
      <x/>
    </i>
    <i>
      <x v="428"/>
      <x v="1"/>
      <x/>
    </i>
    <i>
      <x v="429"/>
      <x/>
      <x v="3"/>
    </i>
    <i>
      <x v="430"/>
      <x v="1"/>
      <x/>
    </i>
    <i>
      <x v="431"/>
      <x v="1"/>
      <x v="2"/>
    </i>
    <i>
      <x v="432"/>
      <x/>
      <x v="3"/>
    </i>
    <i>
      <x v="433"/>
      <x v="1"/>
      <x/>
    </i>
    <i>
      <x v="434"/>
      <x/>
      <x v="3"/>
    </i>
    <i>
      <x v="435"/>
      <x v="1"/>
      <x v="2"/>
    </i>
    <i>
      <x v="436"/>
      <x v="1"/>
      <x/>
    </i>
    <i>
      <x v="437"/>
      <x/>
      <x v="3"/>
    </i>
    <i>
      <x v="438"/>
      <x v="1"/>
      <x v="2"/>
    </i>
    <i>
      <x v="439"/>
      <x/>
      <x/>
    </i>
    <i>
      <x v="440"/>
      <x v="1"/>
      <x v="3"/>
    </i>
    <i>
      <x v="441"/>
      <x v="1"/>
      <x v="2"/>
    </i>
    <i>
      <x v="442"/>
      <x v="1"/>
      <x/>
    </i>
    <i>
      <x v="443"/>
      <x/>
      <x v="3"/>
    </i>
    <i>
      <x v="444"/>
      <x/>
      <x v="1"/>
    </i>
    <i>
      <x v="445"/>
      <x v="1"/>
      <x/>
    </i>
    <i>
      <x v="446"/>
      <x/>
      <x v="3"/>
    </i>
    <i>
      <x v="447"/>
      <x/>
      <x v="1"/>
    </i>
    <i>
      <x v="448"/>
      <x v="1"/>
      <x/>
    </i>
    <i>
      <x v="449"/>
      <x/>
      <x v="3"/>
    </i>
    <i>
      <x v="450"/>
      <x/>
      <x v="1"/>
    </i>
    <i>
      <x v="451"/>
      <x v="1"/>
      <x/>
    </i>
    <i>
      <x v="452"/>
      <x v="1"/>
      <x/>
    </i>
    <i>
      <x v="453"/>
      <x/>
      <x v="3"/>
    </i>
    <i>
      <x v="454"/>
      <x v="1"/>
      <x v="2"/>
    </i>
    <i>
      <x v="455"/>
      <x v="1"/>
      <x/>
    </i>
    <i>
      <x v="456"/>
      <x v="1"/>
      <x/>
    </i>
    <i>
      <x v="457"/>
      <x v="1"/>
      <x/>
    </i>
    <i>
      <x v="458"/>
      <x v="1"/>
      <x/>
    </i>
    <i>
      <x v="459"/>
      <x/>
      <x v="3"/>
    </i>
    <i>
      <x v="460"/>
      <x v="1"/>
      <x v="2"/>
    </i>
    <i>
      <x v="461"/>
      <x v="1"/>
      <x v="2"/>
    </i>
    <i>
      <x v="462"/>
      <x v="1"/>
      <x/>
    </i>
    <i>
      <x v="463"/>
      <x v="1"/>
      <x/>
    </i>
    <i>
      <x v="464"/>
      <x v="1"/>
      <x/>
    </i>
    <i>
      <x v="465"/>
      <x v="1"/>
      <x v="2"/>
    </i>
    <i>
      <x v="466"/>
      <x/>
      <x v="3"/>
    </i>
    <i>
      <x v="467"/>
      <x v="1"/>
      <x v="2"/>
    </i>
    <i>
      <x v="468"/>
      <x v="1"/>
      <x/>
    </i>
    <i>
      <x v="469"/>
      <x v="1"/>
      <x/>
    </i>
    <i>
      <x v="470"/>
      <x/>
      <x v="3"/>
    </i>
    <i>
      <x v="471"/>
      <x v="1"/>
      <x v="2"/>
    </i>
    <i>
      <x v="472"/>
      <x v="1"/>
      <x/>
    </i>
    <i>
      <x v="473"/>
      <x/>
      <x/>
    </i>
    <i>
      <x v="474"/>
      <x v="1"/>
      <x/>
    </i>
    <i>
      <x v="475"/>
      <x v="1"/>
      <x/>
    </i>
    <i>
      <x v="476"/>
      <x v="1"/>
      <x/>
    </i>
    <i>
      <x v="477"/>
      <x/>
      <x v="3"/>
    </i>
    <i>
      <x v="478"/>
      <x v="1"/>
      <x v="2"/>
    </i>
    <i>
      <x v="479"/>
      <x/>
      <x v="1"/>
    </i>
    <i>
      <x v="480"/>
      <x v="1"/>
      <x/>
    </i>
    <i>
      <x v="481"/>
      <x/>
      <x v="3"/>
    </i>
    <i>
      <x v="482"/>
      <x v="1"/>
      <x v="2"/>
    </i>
    <i>
      <x v="483"/>
      <x v="1"/>
      <x/>
    </i>
    <i>
      <x v="484"/>
      <x/>
      <x v="3"/>
    </i>
    <i>
      <x v="485"/>
      <x v="1"/>
      <x v="2"/>
    </i>
    <i>
      <x v="486"/>
      <x v="1"/>
      <x/>
    </i>
    <i>
      <x v="487"/>
      <x/>
      <x v="3"/>
    </i>
    <i>
      <x v="488"/>
      <x v="1"/>
      <x v="2"/>
    </i>
    <i>
      <x v="489"/>
      <x v="1"/>
      <x/>
    </i>
    <i>
      <x v="490"/>
      <x/>
      <x v="3"/>
    </i>
    <i>
      <x v="491"/>
      <x/>
      <x v="1"/>
    </i>
    <i>
      <x v="492"/>
      <x v="1"/>
      <x/>
    </i>
    <i>
      <x v="493"/>
      <x v="1"/>
      <x/>
    </i>
    <i>
      <x v="494"/>
      <x/>
      <x v="3"/>
    </i>
    <i>
      <x v="495"/>
      <x v="1"/>
      <x/>
    </i>
    <i>
      <x v="496"/>
      <x v="1"/>
      <x/>
    </i>
    <i>
      <x v="497"/>
      <x v="1"/>
      <x/>
    </i>
    <i>
      <x v="498"/>
      <x/>
      <x v="3"/>
    </i>
    <i>
      <x v="499"/>
      <x v="1"/>
      <x v="2"/>
    </i>
    <i>
      <x v="500"/>
      <x v="1"/>
      <x/>
    </i>
    <i>
      <x v="501"/>
      <x/>
      <x v="3"/>
    </i>
    <i>
      <x v="502"/>
      <x/>
      <x v="1"/>
    </i>
    <i>
      <x v="503"/>
      <x v="1"/>
      <x/>
    </i>
    <i>
      <x v="504"/>
      <x/>
      <x v="3"/>
    </i>
    <i>
      <x v="505"/>
      <x/>
      <x v="1"/>
    </i>
    <i>
      <x v="506"/>
      <x v="1"/>
      <x/>
    </i>
    <i>
      <x v="507"/>
      <x v="1"/>
      <x/>
    </i>
    <i>
      <x v="508"/>
      <x v="1"/>
      <x/>
    </i>
    <i>
      <x v="509"/>
      <x v="1"/>
      <x/>
    </i>
    <i>
      <x v="510"/>
      <x/>
      <x v="3"/>
    </i>
    <i>
      <x v="511"/>
      <x v="1"/>
      <x v="2"/>
    </i>
    <i>
      <x v="512"/>
      <x v="1"/>
      <x/>
    </i>
    <i>
      <x v="513"/>
      <x/>
      <x v="3"/>
    </i>
    <i>
      <x v="514"/>
      <x/>
      <x v="1"/>
    </i>
    <i>
      <x v="515"/>
      <x v="1"/>
      <x v="2"/>
    </i>
    <i>
      <x v="516"/>
      <x v="1"/>
      <x/>
    </i>
    <i>
      <x v="517"/>
      <x/>
      <x v="3"/>
    </i>
    <i>
      <x v="518"/>
      <x v="1"/>
      <x v="2"/>
    </i>
    <i>
      <x v="519"/>
      <x v="1"/>
      <x v="2"/>
    </i>
    <i>
      <x v="520"/>
      <x v="1"/>
      <x/>
    </i>
    <i>
      <x v="521"/>
      <x/>
      <x v="3"/>
    </i>
    <i>
      <x v="522"/>
      <x v="1"/>
      <x v="2"/>
    </i>
    <i>
      <x v="523"/>
      <x v="1"/>
      <x/>
    </i>
    <i>
      <x v="524"/>
      <x/>
      <x v="3"/>
    </i>
    <i>
      <x v="525"/>
      <x/>
      <x v="1"/>
    </i>
    <i>
      <x v="526"/>
      <x v="1"/>
      <x/>
    </i>
    <i>
      <x v="527"/>
      <x v="1"/>
      <x/>
    </i>
    <i>
      <x v="528"/>
      <x/>
      <x v="3"/>
    </i>
    <i>
      <x v="529"/>
      <x v="1"/>
      <x v="2"/>
    </i>
    <i>
      <x v="530"/>
      <x v="1"/>
      <x/>
    </i>
    <i>
      <x v="531"/>
      <x/>
      <x v="3"/>
    </i>
    <i>
      <x v="532"/>
      <x v="1"/>
      <x/>
    </i>
    <i>
      <x v="533"/>
      <x/>
      <x v="3"/>
    </i>
    <i>
      <x v="534"/>
      <x/>
      <x v="1"/>
    </i>
    <i>
      <x v="535"/>
      <x v="1"/>
      <x v="2"/>
    </i>
    <i>
      <x v="536"/>
      <x v="1"/>
      <x/>
    </i>
    <i>
      <x v="537"/>
      <x v="1"/>
      <x/>
    </i>
    <i>
      <x v="538"/>
      <x/>
      <x v="3"/>
    </i>
    <i>
      <x v="539"/>
      <x/>
      <x v="1"/>
    </i>
    <i>
      <x v="540"/>
      <x/>
      <x v="1"/>
    </i>
    <i>
      <x v="541"/>
      <x v="1"/>
      <x/>
    </i>
    <i>
      <x v="542"/>
      <x/>
      <x v="3"/>
    </i>
    <i>
      <x v="543"/>
      <x v="1"/>
      <x v="2"/>
    </i>
    <i>
      <x v="544"/>
      <x v="1"/>
      <x v="2"/>
    </i>
    <i>
      <x v="545"/>
      <x v="1"/>
      <x/>
    </i>
    <i>
      <x v="546"/>
      <x/>
      <x v="3"/>
    </i>
    <i>
      <x v="547"/>
      <x v="1"/>
      <x v="2"/>
    </i>
    <i>
      <x v="548"/>
      <x/>
      <x/>
    </i>
    <i>
      <x v="549"/>
      <x v="1"/>
      <x v="3"/>
    </i>
    <i>
      <x v="550"/>
      <x/>
      <x v="1"/>
    </i>
    <i>
      <x v="551"/>
      <x v="1"/>
      <x/>
    </i>
    <i>
      <x v="552"/>
      <x/>
      <x v="3"/>
    </i>
    <i>
      <x v="553"/>
      <x v="1"/>
      <x v="2"/>
    </i>
    <i>
      <x v="554"/>
      <x v="1"/>
      <x/>
    </i>
    <i>
      <x v="555"/>
      <x/>
      <x v="3"/>
    </i>
    <i>
      <x v="556"/>
      <x/>
      <x v="1"/>
    </i>
    <i>
      <x v="557"/>
      <x/>
      <x/>
    </i>
    <i>
      <x v="558"/>
      <x v="1"/>
      <x/>
    </i>
    <i>
      <x v="559"/>
      <x v="1"/>
      <x/>
    </i>
    <i>
      <x v="560"/>
      <x/>
      <x v="3"/>
    </i>
    <i>
      <x v="561"/>
      <x/>
      <x v="1"/>
    </i>
    <i>
      <x v="562"/>
      <x/>
      <x v="1"/>
    </i>
    <i>
      <x v="563"/>
      <x v="1"/>
      <x/>
    </i>
    <i>
      <x v="564"/>
      <x/>
      <x v="3"/>
    </i>
    <i>
      <x v="565"/>
      <x v="1"/>
      <x v="2"/>
    </i>
    <i>
      <x v="566"/>
      <x v="1"/>
      <x v="2"/>
    </i>
    <i>
      <x v="567"/>
      <x v="1"/>
      <x/>
    </i>
    <i>
      <x v="568"/>
      <x/>
      <x v="3"/>
    </i>
    <i>
      <x v="569"/>
      <x/>
      <x v="1"/>
    </i>
    <i>
      <x v="570"/>
      <x v="1"/>
      <x v="2"/>
    </i>
    <i>
      <x v="571"/>
      <x v="1"/>
      <x/>
    </i>
    <i>
      <x v="572"/>
      <x v="1"/>
      <x/>
    </i>
    <i>
      <x v="573"/>
      <x v="1"/>
      <x v="2"/>
    </i>
    <i>
      <x v="574"/>
      <x v="1"/>
      <x v="2"/>
    </i>
    <i>
      <x v="575"/>
      <x/>
      <x v="3"/>
    </i>
    <i>
      <x v="576"/>
      <x v="1"/>
      <x/>
    </i>
    <i>
      <x v="577"/>
      <x/>
      <x v="3"/>
    </i>
    <i>
      <x v="578"/>
      <x v="1"/>
      <x v="2"/>
    </i>
    <i>
      <x v="579"/>
      <x/>
      <x v="1"/>
    </i>
    <i>
      <x v="580"/>
      <x v="1"/>
      <x/>
    </i>
    <i>
      <x v="581"/>
      <x/>
      <x v="3"/>
    </i>
    <i>
      <x v="582"/>
      <x/>
      <x v="1"/>
    </i>
    <i>
      <x v="583"/>
      <x v="1"/>
      <x/>
    </i>
    <i>
      <x v="584"/>
      <x/>
      <x v="3"/>
    </i>
    <i>
      <x v="585"/>
      <x v="1"/>
      <x v="2"/>
    </i>
    <i>
      <x v="586"/>
      <x v="1"/>
      <x v="2"/>
    </i>
    <i>
      <x v="587"/>
      <x/>
      <x/>
    </i>
    <i>
      <x v="588"/>
      <x v="1"/>
      <x/>
    </i>
    <i>
      <x v="589"/>
      <x/>
      <x v="3"/>
    </i>
    <i>
      <x v="590"/>
      <x v="1"/>
      <x/>
    </i>
    <i>
      <x v="591"/>
      <x v="1"/>
      <x/>
    </i>
    <i>
      <x v="592"/>
      <x/>
      <x v="3"/>
    </i>
    <i>
      <x v="593"/>
      <x v="1"/>
      <x v="2"/>
    </i>
    <i>
      <x v="594"/>
      <x v="1"/>
      <x/>
    </i>
    <i>
      <x v="595"/>
      <x/>
      <x v="3"/>
    </i>
    <i>
      <x v="596"/>
      <x v="1"/>
      <x/>
    </i>
    <i>
      <x v="597"/>
      <x/>
      <x v="3"/>
    </i>
    <i>
      <x v="598"/>
      <x/>
      <x v="1"/>
    </i>
    <i>
      <x v="599"/>
      <x v="1"/>
      <x v="2"/>
    </i>
    <i>
      <x v="600"/>
      <x v="1"/>
      <x/>
    </i>
    <i>
      <x v="601"/>
      <x/>
      <x v="3"/>
    </i>
    <i>
      <x v="602"/>
      <x/>
      <x v="1"/>
    </i>
    <i>
      <x v="603"/>
      <x v="1"/>
      <x/>
    </i>
    <i>
      <x v="604"/>
      <x/>
      <x v="3"/>
    </i>
    <i>
      <x v="605"/>
      <x v="1"/>
      <x/>
    </i>
    <i>
      <x v="606"/>
      <x/>
      <x v="3"/>
    </i>
    <i>
      <x v="607"/>
      <x/>
      <x v="1"/>
    </i>
    <i>
      <x v="608"/>
      <x v="1"/>
      <x v="2"/>
    </i>
    <i>
      <x v="609"/>
      <x/>
      <x/>
    </i>
    <i>
      <x v="610"/>
      <x v="1"/>
      <x v="3"/>
    </i>
    <i>
      <x v="611"/>
      <x v="1"/>
      <x v="2"/>
    </i>
    <i>
      <x v="612"/>
      <x/>
      <x v="1"/>
    </i>
    <i>
      <x v="613"/>
      <x/>
      <x/>
    </i>
    <i>
      <x v="614"/>
      <x v="1"/>
      <x/>
    </i>
    <i>
      <x v="615"/>
      <x v="1"/>
      <x/>
    </i>
    <i>
      <x v="616"/>
      <x/>
      <x v="3"/>
    </i>
    <i>
      <x v="617"/>
      <x/>
      <x v="1"/>
    </i>
    <i>
      <x v="618"/>
      <x v="1"/>
      <x v="2"/>
    </i>
    <i>
      <x v="619"/>
      <x/>
      <x/>
    </i>
    <i>
      <x v="620"/>
      <x v="1"/>
      <x/>
    </i>
    <i>
      <x v="621"/>
      <x v="1"/>
      <x/>
    </i>
    <i>
      <x v="622"/>
      <x v="1"/>
      <x/>
    </i>
    <i>
      <x v="623"/>
      <x v="1"/>
      <x/>
    </i>
    <i>
      <x v="624"/>
      <x/>
      <x v="3"/>
    </i>
    <i>
      <x v="625"/>
      <x v="1"/>
      <x v="2"/>
    </i>
    <i>
      <x v="626"/>
      <x/>
      <x/>
    </i>
    <i>
      <x v="627"/>
      <x/>
      <x v="1"/>
    </i>
    <i>
      <x v="628"/>
      <x v="1"/>
      <x/>
    </i>
    <i>
      <x v="629"/>
      <x/>
      <x v="3"/>
    </i>
    <i>
      <x v="630"/>
      <x/>
      <x v="1"/>
    </i>
    <i>
      <x v="631"/>
      <x v="1"/>
      <x/>
    </i>
    <i>
      <x v="632"/>
      <x v="1"/>
      <x/>
    </i>
    <i>
      <x v="633"/>
      <x/>
      <x/>
    </i>
    <i>
      <x v="634"/>
      <x v="1"/>
      <x/>
    </i>
    <i>
      <x v="635"/>
      <x v="1"/>
      <x/>
    </i>
    <i>
      <x v="636"/>
      <x/>
      <x v="3"/>
    </i>
    <i>
      <x v="637"/>
      <x/>
      <x v="1"/>
    </i>
    <i>
      <x v="638"/>
      <x v="1"/>
      <x/>
    </i>
    <i>
      <x v="639"/>
      <x/>
      <x/>
    </i>
    <i>
      <x v="640"/>
      <x/>
      <x/>
    </i>
    <i>
      <x v="641"/>
      <x/>
      <x/>
    </i>
    <i>
      <x v="642"/>
      <x v="1"/>
      <x/>
    </i>
    <i>
      <x v="643"/>
      <x v="1"/>
      <x/>
    </i>
    <i>
      <x v="644"/>
      <x/>
      <x/>
    </i>
    <i>
      <x v="645"/>
      <x v="1"/>
      <x/>
    </i>
    <i>
      <x v="646"/>
      <x/>
      <x v="3"/>
    </i>
    <i>
      <x v="647"/>
      <x v="1"/>
      <x v="2"/>
    </i>
    <i>
      <x v="648"/>
      <x/>
      <x v="1"/>
    </i>
    <i>
      <x v="649"/>
      <x v="1"/>
      <x/>
    </i>
    <i>
      <x v="650"/>
      <x/>
      <x v="3"/>
    </i>
    <i>
      <x v="651"/>
      <x v="1"/>
      <x v="2"/>
    </i>
    <i>
      <x v="652"/>
      <x v="1"/>
      <x/>
    </i>
    <i>
      <x v="653"/>
      <x/>
      <x v="3"/>
    </i>
    <i>
      <x v="654"/>
      <x v="1"/>
      <x v="2"/>
    </i>
    <i>
      <x v="655"/>
      <x v="1"/>
      <x/>
    </i>
    <i>
      <x v="656"/>
      <x/>
      <x v="3"/>
    </i>
    <i>
      <x v="657"/>
      <x v="1"/>
      <x v="2"/>
    </i>
    <i>
      <x v="658"/>
      <x v="1"/>
      <x/>
    </i>
    <i>
      <x v="659"/>
      <x/>
      <x v="3"/>
    </i>
    <i>
      <x v="660"/>
      <x v="1"/>
      <x/>
    </i>
    <i>
      <x v="661"/>
      <x/>
      <x v="3"/>
    </i>
    <i>
      <x v="662"/>
      <x v="1"/>
      <x v="2"/>
    </i>
    <i>
      <x v="663"/>
      <x/>
      <x/>
    </i>
    <i>
      <x v="664"/>
      <x v="1"/>
      <x v="1"/>
    </i>
    <i>
      <x v="665"/>
      <x/>
      <x v="2"/>
    </i>
    <i>
      <x v="666"/>
      <x v="1"/>
      <x v="3"/>
    </i>
    <i>
      <x v="667"/>
      <x v="1"/>
      <x/>
    </i>
    <i>
      <x v="668"/>
      <x v="1"/>
      <x/>
    </i>
    <i>
      <x v="669"/>
      <x/>
      <x v="3"/>
    </i>
    <i>
      <x v="670"/>
      <x v="1"/>
      <x v="2"/>
    </i>
    <i>
      <x v="671"/>
      <x/>
      <x v="1"/>
    </i>
    <i>
      <x v="672"/>
      <x/>
      <x/>
    </i>
    <i>
      <x v="673"/>
      <x v="1"/>
      <x v="3"/>
    </i>
    <i>
      <x v="674"/>
      <x/>
      <x v="1"/>
    </i>
    <i>
      <x v="675"/>
      <x v="1"/>
      <x v="2"/>
    </i>
    <i>
      <x v="676"/>
      <x v="1"/>
      <x/>
    </i>
    <i>
      <x v="677"/>
      <x v="1"/>
      <x/>
    </i>
    <i>
      <x v="678"/>
      <x v="1"/>
      <x/>
    </i>
    <i>
      <x v="679"/>
      <x/>
      <x v="3"/>
    </i>
    <i>
      <x v="680"/>
      <x v="1"/>
      <x/>
    </i>
    <i>
      <x v="681"/>
      <x v="1"/>
      <x/>
    </i>
    <i>
      <x v="682"/>
      <x/>
      <x v="3"/>
    </i>
    <i>
      <x v="683"/>
      <x v="1"/>
      <x v="2"/>
    </i>
    <i>
      <x v="684"/>
      <x/>
      <x v="1"/>
    </i>
    <i>
      <x v="685"/>
      <x/>
      <x v="1"/>
    </i>
    <i>
      <x v="686"/>
      <x/>
      <x/>
    </i>
    <i>
      <x v="687"/>
      <x/>
      <x/>
    </i>
    <i>
      <x v="688"/>
      <x v="1"/>
      <x/>
    </i>
    <i>
      <x v="689"/>
      <x/>
      <x v="3"/>
    </i>
    <i>
      <x v="690"/>
      <x v="1"/>
      <x/>
    </i>
    <i>
      <x v="691"/>
      <x/>
      <x v="3"/>
    </i>
    <i>
      <x v="692"/>
      <x v="1"/>
      <x v="2"/>
    </i>
    <i>
      <x v="693"/>
      <x v="1"/>
      <x v="2"/>
    </i>
    <i>
      <x v="694"/>
      <x v="1"/>
      <x/>
    </i>
    <i>
      <x v="695"/>
      <x v="1"/>
      <x v="2"/>
    </i>
    <i>
      <x v="696"/>
      <x v="1"/>
      <x/>
    </i>
    <i>
      <x v="697"/>
      <x/>
      <x v="3"/>
    </i>
    <i>
      <x v="698"/>
      <x v="1"/>
      <x v="2"/>
    </i>
    <i>
      <x v="699"/>
      <x/>
      <x v="1"/>
    </i>
    <i>
      <x v="700"/>
      <x v="1"/>
      <x/>
    </i>
    <i>
      <x v="701"/>
      <x/>
      <x v="3"/>
    </i>
    <i>
      <x v="702"/>
      <x v="1"/>
      <x v="2"/>
    </i>
    <i>
      <x v="703"/>
      <x/>
      <x v="1"/>
    </i>
    <i>
      <x v="704"/>
      <x v="1"/>
      <x/>
    </i>
    <i>
      <x v="705"/>
      <x/>
      <x/>
    </i>
    <i>
      <x v="706"/>
      <x v="1"/>
      <x/>
    </i>
    <i>
      <x v="707"/>
      <x/>
      <x v="3"/>
    </i>
    <i>
      <x v="708"/>
      <x v="1"/>
      <x/>
    </i>
    <i>
      <x v="709"/>
      <x/>
      <x v="3"/>
    </i>
    <i>
      <x v="710"/>
      <x/>
      <x v="1"/>
    </i>
    <i>
      <x v="711"/>
      <x/>
      <x v="1"/>
    </i>
    <i>
      <x v="712"/>
      <x v="1"/>
      <x v="2"/>
    </i>
    <i>
      <x v="713"/>
      <x v="1"/>
      <x/>
    </i>
    <i>
      <x v="714"/>
      <x/>
      <x v="3"/>
    </i>
    <i>
      <x v="715"/>
      <x v="1"/>
      <x/>
    </i>
    <i>
      <x v="716"/>
      <x/>
      <x v="3"/>
    </i>
    <i>
      <x v="717"/>
      <x/>
      <x v="1"/>
    </i>
    <i>
      <x v="718"/>
      <x v="1"/>
      <x/>
    </i>
    <i>
      <x v="719"/>
      <x/>
      <x v="3"/>
    </i>
    <i>
      <x v="720"/>
      <x v="1"/>
      <x v="2"/>
    </i>
    <i>
      <x v="721"/>
      <x v="1"/>
      <x v="2"/>
    </i>
    <i>
      <x v="722"/>
      <x v="1"/>
      <x/>
    </i>
    <i>
      <x v="723"/>
      <x/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porting Sum Insured" fld="22" baseField="0" baseItem="0" numFmtId="3"/>
    <dataField name="Sum of GWP " fld="30" baseField="0" baseItem="0" numFmtId="164"/>
    <dataField name="Sum of No of Person Cover Per Day" fld="2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I9"/>
  <sheetViews>
    <sheetView workbookViewId="0">
      <selection sqref="A1:A1048576"/>
    </sheetView>
  </sheetViews>
  <sheetFormatPr defaultRowHeight="12.5" x14ac:dyDescent="0.25"/>
  <cols>
    <col min="1" max="1" width="9.1796875" style="18"/>
    <col min="6" max="6" width="34.1796875" customWidth="1"/>
  </cols>
  <sheetData>
    <row r="2" spans="6:9" ht="13" x14ac:dyDescent="0.3">
      <c r="F2" s="19" t="s">
        <v>39</v>
      </c>
      <c r="G2" s="19" t="s">
        <v>37</v>
      </c>
    </row>
    <row r="3" spans="6:9" ht="13" x14ac:dyDescent="0.3">
      <c r="F3" s="22" t="s">
        <v>20</v>
      </c>
      <c r="G3" s="21">
        <f>SuM!C8/100000</f>
        <v>32.378273653972627</v>
      </c>
    </row>
    <row r="4" spans="6:9" ht="13" x14ac:dyDescent="0.3">
      <c r="F4" s="22" t="s">
        <v>25</v>
      </c>
      <c r="G4" s="21">
        <f>SuM!C26/100000</f>
        <v>17.10753059676173</v>
      </c>
    </row>
    <row r="5" spans="6:9" ht="13" x14ac:dyDescent="0.3">
      <c r="F5" s="22" t="s">
        <v>40</v>
      </c>
      <c r="G5" s="21">
        <f>((60760+23748)*0.95)/100000</f>
        <v>0.80282599999999993</v>
      </c>
      <c r="I5" s="23">
        <f>G5*100000/G9</f>
        <v>743.35740740740732</v>
      </c>
    </row>
    <row r="6" spans="6:9" ht="13" x14ac:dyDescent="0.3">
      <c r="F6" s="22" t="s">
        <v>41</v>
      </c>
      <c r="G6" s="21">
        <f>((60760+23748)*0.95+154370)/100000</f>
        <v>2.3465259999999999</v>
      </c>
    </row>
    <row r="7" spans="6:9" ht="13" x14ac:dyDescent="0.3">
      <c r="F7" s="22" t="s">
        <v>38</v>
      </c>
      <c r="G7" s="21">
        <f>3%*G6</f>
        <v>7.0395779999999991E-2</v>
      </c>
    </row>
    <row r="8" spans="6:9" ht="13" x14ac:dyDescent="0.3">
      <c r="F8" s="22" t="s">
        <v>35</v>
      </c>
      <c r="G8" s="20">
        <v>1592</v>
      </c>
    </row>
    <row r="9" spans="6:9" ht="13" x14ac:dyDescent="0.3">
      <c r="F9" s="22" t="s">
        <v>36</v>
      </c>
      <c r="G9" s="20">
        <v>108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004"/>
  <sheetViews>
    <sheetView showGridLines="0" topLeftCell="C2" workbookViewId="0">
      <selection activeCell="H6" sqref="H6"/>
    </sheetView>
  </sheetViews>
  <sheetFormatPr defaultColWidth="14.453125" defaultRowHeight="15" customHeight="1" x14ac:dyDescent="0.25"/>
  <cols>
    <col min="1" max="1" width="39.26953125" customWidth="1"/>
    <col min="2" max="2" width="40.7265625" bestFit="1" customWidth="1"/>
    <col min="3" max="3" width="27" customWidth="1"/>
    <col min="4" max="4" width="7.453125" customWidth="1"/>
    <col min="5" max="6" width="12.1796875" customWidth="1"/>
    <col min="7" max="7" width="9.26953125" bestFit="1" customWidth="1"/>
    <col min="8" max="8" width="8.1796875" bestFit="1" customWidth="1"/>
    <col min="9" max="13" width="9.6328125" bestFit="1" customWidth="1"/>
    <col min="14" max="14" width="9.81640625" customWidth="1"/>
    <col min="15" max="15" width="14.26953125" customWidth="1"/>
  </cols>
  <sheetData>
    <row r="1" spans="1:15" ht="14.5" x14ac:dyDescent="0.35">
      <c r="A1" s="1" t="str">
        <f>C41&amp;":"</f>
        <v>A V GLOBAL CORPORATION PRIVATE LIMITED: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O1" s="3"/>
    </row>
    <row r="2" spans="1:15" ht="14.5" x14ac:dyDescent="0.35">
      <c r="A2" s="4" t="s">
        <v>3</v>
      </c>
      <c r="B2" s="4"/>
      <c r="C2" s="4" t="s">
        <v>4</v>
      </c>
      <c r="D2" s="1">
        <v>202602</v>
      </c>
      <c r="E2" s="3"/>
      <c r="F2" s="3"/>
      <c r="G2" s="3"/>
      <c r="H2" s="3"/>
      <c r="I2" s="3"/>
      <c r="J2" s="3"/>
      <c r="K2" s="3"/>
      <c r="L2" s="3"/>
      <c r="M2" s="3"/>
      <c r="O2" s="3"/>
    </row>
    <row r="3" spans="1:15" ht="14.5" x14ac:dyDescent="0.35">
      <c r="A3" s="5" t="s">
        <v>5</v>
      </c>
      <c r="B3" s="5"/>
      <c r="C3" s="6">
        <f>SUMIF(Details!B:B,$D$2,Details!AD:AD)</f>
        <v>11</v>
      </c>
      <c r="D3" s="3"/>
      <c r="E3" s="3"/>
      <c r="F3" s="3"/>
      <c r="G3" s="3"/>
      <c r="H3" s="3"/>
      <c r="I3" s="3"/>
      <c r="J3" s="3"/>
      <c r="K3" s="3"/>
      <c r="L3" s="3"/>
      <c r="M3" s="3"/>
      <c r="O3" s="3"/>
    </row>
    <row r="4" spans="1:15" ht="14.5" x14ac:dyDescent="0.35">
      <c r="A4" s="5" t="s">
        <v>12</v>
      </c>
      <c r="B4" s="5"/>
      <c r="C4" s="6">
        <f>SUMIF(Details!B:B,$D$2,Details!AE:AE)</f>
        <v>14562.143068493157</v>
      </c>
      <c r="D4" s="3"/>
      <c r="E4" s="3"/>
      <c r="F4" s="3"/>
      <c r="G4" s="3"/>
      <c r="H4" s="3"/>
      <c r="I4" s="3"/>
      <c r="J4" s="3"/>
      <c r="K4" s="3"/>
      <c r="L4" s="3"/>
      <c r="M4" s="3"/>
      <c r="O4" s="3"/>
    </row>
    <row r="5" spans="1:15" ht="14.5" x14ac:dyDescent="0.35">
      <c r="A5" s="3"/>
      <c r="B5" s="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O5" s="3"/>
    </row>
    <row r="6" spans="1:15" ht="14.5" x14ac:dyDescent="0.35">
      <c r="A6" s="4" t="s">
        <v>3</v>
      </c>
      <c r="B6" s="4" t="s">
        <v>63</v>
      </c>
      <c r="C6" s="7" t="s">
        <v>2</v>
      </c>
      <c r="D6" s="7"/>
      <c r="E6" s="7">
        <v>45809</v>
      </c>
      <c r="F6" s="7">
        <v>45839</v>
      </c>
      <c r="G6" s="7">
        <v>45870</v>
      </c>
      <c r="H6" s="7">
        <v>45901</v>
      </c>
      <c r="I6" s="7">
        <v>45931</v>
      </c>
      <c r="J6" s="7">
        <v>45962</v>
      </c>
      <c r="K6" s="7">
        <v>45992</v>
      </c>
      <c r="L6" s="7">
        <v>46023</v>
      </c>
      <c r="M6" s="7">
        <v>46054</v>
      </c>
      <c r="O6" s="7" t="s">
        <v>61</v>
      </c>
    </row>
    <row r="7" spans="1:15" ht="4.5" customHeight="1" x14ac:dyDescent="0.35">
      <c r="A7" s="8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</row>
    <row r="8" spans="1:15" ht="14.5" x14ac:dyDescent="0.35">
      <c r="A8" s="10" t="s">
        <v>20</v>
      </c>
      <c r="B8" s="10"/>
      <c r="C8" s="6">
        <f>Details!AE1</f>
        <v>3237827.3653972629</v>
      </c>
      <c r="D8" s="6"/>
      <c r="E8" s="6">
        <v>3079000.1700000004</v>
      </c>
      <c r="F8" s="6">
        <v>53716.787506849323</v>
      </c>
      <c r="G8" s="6">
        <v>25267.083945205475</v>
      </c>
      <c r="H8" s="6">
        <v>4579.0279726027366</v>
      </c>
      <c r="I8" s="6">
        <v>52998.260958904095</v>
      </c>
      <c r="J8" s="6">
        <v>3191.5686575342465</v>
      </c>
      <c r="K8" s="6">
        <v>4512.3232876712373</v>
      </c>
      <c r="L8" s="6">
        <v>0</v>
      </c>
      <c r="M8" s="6">
        <f>SUMIF(Details!$B:$B,$D$2,Details!$AE:$AE)</f>
        <v>14562.143068493157</v>
      </c>
      <c r="O8" s="6">
        <f>$C8-SUM(E8:M8)</f>
        <v>0</v>
      </c>
    </row>
    <row r="9" spans="1:15" ht="12.75" customHeight="1" x14ac:dyDescent="0.35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O9" s="6">
        <f t="shared" ref="O9:O38" si="0">$C9-SUM(E9:M9)</f>
        <v>0</v>
      </c>
    </row>
    <row r="10" spans="1:15" ht="14.5" x14ac:dyDescent="0.35">
      <c r="A10" s="11" t="s">
        <v>28</v>
      </c>
      <c r="B10" s="1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O10" s="6">
        <f t="shared" si="0"/>
        <v>0</v>
      </c>
    </row>
    <row r="11" spans="1:15" ht="14.5" x14ac:dyDescent="0.35">
      <c r="A11" s="5" t="s">
        <v>21</v>
      </c>
      <c r="B11" s="5"/>
      <c r="C11" s="6">
        <f>Details!AF1</f>
        <v>0</v>
      </c>
      <c r="D11" s="6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f>SUMIF(Details!$B:$B,$D$2,Details!$AF:$AF)</f>
        <v>0</v>
      </c>
      <c r="O11" s="6">
        <f t="shared" si="0"/>
        <v>0</v>
      </c>
    </row>
    <row r="12" spans="1:15" ht="14.5" x14ac:dyDescent="0.35">
      <c r="A12" s="5" t="s">
        <v>22</v>
      </c>
      <c r="B12" s="5"/>
      <c r="C12" s="6">
        <f>Details!AG1</f>
        <v>0</v>
      </c>
      <c r="D12" s="6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f>SUMIF(Details!$B:$B,$D$2,Details!$AG:$AG)</f>
        <v>0</v>
      </c>
      <c r="O12" s="6">
        <f t="shared" si="0"/>
        <v>0</v>
      </c>
    </row>
    <row r="13" spans="1:15" ht="14.5" x14ac:dyDescent="0.35">
      <c r="A13" s="5" t="s">
        <v>23</v>
      </c>
      <c r="B13" s="5"/>
      <c r="C13" s="6">
        <f>Details!AH1</f>
        <v>582808.92577150615</v>
      </c>
      <c r="D13" s="6"/>
      <c r="E13" s="6">
        <v>554220.03059999947</v>
      </c>
      <c r="F13" s="6">
        <v>9669.0217512328782</v>
      </c>
      <c r="G13" s="6">
        <v>4548.075110136986</v>
      </c>
      <c r="H13" s="6">
        <v>824.22503506849171</v>
      </c>
      <c r="I13" s="6">
        <v>9539.6869726027398</v>
      </c>
      <c r="J13" s="6">
        <v>574.48235835616435</v>
      </c>
      <c r="K13" s="6">
        <v>812.21819178082205</v>
      </c>
      <c r="L13" s="6">
        <v>0</v>
      </c>
      <c r="M13" s="6">
        <f>SUMIF(Details!$B:$B,$D$2,Details!$AH:$AH)</f>
        <v>2621.1857523287672</v>
      </c>
      <c r="O13" s="6">
        <f t="shared" si="0"/>
        <v>0</v>
      </c>
    </row>
    <row r="14" spans="1:15" ht="14.5" x14ac:dyDescent="0.35">
      <c r="A14" s="12" t="s">
        <v>64</v>
      </c>
      <c r="B14" s="12"/>
      <c r="C14" s="17">
        <f>SUM(C11:C13)</f>
        <v>582808.92577150615</v>
      </c>
      <c r="D14" s="17"/>
      <c r="E14" s="17">
        <v>554220.03059999947</v>
      </c>
      <c r="F14" s="17">
        <v>9669.0217512328782</v>
      </c>
      <c r="G14" s="17">
        <v>4548.075110136986</v>
      </c>
      <c r="H14" s="17">
        <v>824.22503506849171</v>
      </c>
      <c r="I14" s="17">
        <v>9539.6869726027398</v>
      </c>
      <c r="J14" s="17">
        <v>574.48235835616435</v>
      </c>
      <c r="K14" s="17">
        <v>812.21819178082205</v>
      </c>
      <c r="L14" s="17">
        <v>0</v>
      </c>
      <c r="M14" s="17">
        <f t="shared" ref="M14" si="1">SUM(M11:M13)</f>
        <v>2621.1857523287672</v>
      </c>
      <c r="O14" s="6">
        <f t="shared" si="0"/>
        <v>0</v>
      </c>
    </row>
    <row r="15" spans="1:15" ht="4.5" customHeight="1" x14ac:dyDescent="0.35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O15" s="6">
        <f t="shared" si="0"/>
        <v>0</v>
      </c>
    </row>
    <row r="16" spans="1:15" ht="14.5" x14ac:dyDescent="0.35">
      <c r="A16" s="11" t="s">
        <v>29</v>
      </c>
      <c r="B16" s="11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O16" s="6">
        <f t="shared" si="0"/>
        <v>0</v>
      </c>
    </row>
    <row r="17" spans="1:15" ht="14.5" x14ac:dyDescent="0.35">
      <c r="A17" s="5" t="s">
        <v>65</v>
      </c>
      <c r="B17" s="5"/>
      <c r="C17" s="6">
        <f>Details!AI1</f>
        <v>129513.09461588884</v>
      </c>
      <c r="D17" s="6"/>
      <c r="E17" s="6">
        <v>123160.00679999847</v>
      </c>
      <c r="F17" s="6">
        <v>2148.6715002739729</v>
      </c>
      <c r="G17" s="6">
        <v>1010.68335780822</v>
      </c>
      <c r="H17" s="6">
        <v>183.16111890410991</v>
      </c>
      <c r="I17" s="6">
        <v>2119.9304383561644</v>
      </c>
      <c r="J17" s="6">
        <v>127.66274630136986</v>
      </c>
      <c r="K17" s="6">
        <v>180.4929315068494</v>
      </c>
      <c r="L17" s="6">
        <v>0</v>
      </c>
      <c r="M17" s="6">
        <f>SUMIF(Details!$B:$B,$D$2,Details!$AI:$AI)</f>
        <v>582.48572273972638</v>
      </c>
      <c r="O17" s="6">
        <f t="shared" si="0"/>
        <v>0</v>
      </c>
    </row>
    <row r="18" spans="1:15" ht="14.5" x14ac:dyDescent="0.35">
      <c r="A18" s="5" t="s">
        <v>105</v>
      </c>
      <c r="B18" s="5"/>
      <c r="C18" s="6">
        <f>Details!AJ1</f>
        <v>728511.15721438534</v>
      </c>
      <c r="D18" s="6"/>
      <c r="E18" s="6">
        <v>692775.03825000173</v>
      </c>
      <c r="F18" s="6">
        <v>12086.277189041093</v>
      </c>
      <c r="G18" s="6">
        <v>5685.0938876712335</v>
      </c>
      <c r="H18" s="6">
        <v>1030.281293835616</v>
      </c>
      <c r="I18" s="6">
        <v>11924.608715753422</v>
      </c>
      <c r="J18" s="6">
        <v>718.10294794520553</v>
      </c>
      <c r="K18" s="6">
        <v>1015.2727397260278</v>
      </c>
      <c r="L18" s="6">
        <v>0</v>
      </c>
      <c r="M18" s="6">
        <f>SUMIF(Details!$B:$B,$D$2,Details!$AJ:$AJ)</f>
        <v>3276.4821904109567</v>
      </c>
      <c r="O18" s="6">
        <f t="shared" si="0"/>
        <v>0</v>
      </c>
    </row>
    <row r="19" spans="1:15" ht="4.5" customHeight="1" x14ac:dyDescent="0.35">
      <c r="A19" s="5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O19" s="6">
        <f t="shared" si="0"/>
        <v>0</v>
      </c>
    </row>
    <row r="20" spans="1:15" ht="14.5" x14ac:dyDescent="0.35">
      <c r="A20" s="11" t="s">
        <v>30</v>
      </c>
      <c r="B20" s="1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O20" s="6">
        <f t="shared" si="0"/>
        <v>0</v>
      </c>
    </row>
    <row r="21" spans="1:15" ht="14.5" x14ac:dyDescent="0.35">
      <c r="A21" s="5" t="s">
        <v>66</v>
      </c>
      <c r="B21" s="5"/>
      <c r="C21" s="6">
        <f>ROUND(C17*10%,0)</f>
        <v>12951</v>
      </c>
      <c r="D21" s="6"/>
      <c r="E21" s="6">
        <v>12316</v>
      </c>
      <c r="F21" s="6">
        <v>215</v>
      </c>
      <c r="G21" s="6">
        <v>101</v>
      </c>
      <c r="H21" s="6">
        <v>18</v>
      </c>
      <c r="I21" s="6">
        <v>212</v>
      </c>
      <c r="J21" s="6">
        <v>13</v>
      </c>
      <c r="K21" s="6">
        <v>18</v>
      </c>
      <c r="L21" s="6">
        <v>0</v>
      </c>
      <c r="M21" s="6">
        <f t="shared" ref="M21" si="2">ROUND(M17*10%,0)</f>
        <v>58</v>
      </c>
      <c r="O21" s="6">
        <f t="shared" si="0"/>
        <v>0</v>
      </c>
    </row>
    <row r="22" spans="1:15" ht="14.5" x14ac:dyDescent="0.35">
      <c r="A22" s="5" t="s">
        <v>106</v>
      </c>
      <c r="B22" s="5"/>
      <c r="C22" s="6">
        <f>ROUND(C18*50%,0)</f>
        <v>364256</v>
      </c>
      <c r="D22" s="6"/>
      <c r="E22" s="6">
        <v>346388</v>
      </c>
      <c r="F22" s="6">
        <v>6043</v>
      </c>
      <c r="G22" s="6">
        <v>2843</v>
      </c>
      <c r="H22" s="6">
        <v>515</v>
      </c>
      <c r="I22" s="6">
        <v>5962</v>
      </c>
      <c r="J22" s="6">
        <v>359</v>
      </c>
      <c r="K22" s="6">
        <v>508</v>
      </c>
      <c r="L22" s="6">
        <v>0</v>
      </c>
      <c r="M22" s="6">
        <f t="shared" ref="M22" si="3">ROUND(M18*50%,0)</f>
        <v>1638</v>
      </c>
      <c r="O22" s="6">
        <f t="shared" si="0"/>
        <v>0</v>
      </c>
    </row>
    <row r="23" spans="1:15" ht="4.5" customHeight="1" x14ac:dyDescent="0.35">
      <c r="A23" s="5"/>
      <c r="B23" s="5"/>
      <c r="C23" s="6"/>
      <c r="D23" s="6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f t="shared" ref="M23" si="4">ROUND(M19*10%,0)</f>
        <v>0</v>
      </c>
      <c r="O23" s="6">
        <f t="shared" si="0"/>
        <v>0</v>
      </c>
    </row>
    <row r="24" spans="1:15" ht="15" customHeight="1" x14ac:dyDescent="0.35">
      <c r="A24" s="10" t="s">
        <v>24</v>
      </c>
      <c r="B24" s="10"/>
      <c r="C24" s="6">
        <f>Details!AK1</f>
        <v>2327555.1832328513</v>
      </c>
      <c r="D24" s="6"/>
      <c r="E24" s="6">
        <v>177147.95498630317</v>
      </c>
      <c r="F24" s="6">
        <v>266344.88104109804</v>
      </c>
      <c r="G24" s="6">
        <v>269822.00268493331</v>
      </c>
      <c r="H24" s="6">
        <v>259522.77230136294</v>
      </c>
      <c r="I24" s="6">
        <v>280278.24986301805</v>
      </c>
      <c r="J24" s="6">
        <v>266764.70712329051</v>
      </c>
      <c r="K24" s="6">
        <v>275927.85652051982</v>
      </c>
      <c r="L24" s="6">
        <v>276569.75457536266</v>
      </c>
      <c r="M24" s="6">
        <f>$C24-SUM($D24:L24)</f>
        <v>255177.00413696282</v>
      </c>
      <c r="O24" s="6">
        <f t="shared" si="0"/>
        <v>0</v>
      </c>
    </row>
    <row r="25" spans="1:15" ht="4.5" customHeight="1" x14ac:dyDescent="0.3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O25" s="6">
        <f t="shared" si="0"/>
        <v>0</v>
      </c>
    </row>
    <row r="26" spans="1:15" ht="15.75" customHeight="1" x14ac:dyDescent="0.35">
      <c r="A26" s="10" t="s">
        <v>25</v>
      </c>
      <c r="B26" s="10"/>
      <c r="C26" s="6">
        <f>Details!AL1</f>
        <v>1710753.0596761731</v>
      </c>
      <c r="D26" s="6"/>
      <c r="E26" s="6">
        <v>130203.7469149337</v>
      </c>
      <c r="F26" s="6">
        <v>195763.48756520313</v>
      </c>
      <c r="G26" s="6">
        <v>198319.17197342304</v>
      </c>
      <c r="H26" s="6">
        <v>190749.23764150345</v>
      </c>
      <c r="I26" s="6">
        <v>206004.51364931231</v>
      </c>
      <c r="J26" s="6">
        <v>196072.05973561329</v>
      </c>
      <c r="K26" s="6">
        <v>202806.97454262036</v>
      </c>
      <c r="L26" s="6">
        <v>203278.76961286296</v>
      </c>
      <c r="M26" s="6">
        <f>$C26-SUM($D26:L26)</f>
        <v>187555.09804070089</v>
      </c>
      <c r="O26" s="6">
        <f t="shared" si="0"/>
        <v>0</v>
      </c>
    </row>
    <row r="27" spans="1:15" ht="4.5" customHeight="1" x14ac:dyDescent="0.35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O27" s="6">
        <f t="shared" si="0"/>
        <v>0</v>
      </c>
    </row>
    <row r="28" spans="1:15" ht="15.75" customHeight="1" x14ac:dyDescent="0.35">
      <c r="A28" s="10" t="s">
        <v>26</v>
      </c>
      <c r="B28" s="10"/>
      <c r="C28" s="6">
        <f>C8-C17-C26-C18</f>
        <v>669050.05389081559</v>
      </c>
      <c r="D28" s="6"/>
      <c r="E28" s="6">
        <v>2132861.3780350662</v>
      </c>
      <c r="F28" s="6">
        <v>-156281.64874766886</v>
      </c>
      <c r="G28" s="6">
        <v>-179747.86527369704</v>
      </c>
      <c r="H28" s="6">
        <v>-187383.65208164044</v>
      </c>
      <c r="I28" s="6">
        <v>-167050.79184451781</v>
      </c>
      <c r="J28" s="6">
        <v>-193726.25677232564</v>
      </c>
      <c r="K28" s="6">
        <v>-199490.41692618199</v>
      </c>
      <c r="L28" s="6">
        <v>-203278.76961286296</v>
      </c>
      <c r="M28" s="6">
        <f t="shared" ref="M28" si="5">M8-M17-M26-M18</f>
        <v>-176851.92288535842</v>
      </c>
      <c r="O28" s="6">
        <f t="shared" si="0"/>
        <v>2.7939677238464355E-9</v>
      </c>
    </row>
    <row r="29" spans="1:15" ht="4.5" customHeight="1" x14ac:dyDescent="0.35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O29" s="6">
        <f t="shared" si="0"/>
        <v>0</v>
      </c>
    </row>
    <row r="30" spans="1:15" ht="14.5" x14ac:dyDescent="0.35">
      <c r="A30" s="10" t="s">
        <v>67</v>
      </c>
      <c r="B30" s="10"/>
      <c r="C30" s="6">
        <f>Details!X1</f>
        <v>245</v>
      </c>
      <c r="D30" s="6"/>
      <c r="E30" s="6">
        <v>232</v>
      </c>
      <c r="F30" s="6">
        <v>5</v>
      </c>
      <c r="G30" s="6">
        <v>2</v>
      </c>
      <c r="H30" s="6">
        <v>3</v>
      </c>
      <c r="I30" s="6">
        <v>2</v>
      </c>
      <c r="J30" s="6">
        <v>0</v>
      </c>
      <c r="K30" s="6">
        <v>-1</v>
      </c>
      <c r="L30" s="6">
        <v>0</v>
      </c>
      <c r="M30" s="6">
        <f>SUMIF(Details!$B:$B,$D$2,Details!$X:$X)</f>
        <v>2</v>
      </c>
      <c r="O30" s="6">
        <f t="shared" si="0"/>
        <v>0</v>
      </c>
    </row>
    <row r="31" spans="1:15" ht="4.5" customHeight="1" x14ac:dyDescent="0.35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O31" s="6">
        <f t="shared" si="0"/>
        <v>0</v>
      </c>
    </row>
    <row r="32" spans="1:15" ht="15.75" customHeight="1" x14ac:dyDescent="0.35">
      <c r="A32" s="10" t="s">
        <v>68</v>
      </c>
      <c r="B32" s="10"/>
      <c r="C32" s="6">
        <f>Details!AD1</f>
        <v>688</v>
      </c>
      <c r="D32" s="6"/>
      <c r="E32" s="6">
        <v>645</v>
      </c>
      <c r="F32" s="6">
        <v>15</v>
      </c>
      <c r="G32" s="6">
        <v>5</v>
      </c>
      <c r="H32" s="6">
        <v>3</v>
      </c>
      <c r="I32" s="6">
        <v>6</v>
      </c>
      <c r="J32" s="6">
        <v>1</v>
      </c>
      <c r="K32" s="6">
        <v>2</v>
      </c>
      <c r="L32" s="6">
        <v>0</v>
      </c>
      <c r="M32" s="6">
        <f>SUMIF(Details!$B:$B,$D$2,Details!$AD:$AD)</f>
        <v>11</v>
      </c>
      <c r="O32" s="6">
        <f t="shared" si="0"/>
        <v>0</v>
      </c>
    </row>
    <row r="33" spans="1:15" ht="2.5" customHeight="1" x14ac:dyDescent="0.35">
      <c r="A33" s="10"/>
      <c r="B33" s="10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O33" s="6">
        <f t="shared" si="0"/>
        <v>0</v>
      </c>
    </row>
    <row r="34" spans="1:15" ht="14.5" x14ac:dyDescent="0.35">
      <c r="A34" s="10" t="s">
        <v>127</v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O34" s="6">
        <f t="shared" si="0"/>
        <v>0</v>
      </c>
    </row>
    <row r="35" spans="1:15" ht="14.5" x14ac:dyDescent="0.35">
      <c r="A35" s="10" t="s">
        <v>101</v>
      </c>
      <c r="B35" s="10"/>
      <c r="C35" s="6">
        <f>9.75%*C8</f>
        <v>315688.16812623315</v>
      </c>
      <c r="D35" s="6"/>
      <c r="E35" s="6">
        <v>300202.51657500007</v>
      </c>
      <c r="F35" s="6">
        <v>5237.3867819176521</v>
      </c>
      <c r="G35" s="6">
        <v>2463.5406846575206</v>
      </c>
      <c r="H35" s="6">
        <v>446.45522732887184</v>
      </c>
      <c r="I35" s="6">
        <v>5167.330443493207</v>
      </c>
      <c r="J35" s="6">
        <v>311.1779441095423</v>
      </c>
      <c r="K35" s="6">
        <v>439.95152054814389</v>
      </c>
      <c r="L35" s="6">
        <v>0</v>
      </c>
      <c r="M35" s="6">
        <f>$C35-SUM($D35:L35)</f>
        <v>1419.8089491781429</v>
      </c>
      <c r="O35" s="6">
        <f t="shared" si="0"/>
        <v>0</v>
      </c>
    </row>
    <row r="36" spans="1:15" ht="4.5" customHeight="1" x14ac:dyDescent="0.35">
      <c r="A36" s="5"/>
      <c r="B36" s="5"/>
      <c r="C36" s="6"/>
      <c r="D36" s="65"/>
      <c r="E36" s="65"/>
      <c r="F36" s="65"/>
      <c r="G36" s="65"/>
      <c r="H36" s="65"/>
      <c r="I36" s="65"/>
      <c r="J36" s="65"/>
      <c r="K36" s="65"/>
      <c r="L36" s="65"/>
      <c r="M36" s="65"/>
      <c r="O36" s="6">
        <f t="shared" si="0"/>
        <v>0</v>
      </c>
    </row>
    <row r="37" spans="1:15" ht="15.75" customHeight="1" x14ac:dyDescent="0.35">
      <c r="A37" s="10" t="s">
        <v>69</v>
      </c>
      <c r="B37" s="10"/>
      <c r="C37" s="64">
        <f>Details!W1</f>
        <v>79100000</v>
      </c>
      <c r="D37" s="66"/>
      <c r="E37" s="66">
        <v>73100000</v>
      </c>
      <c r="F37" s="66">
        <v>1500000</v>
      </c>
      <c r="G37" s="66">
        <v>600000</v>
      </c>
      <c r="H37" s="66">
        <v>1600000</v>
      </c>
      <c r="I37" s="66">
        <v>2000000</v>
      </c>
      <c r="J37" s="66">
        <v>0</v>
      </c>
      <c r="K37" s="66">
        <v>-300000</v>
      </c>
      <c r="L37" s="66">
        <v>0</v>
      </c>
      <c r="M37" s="66">
        <f>$C37-SUM($D37:L37)</f>
        <v>600000</v>
      </c>
      <c r="O37" s="6">
        <f t="shared" si="0"/>
        <v>0</v>
      </c>
    </row>
    <row r="38" spans="1:15" ht="3.65" customHeight="1" x14ac:dyDescent="0.35">
      <c r="A38" s="10"/>
      <c r="B38" s="10"/>
      <c r="C38" s="64"/>
      <c r="D38" s="66"/>
      <c r="E38" s="66"/>
      <c r="F38" s="66"/>
      <c r="G38" s="66"/>
      <c r="H38" s="66"/>
      <c r="I38" s="66"/>
      <c r="J38" s="66"/>
      <c r="K38" s="66"/>
      <c r="L38" s="66"/>
      <c r="M38" s="66"/>
      <c r="O38" s="6">
        <f t="shared" si="0"/>
        <v>0</v>
      </c>
    </row>
    <row r="39" spans="1:15" ht="15.75" customHeight="1" x14ac:dyDescent="0.35">
      <c r="A39" s="13" t="s">
        <v>32</v>
      </c>
      <c r="B39" s="13"/>
      <c r="C39" s="13" t="str">
        <f>Details!C3</f>
        <v>GMC021090100AV</v>
      </c>
      <c r="D39" s="3"/>
      <c r="E39" s="3"/>
      <c r="F39" s="3"/>
      <c r="G39" s="3"/>
      <c r="H39" s="3"/>
      <c r="I39" s="3"/>
      <c r="J39" s="3"/>
      <c r="K39" s="3"/>
      <c r="L39" s="3"/>
      <c r="M39" s="3"/>
      <c r="O39" s="3"/>
    </row>
    <row r="40" spans="1:15" ht="14.5" x14ac:dyDescent="0.35">
      <c r="A40" s="14" t="s">
        <v>33</v>
      </c>
      <c r="B40" s="14"/>
      <c r="C40" s="14" t="s">
        <v>123</v>
      </c>
      <c r="D40" s="3"/>
      <c r="E40" s="3"/>
      <c r="F40" s="3"/>
      <c r="G40" s="3"/>
      <c r="H40" s="3"/>
      <c r="I40" s="3"/>
      <c r="J40" s="3"/>
      <c r="K40" s="3"/>
      <c r="L40" s="3"/>
      <c r="M40" s="3"/>
      <c r="O40" s="3"/>
    </row>
    <row r="41" spans="1:15" ht="29" x14ac:dyDescent="0.35">
      <c r="A41" s="15" t="s">
        <v>34</v>
      </c>
      <c r="B41" s="15"/>
      <c r="C41" s="16" t="str">
        <f>Details!D3</f>
        <v>A V GLOBAL CORPORATION PRIVATE LIMITED</v>
      </c>
      <c r="D41" s="3"/>
      <c r="E41" s="3"/>
      <c r="F41" s="3"/>
      <c r="G41" s="3"/>
      <c r="H41" s="3"/>
      <c r="I41" s="3"/>
      <c r="J41" s="3"/>
      <c r="K41" s="3"/>
      <c r="L41" s="3"/>
      <c r="M41" s="3"/>
      <c r="O41" s="3"/>
    </row>
    <row r="42" spans="1:15" ht="15.75" customHeight="1" x14ac:dyDescent="0.35">
      <c r="A42" s="3"/>
      <c r="B42" s="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O42" s="3"/>
    </row>
    <row r="43" spans="1:15" ht="15.75" customHeight="1" x14ac:dyDescent="0.35">
      <c r="A43" s="10" t="s">
        <v>70</v>
      </c>
      <c r="B43" s="12" t="s">
        <v>124</v>
      </c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O43" s="3"/>
    </row>
    <row r="44" spans="1:15" ht="15.75" customHeight="1" x14ac:dyDescent="0.35">
      <c r="A44" s="10" t="s">
        <v>8</v>
      </c>
      <c r="B44" s="12" t="str">
        <f>Details!C3</f>
        <v>GMC021090100AV</v>
      </c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O44" s="3"/>
    </row>
    <row r="45" spans="1:15" ht="15.75" customHeight="1" x14ac:dyDescent="0.35">
      <c r="A45" s="10" t="s">
        <v>71</v>
      </c>
      <c r="B45" s="54">
        <f>Details!E3</f>
        <v>45818</v>
      </c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</row>
    <row r="46" spans="1:15" ht="15.75" customHeight="1" x14ac:dyDescent="0.35">
      <c r="A46" s="10" t="s">
        <v>72</v>
      </c>
      <c r="B46" s="54">
        <f>Details!F3</f>
        <v>46182</v>
      </c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O46" s="3"/>
    </row>
    <row r="47" spans="1:15" ht="15.75" customHeight="1" x14ac:dyDescent="0.35">
      <c r="A47" s="10" t="s">
        <v>18</v>
      </c>
      <c r="B47" s="12" t="str">
        <f>Details!AB3</f>
        <v>Delhi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O47" s="3"/>
    </row>
    <row r="48" spans="1:15" ht="15.75" customHeight="1" x14ac:dyDescent="0.35">
      <c r="A48" s="10" t="s">
        <v>73</v>
      </c>
      <c r="B48" s="12" t="s">
        <v>74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O48" s="3"/>
    </row>
    <row r="49" spans="1:15" ht="15.75" customHeight="1" x14ac:dyDescent="0.35">
      <c r="A49" s="10" t="s">
        <v>75</v>
      </c>
      <c r="B49" s="12" t="s">
        <v>111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O49" s="3"/>
    </row>
    <row r="50" spans="1:15" ht="15.75" customHeight="1" x14ac:dyDescent="0.35">
      <c r="A50" s="10" t="s">
        <v>76</v>
      </c>
      <c r="B50" s="12" t="s">
        <v>74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O50" s="3"/>
    </row>
    <row r="51" spans="1:15" ht="15.75" customHeight="1" x14ac:dyDescent="0.35">
      <c r="A51" s="10" t="s">
        <v>77</v>
      </c>
      <c r="B51" s="12" t="s">
        <v>126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O51" s="3"/>
    </row>
    <row r="52" spans="1:15" ht="15.75" customHeight="1" x14ac:dyDescent="0.35">
      <c r="A52" s="10" t="s">
        <v>78</v>
      </c>
      <c r="B52" s="12" t="s">
        <v>92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O52" s="3"/>
    </row>
    <row r="53" spans="1:15" ht="15.75" customHeight="1" x14ac:dyDescent="0.35">
      <c r="A53" s="10" t="s">
        <v>79</v>
      </c>
      <c r="B53" s="12" t="str">
        <f>B51</f>
        <v>KMD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O53" s="3"/>
    </row>
    <row r="54" spans="1:15" ht="15.75" customHeight="1" x14ac:dyDescent="0.35">
      <c r="A54" s="10" t="s">
        <v>80</v>
      </c>
      <c r="B54" s="1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O54" s="3"/>
    </row>
    <row r="55" spans="1:15" ht="15.75" customHeight="1" x14ac:dyDescent="0.35">
      <c r="A55" s="10" t="s">
        <v>81</v>
      </c>
      <c r="B55" s="12">
        <v>706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O55" s="3"/>
    </row>
    <row r="56" spans="1:15" ht="15.75" customHeight="1" x14ac:dyDescent="0.35">
      <c r="A56" s="10" t="s">
        <v>82</v>
      </c>
      <c r="B56" s="1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O56" s="3"/>
    </row>
    <row r="57" spans="1:15" ht="15.75" customHeight="1" x14ac:dyDescent="0.35">
      <c r="A57" s="10" t="s">
        <v>83</v>
      </c>
      <c r="B57" s="1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O57" s="3"/>
    </row>
    <row r="58" spans="1:15" ht="15.75" customHeight="1" x14ac:dyDescent="0.35">
      <c r="A58" s="10" t="s">
        <v>84</v>
      </c>
      <c r="B58" s="12" t="s">
        <v>116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O58" s="3"/>
    </row>
    <row r="59" spans="1:15" ht="15.75" customHeight="1" x14ac:dyDescent="0.35">
      <c r="A59" s="10" t="s">
        <v>85</v>
      </c>
      <c r="B59" s="1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O59" s="3"/>
    </row>
    <row r="60" spans="1:15" ht="15.75" customHeight="1" x14ac:dyDescent="0.35">
      <c r="A60" s="10" t="s">
        <v>86</v>
      </c>
      <c r="B60" s="1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O60" s="3"/>
    </row>
    <row r="61" spans="1:15" ht="15.75" customHeight="1" x14ac:dyDescent="0.35">
      <c r="A61" s="10" t="s">
        <v>87</v>
      </c>
      <c r="B61" s="1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O61" s="3"/>
    </row>
    <row r="62" spans="1:15" ht="15.75" customHeight="1" x14ac:dyDescent="0.35">
      <c r="A62" s="10" t="s">
        <v>88</v>
      </c>
      <c r="B62" s="1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O62" s="3"/>
    </row>
    <row r="63" spans="1:15" ht="15.75" customHeight="1" x14ac:dyDescent="0.35">
      <c r="A63" s="10" t="s">
        <v>89</v>
      </c>
      <c r="B63" s="1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</row>
    <row r="64" spans="1:15" ht="15.75" customHeight="1" x14ac:dyDescent="0.35">
      <c r="A64" s="10" t="s">
        <v>90</v>
      </c>
      <c r="B64" s="1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</row>
    <row r="65" spans="1:15" ht="15.75" customHeight="1" x14ac:dyDescent="0.35">
      <c r="A65" s="10" t="s">
        <v>91</v>
      </c>
      <c r="B65" s="1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O65" s="3"/>
    </row>
    <row r="66" spans="1:15" ht="15.75" customHeight="1" x14ac:dyDescent="0.35">
      <c r="A66" s="3"/>
      <c r="B66" s="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O66" s="3"/>
    </row>
    <row r="67" spans="1:15" ht="15.75" customHeight="1" x14ac:dyDescent="0.35">
      <c r="A67" s="3"/>
      <c r="B67" s="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O67" s="3"/>
    </row>
    <row r="68" spans="1:15" ht="15.75" customHeight="1" x14ac:dyDescent="0.35">
      <c r="A68" s="3"/>
      <c r="B68" s="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O68" s="3"/>
    </row>
    <row r="69" spans="1:15" ht="15.75" customHeight="1" x14ac:dyDescent="0.35">
      <c r="A69" s="3"/>
      <c r="B69" s="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</row>
    <row r="70" spans="1:15" ht="15.75" customHeight="1" x14ac:dyDescent="0.35">
      <c r="A70" s="3"/>
      <c r="B70" s="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O70" s="3"/>
    </row>
    <row r="71" spans="1:15" ht="15.75" customHeight="1" x14ac:dyDescent="0.35">
      <c r="A71" s="3"/>
      <c r="B71" s="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O71" s="3"/>
    </row>
    <row r="72" spans="1:15" ht="15.75" customHeight="1" x14ac:dyDescent="0.35">
      <c r="A72" s="3"/>
      <c r="B72" s="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O72" s="3"/>
    </row>
    <row r="73" spans="1:15" ht="15.75" customHeight="1" x14ac:dyDescent="0.35">
      <c r="A73" s="3"/>
      <c r="B73" s="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O73" s="3"/>
    </row>
    <row r="74" spans="1:15" ht="15.75" customHeight="1" x14ac:dyDescent="0.35">
      <c r="A74" s="3"/>
      <c r="B74" s="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O74" s="3"/>
    </row>
    <row r="75" spans="1:15" ht="15.75" customHeight="1" x14ac:dyDescent="0.35">
      <c r="A75" s="3"/>
      <c r="B75" s="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O75" s="3"/>
    </row>
    <row r="76" spans="1:15" ht="15.75" customHeight="1" x14ac:dyDescent="0.35">
      <c r="A76" s="3"/>
      <c r="B76" s="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O76" s="3"/>
    </row>
    <row r="77" spans="1:15" ht="15.75" customHeight="1" x14ac:dyDescent="0.35">
      <c r="A77" s="3"/>
      <c r="B77" s="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O77" s="3"/>
    </row>
    <row r="78" spans="1:15" ht="15.75" customHeight="1" x14ac:dyDescent="0.35">
      <c r="A78" s="3"/>
      <c r="B78" s="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O78" s="3"/>
    </row>
    <row r="79" spans="1:15" ht="15.75" customHeight="1" x14ac:dyDescent="0.35">
      <c r="A79" s="3"/>
      <c r="B79" s="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O79" s="3"/>
    </row>
    <row r="80" spans="1:15" ht="15.75" customHeight="1" x14ac:dyDescent="0.35">
      <c r="A80" s="3"/>
      <c r="B80" s="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O80" s="3"/>
    </row>
    <row r="81" spans="1:15" ht="15.75" customHeight="1" x14ac:dyDescent="0.35">
      <c r="A81" s="3"/>
      <c r="B81" s="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O81" s="3"/>
    </row>
    <row r="82" spans="1:15" ht="15.75" customHeight="1" x14ac:dyDescent="0.35">
      <c r="A82" s="3"/>
      <c r="B82" s="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O82" s="3"/>
    </row>
    <row r="83" spans="1:15" ht="15.75" customHeight="1" x14ac:dyDescent="0.35">
      <c r="A83" s="3"/>
      <c r="B83" s="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O83" s="3"/>
    </row>
    <row r="84" spans="1:15" ht="15.75" customHeight="1" x14ac:dyDescent="0.35">
      <c r="A84" s="3"/>
      <c r="B84" s="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O84" s="3"/>
    </row>
    <row r="85" spans="1:15" ht="15.75" customHeight="1" x14ac:dyDescent="0.35">
      <c r="A85" s="3"/>
      <c r="B85" s="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O85" s="3"/>
    </row>
    <row r="86" spans="1:15" ht="15.75" customHeight="1" x14ac:dyDescent="0.35">
      <c r="A86" s="3"/>
      <c r="B86" s="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O86" s="3"/>
    </row>
    <row r="87" spans="1:15" ht="15.75" customHeight="1" x14ac:dyDescent="0.35">
      <c r="A87" s="3"/>
      <c r="B87" s="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O87" s="3"/>
    </row>
    <row r="88" spans="1:15" ht="15.75" customHeight="1" x14ac:dyDescent="0.35">
      <c r="A88" s="3"/>
      <c r="B88" s="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O88" s="3"/>
    </row>
    <row r="89" spans="1:15" ht="15.75" customHeight="1" x14ac:dyDescent="0.35">
      <c r="A89" s="3"/>
      <c r="B89" s="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O89" s="3"/>
    </row>
    <row r="90" spans="1:15" ht="15.75" customHeight="1" x14ac:dyDescent="0.35">
      <c r="A90" s="3"/>
      <c r="B90" s="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O90" s="3"/>
    </row>
    <row r="91" spans="1:15" ht="15.75" customHeight="1" x14ac:dyDescent="0.35">
      <c r="A91" s="3"/>
      <c r="B91" s="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O91" s="3"/>
    </row>
    <row r="92" spans="1:15" ht="15.75" customHeight="1" x14ac:dyDescent="0.35">
      <c r="A92" s="3"/>
      <c r="B92" s="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O92" s="3"/>
    </row>
    <row r="93" spans="1:15" ht="15.75" customHeight="1" x14ac:dyDescent="0.35">
      <c r="A93" s="3"/>
      <c r="B93" s="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O93" s="3"/>
    </row>
    <row r="94" spans="1:15" ht="15.75" customHeight="1" x14ac:dyDescent="0.35">
      <c r="A94" s="3"/>
      <c r="B94" s="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O94" s="3"/>
    </row>
    <row r="95" spans="1:15" ht="15.75" customHeight="1" x14ac:dyDescent="0.35">
      <c r="A95" s="3"/>
      <c r="B95" s="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O95" s="3"/>
    </row>
    <row r="96" spans="1:15" ht="15.75" customHeight="1" x14ac:dyDescent="0.35">
      <c r="A96" s="3"/>
      <c r="B96" s="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O96" s="3"/>
    </row>
    <row r="97" spans="1:15" ht="15.75" customHeight="1" x14ac:dyDescent="0.35">
      <c r="A97" s="3"/>
      <c r="B97" s="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O97" s="3"/>
    </row>
    <row r="98" spans="1:15" ht="15.75" customHeight="1" x14ac:dyDescent="0.35">
      <c r="A98" s="3"/>
      <c r="B98" s="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O98" s="3"/>
    </row>
    <row r="99" spans="1:15" ht="15.75" customHeight="1" x14ac:dyDescent="0.35">
      <c r="A99" s="3"/>
      <c r="B99" s="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O99" s="3"/>
    </row>
    <row r="100" spans="1:15" ht="15.75" customHeight="1" x14ac:dyDescent="0.35">
      <c r="A100" s="3"/>
      <c r="B100" s="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O100" s="3"/>
    </row>
    <row r="101" spans="1:15" ht="15.75" customHeight="1" x14ac:dyDescent="0.35">
      <c r="A101" s="3"/>
      <c r="B101" s="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O101" s="3"/>
    </row>
    <row r="102" spans="1:15" ht="15.75" customHeight="1" x14ac:dyDescent="0.35">
      <c r="A102" s="3"/>
      <c r="B102" s="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O102" s="3"/>
    </row>
    <row r="103" spans="1:15" ht="15.75" customHeight="1" x14ac:dyDescent="0.35">
      <c r="A103" s="3"/>
      <c r="B103" s="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O103" s="3"/>
    </row>
    <row r="104" spans="1:15" ht="15.75" customHeight="1" x14ac:dyDescent="0.35">
      <c r="A104" s="3"/>
      <c r="B104" s="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O104" s="3"/>
    </row>
    <row r="105" spans="1:15" ht="15.75" customHeight="1" x14ac:dyDescent="0.35">
      <c r="A105" s="3"/>
      <c r="B105" s="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O105" s="3"/>
    </row>
    <row r="106" spans="1:15" ht="15.75" customHeight="1" x14ac:dyDescent="0.35">
      <c r="A106" s="3"/>
      <c r="B106" s="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O106" s="3"/>
    </row>
    <row r="107" spans="1:15" ht="15.75" customHeight="1" x14ac:dyDescent="0.35">
      <c r="A107" s="3"/>
      <c r="B107" s="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O107" s="3"/>
    </row>
    <row r="108" spans="1:15" ht="15.75" customHeight="1" x14ac:dyDescent="0.35">
      <c r="A108" s="3"/>
      <c r="B108" s="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O108" s="3"/>
    </row>
    <row r="109" spans="1:15" ht="15.75" customHeight="1" x14ac:dyDescent="0.35">
      <c r="A109" s="3"/>
      <c r="B109" s="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O109" s="3"/>
    </row>
    <row r="110" spans="1:15" ht="15.75" customHeight="1" x14ac:dyDescent="0.35">
      <c r="A110" s="3"/>
      <c r="B110" s="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O110" s="3"/>
    </row>
    <row r="111" spans="1:15" ht="15.75" customHeight="1" x14ac:dyDescent="0.35">
      <c r="A111" s="3"/>
      <c r="B111" s="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O111" s="3"/>
    </row>
    <row r="112" spans="1:15" ht="15.75" customHeight="1" x14ac:dyDescent="0.35">
      <c r="A112" s="3"/>
      <c r="B112" s="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O112" s="3"/>
    </row>
    <row r="113" spans="1:15" ht="15.75" customHeight="1" x14ac:dyDescent="0.35">
      <c r="A113" s="3"/>
      <c r="B113" s="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O113" s="3"/>
    </row>
    <row r="114" spans="1:15" ht="15.75" customHeight="1" x14ac:dyDescent="0.35">
      <c r="A114" s="3"/>
      <c r="B114" s="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O114" s="3"/>
    </row>
    <row r="115" spans="1:15" ht="15.75" customHeight="1" x14ac:dyDescent="0.35">
      <c r="A115" s="3"/>
      <c r="B115" s="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O115" s="3"/>
    </row>
    <row r="116" spans="1:15" ht="15.75" customHeight="1" x14ac:dyDescent="0.35">
      <c r="A116" s="3"/>
      <c r="B116" s="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O116" s="3"/>
    </row>
    <row r="117" spans="1:15" ht="15.75" customHeight="1" x14ac:dyDescent="0.35">
      <c r="A117" s="3"/>
      <c r="B117" s="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O117" s="3"/>
    </row>
    <row r="118" spans="1:15" ht="15.75" customHeight="1" x14ac:dyDescent="0.35">
      <c r="A118" s="3"/>
      <c r="B118" s="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O118" s="3"/>
    </row>
    <row r="119" spans="1:15" ht="15.75" customHeight="1" x14ac:dyDescent="0.35">
      <c r="A119" s="3"/>
      <c r="B119" s="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O119" s="3"/>
    </row>
    <row r="120" spans="1:15" ht="15.75" customHeight="1" x14ac:dyDescent="0.35">
      <c r="A120" s="3"/>
      <c r="B120" s="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O120" s="3"/>
    </row>
    <row r="121" spans="1:15" ht="15.75" customHeight="1" x14ac:dyDescent="0.35">
      <c r="A121" s="3"/>
      <c r="B121" s="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O121" s="3"/>
    </row>
    <row r="122" spans="1:15" ht="15.75" customHeight="1" x14ac:dyDescent="0.35">
      <c r="A122" s="3"/>
      <c r="B122" s="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O122" s="3"/>
    </row>
    <row r="123" spans="1:15" ht="15.75" customHeight="1" x14ac:dyDescent="0.35">
      <c r="A123" s="3"/>
      <c r="B123" s="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O123" s="3"/>
    </row>
    <row r="124" spans="1:15" ht="15.75" customHeight="1" x14ac:dyDescent="0.35">
      <c r="A124" s="3"/>
      <c r="B124" s="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O124" s="3"/>
    </row>
    <row r="125" spans="1:15" ht="15.75" customHeight="1" x14ac:dyDescent="0.35">
      <c r="A125" s="3"/>
      <c r="B125" s="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O125" s="3"/>
    </row>
    <row r="126" spans="1:15" ht="15.75" customHeight="1" x14ac:dyDescent="0.35">
      <c r="A126" s="3"/>
      <c r="B126" s="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O126" s="3"/>
    </row>
    <row r="127" spans="1:15" ht="15.75" customHeight="1" x14ac:dyDescent="0.35">
      <c r="A127" s="3"/>
      <c r="B127" s="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</row>
    <row r="128" spans="1:15" ht="15.75" customHeight="1" x14ac:dyDescent="0.35">
      <c r="A128" s="3"/>
      <c r="B128" s="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O128" s="3"/>
    </row>
    <row r="129" spans="1:15" ht="15.75" customHeight="1" x14ac:dyDescent="0.35">
      <c r="A129" s="3"/>
      <c r="B129" s="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O129" s="3"/>
    </row>
    <row r="130" spans="1:15" ht="15.75" customHeight="1" x14ac:dyDescent="0.35">
      <c r="A130" s="3"/>
      <c r="B130" s="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O130" s="3"/>
    </row>
    <row r="131" spans="1:15" ht="15.75" customHeight="1" x14ac:dyDescent="0.35">
      <c r="A131" s="3"/>
      <c r="B131" s="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O131" s="3"/>
    </row>
    <row r="132" spans="1:15" ht="15.75" customHeight="1" x14ac:dyDescent="0.35">
      <c r="A132" s="3"/>
      <c r="B132" s="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O132" s="3"/>
    </row>
    <row r="133" spans="1:15" ht="15.75" customHeight="1" x14ac:dyDescent="0.35">
      <c r="A133" s="3"/>
      <c r="B133" s="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O133" s="3"/>
    </row>
    <row r="134" spans="1:15" ht="15.75" customHeight="1" x14ac:dyDescent="0.35">
      <c r="A134" s="3"/>
      <c r="B134" s="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O134" s="3"/>
    </row>
    <row r="135" spans="1:15" ht="15.75" customHeight="1" x14ac:dyDescent="0.35">
      <c r="A135" s="3"/>
      <c r="B135" s="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O135" s="3"/>
    </row>
    <row r="136" spans="1:15" ht="15.75" customHeight="1" x14ac:dyDescent="0.35">
      <c r="A136" s="3"/>
      <c r="B136" s="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O136" s="3"/>
    </row>
    <row r="137" spans="1:15" ht="15.75" customHeight="1" x14ac:dyDescent="0.35">
      <c r="A137" s="3"/>
      <c r="B137" s="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O137" s="3"/>
    </row>
    <row r="138" spans="1:15" ht="15.75" customHeight="1" x14ac:dyDescent="0.35">
      <c r="A138" s="3"/>
      <c r="B138" s="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O138" s="3"/>
    </row>
    <row r="139" spans="1:15" ht="15.75" customHeight="1" x14ac:dyDescent="0.35">
      <c r="A139" s="3"/>
      <c r="B139" s="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O139" s="3"/>
    </row>
    <row r="140" spans="1:15" ht="15.75" customHeight="1" x14ac:dyDescent="0.35">
      <c r="A140" s="3"/>
      <c r="B140" s="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O140" s="3"/>
    </row>
    <row r="141" spans="1:15" ht="15.75" customHeight="1" x14ac:dyDescent="0.35">
      <c r="A141" s="3"/>
      <c r="B141" s="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O141" s="3"/>
    </row>
    <row r="142" spans="1:15" ht="15.75" customHeight="1" x14ac:dyDescent="0.35">
      <c r="A142" s="3"/>
      <c r="B142" s="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O142" s="3"/>
    </row>
    <row r="143" spans="1:15" ht="15.75" customHeight="1" x14ac:dyDescent="0.35">
      <c r="A143" s="3"/>
      <c r="B143" s="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O143" s="3"/>
    </row>
    <row r="144" spans="1:15" ht="15.75" customHeight="1" x14ac:dyDescent="0.35">
      <c r="A144" s="3"/>
      <c r="B144" s="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O144" s="3"/>
    </row>
    <row r="145" spans="1:15" ht="15.75" customHeight="1" x14ac:dyDescent="0.35">
      <c r="A145" s="3"/>
      <c r="B145" s="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O145" s="3"/>
    </row>
    <row r="146" spans="1:15" ht="15.75" customHeight="1" x14ac:dyDescent="0.35">
      <c r="A146" s="3"/>
      <c r="B146" s="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O146" s="3"/>
    </row>
    <row r="147" spans="1:15" ht="15.75" customHeight="1" x14ac:dyDescent="0.35">
      <c r="A147" s="3"/>
      <c r="B147" s="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O147" s="3"/>
    </row>
    <row r="148" spans="1:15" ht="15.75" customHeight="1" x14ac:dyDescent="0.35">
      <c r="A148" s="3"/>
      <c r="B148" s="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O148" s="3"/>
    </row>
    <row r="149" spans="1:15" ht="15.75" customHeight="1" x14ac:dyDescent="0.35">
      <c r="A149" s="3"/>
      <c r="B149" s="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O149" s="3"/>
    </row>
    <row r="150" spans="1:15" ht="15.75" customHeight="1" x14ac:dyDescent="0.35">
      <c r="A150" s="3"/>
      <c r="B150" s="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O150" s="3"/>
    </row>
    <row r="151" spans="1:15" ht="15.75" customHeight="1" x14ac:dyDescent="0.35">
      <c r="A151" s="3"/>
      <c r="B151" s="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O151" s="3"/>
    </row>
    <row r="152" spans="1:15" ht="15.75" customHeight="1" x14ac:dyDescent="0.35">
      <c r="A152" s="3"/>
      <c r="B152" s="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O152" s="3"/>
    </row>
    <row r="153" spans="1:15" ht="15.75" customHeight="1" x14ac:dyDescent="0.35">
      <c r="A153" s="3"/>
      <c r="B153" s="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O153" s="3"/>
    </row>
    <row r="154" spans="1:15" ht="15.75" customHeight="1" x14ac:dyDescent="0.35">
      <c r="A154" s="3"/>
      <c r="B154" s="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O154" s="3"/>
    </row>
    <row r="155" spans="1:15" ht="15.75" customHeight="1" x14ac:dyDescent="0.35">
      <c r="A155" s="3"/>
      <c r="B155" s="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O155" s="3"/>
    </row>
    <row r="156" spans="1:15" ht="15.75" customHeight="1" x14ac:dyDescent="0.35">
      <c r="A156" s="3"/>
      <c r="B156" s="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O156" s="3"/>
    </row>
    <row r="157" spans="1:15" ht="15.75" customHeight="1" x14ac:dyDescent="0.35">
      <c r="A157" s="3"/>
      <c r="B157" s="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O157" s="3"/>
    </row>
    <row r="158" spans="1:15" ht="15.75" customHeight="1" x14ac:dyDescent="0.35">
      <c r="A158" s="3"/>
      <c r="B158" s="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O158" s="3"/>
    </row>
    <row r="159" spans="1:15" ht="15.75" customHeight="1" x14ac:dyDescent="0.35">
      <c r="A159" s="3"/>
      <c r="B159" s="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O159" s="3"/>
    </row>
    <row r="160" spans="1:15" ht="15.75" customHeight="1" x14ac:dyDescent="0.35">
      <c r="A160" s="3"/>
      <c r="B160" s="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O160" s="3"/>
    </row>
    <row r="161" spans="1:15" ht="15.75" customHeight="1" x14ac:dyDescent="0.35">
      <c r="A161" s="3"/>
      <c r="B161" s="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O161" s="3"/>
    </row>
    <row r="162" spans="1:15" ht="15.75" customHeight="1" x14ac:dyDescent="0.35">
      <c r="A162" s="3"/>
      <c r="B162" s="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O162" s="3"/>
    </row>
    <row r="163" spans="1:15" ht="15.75" customHeight="1" x14ac:dyDescent="0.35">
      <c r="A163" s="3"/>
      <c r="B163" s="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O163" s="3"/>
    </row>
    <row r="164" spans="1:15" ht="15.75" customHeight="1" x14ac:dyDescent="0.35">
      <c r="A164" s="3"/>
      <c r="B164" s="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O164" s="3"/>
    </row>
    <row r="165" spans="1:15" ht="15.75" customHeight="1" x14ac:dyDescent="0.35">
      <c r="A165" s="3"/>
      <c r="B165" s="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O165" s="3"/>
    </row>
    <row r="166" spans="1:15" ht="15.75" customHeight="1" x14ac:dyDescent="0.35">
      <c r="A166" s="3"/>
      <c r="B166" s="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O166" s="3"/>
    </row>
    <row r="167" spans="1:15" ht="15.75" customHeight="1" x14ac:dyDescent="0.35">
      <c r="A167" s="3"/>
      <c r="B167" s="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O167" s="3"/>
    </row>
    <row r="168" spans="1:15" ht="15.75" customHeight="1" x14ac:dyDescent="0.35">
      <c r="A168" s="3"/>
      <c r="B168" s="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O168" s="3"/>
    </row>
    <row r="169" spans="1:15" ht="15.75" customHeight="1" x14ac:dyDescent="0.35">
      <c r="A169" s="3"/>
      <c r="B169" s="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O169" s="3"/>
    </row>
    <row r="170" spans="1:15" ht="15.75" customHeight="1" x14ac:dyDescent="0.35">
      <c r="A170" s="3"/>
      <c r="B170" s="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O170" s="3"/>
    </row>
    <row r="171" spans="1:15" ht="15.75" customHeight="1" x14ac:dyDescent="0.35">
      <c r="A171" s="3"/>
      <c r="B171" s="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O171" s="3"/>
    </row>
    <row r="172" spans="1:15" ht="15.75" customHeight="1" x14ac:dyDescent="0.35">
      <c r="A172" s="3"/>
      <c r="B172" s="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O172" s="3"/>
    </row>
    <row r="173" spans="1:15" ht="15.75" customHeight="1" x14ac:dyDescent="0.35">
      <c r="A173" s="3"/>
      <c r="B173" s="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O173" s="3"/>
    </row>
    <row r="174" spans="1:15" ht="15.75" customHeight="1" x14ac:dyDescent="0.35">
      <c r="A174" s="3"/>
      <c r="B174" s="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O174" s="3"/>
    </row>
    <row r="175" spans="1:15" ht="15.75" customHeight="1" x14ac:dyDescent="0.35">
      <c r="A175" s="3"/>
      <c r="B175" s="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O175" s="3"/>
    </row>
    <row r="176" spans="1:15" ht="15.75" customHeight="1" x14ac:dyDescent="0.35">
      <c r="A176" s="3"/>
      <c r="B176" s="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O176" s="3"/>
    </row>
    <row r="177" spans="1:15" ht="15.75" customHeight="1" x14ac:dyDescent="0.35">
      <c r="A177" s="3"/>
      <c r="B177" s="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O177" s="3"/>
    </row>
    <row r="178" spans="1:15" ht="15.75" customHeight="1" x14ac:dyDescent="0.35">
      <c r="A178" s="3"/>
      <c r="B178" s="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O178" s="3"/>
    </row>
    <row r="179" spans="1:15" ht="15.75" customHeight="1" x14ac:dyDescent="0.35">
      <c r="A179" s="3"/>
      <c r="B179" s="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O179" s="3"/>
    </row>
    <row r="180" spans="1:15" ht="15.75" customHeight="1" x14ac:dyDescent="0.35">
      <c r="A180" s="3"/>
      <c r="B180" s="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O180" s="3"/>
    </row>
    <row r="181" spans="1:15" ht="15.75" customHeight="1" x14ac:dyDescent="0.35">
      <c r="A181" s="3"/>
      <c r="B181" s="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O181" s="3"/>
    </row>
    <row r="182" spans="1:15" ht="15.75" customHeight="1" x14ac:dyDescent="0.35">
      <c r="A182" s="3"/>
      <c r="B182" s="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O182" s="3"/>
    </row>
    <row r="183" spans="1:15" ht="15.75" customHeight="1" x14ac:dyDescent="0.35">
      <c r="A183" s="3"/>
      <c r="B183" s="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O183" s="3"/>
    </row>
    <row r="184" spans="1:15" ht="15.75" customHeight="1" x14ac:dyDescent="0.35">
      <c r="A184" s="3"/>
      <c r="B184" s="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O184" s="3"/>
    </row>
    <row r="185" spans="1:15" ht="15.75" customHeight="1" x14ac:dyDescent="0.35">
      <c r="A185" s="3"/>
      <c r="B185" s="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O185" s="3"/>
    </row>
    <row r="186" spans="1:15" ht="15.75" customHeight="1" x14ac:dyDescent="0.35">
      <c r="A186" s="3"/>
      <c r="B186" s="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O186" s="3"/>
    </row>
    <row r="187" spans="1:15" ht="15.75" customHeight="1" x14ac:dyDescent="0.35">
      <c r="A187" s="3"/>
      <c r="B187" s="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O187" s="3"/>
    </row>
    <row r="188" spans="1:15" ht="15.75" customHeight="1" x14ac:dyDescent="0.35">
      <c r="A188" s="3"/>
      <c r="B188" s="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O188" s="3"/>
    </row>
    <row r="189" spans="1:15" ht="15.75" customHeight="1" x14ac:dyDescent="0.35">
      <c r="A189" s="3"/>
      <c r="B189" s="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O189" s="3"/>
    </row>
    <row r="190" spans="1:15" ht="15.75" customHeight="1" x14ac:dyDescent="0.35">
      <c r="A190" s="3"/>
      <c r="B190" s="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O190" s="3"/>
    </row>
    <row r="191" spans="1:15" ht="15.75" customHeight="1" x14ac:dyDescent="0.35">
      <c r="A191" s="3"/>
      <c r="B191" s="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O191" s="3"/>
    </row>
    <row r="192" spans="1:15" ht="15.75" customHeight="1" x14ac:dyDescent="0.35">
      <c r="A192" s="3"/>
      <c r="B192" s="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O192" s="3"/>
    </row>
    <row r="193" spans="1:15" ht="15.75" customHeight="1" x14ac:dyDescent="0.35">
      <c r="A193" s="3"/>
      <c r="B193" s="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O193" s="3"/>
    </row>
    <row r="194" spans="1:15" ht="15.75" customHeight="1" x14ac:dyDescent="0.35">
      <c r="A194" s="3"/>
      <c r="B194" s="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O194" s="3"/>
    </row>
    <row r="195" spans="1:15" ht="15.75" customHeight="1" x14ac:dyDescent="0.35">
      <c r="A195" s="3"/>
      <c r="B195" s="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O195" s="3"/>
    </row>
    <row r="196" spans="1:15" ht="15.75" customHeight="1" x14ac:dyDescent="0.35">
      <c r="A196" s="3"/>
      <c r="B196" s="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O196" s="3"/>
    </row>
    <row r="197" spans="1:15" ht="15.75" customHeight="1" x14ac:dyDescent="0.35">
      <c r="A197" s="3"/>
      <c r="B197" s="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O197" s="3"/>
    </row>
    <row r="198" spans="1:15" ht="15.75" customHeight="1" x14ac:dyDescent="0.35">
      <c r="A198" s="3"/>
      <c r="B198" s="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O198" s="3"/>
    </row>
    <row r="199" spans="1:15" ht="15.75" customHeight="1" x14ac:dyDescent="0.35">
      <c r="A199" s="3"/>
      <c r="B199" s="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O199" s="3"/>
    </row>
    <row r="200" spans="1:15" ht="15.75" customHeight="1" x14ac:dyDescent="0.35">
      <c r="A200" s="3"/>
      <c r="B200" s="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O200" s="3"/>
    </row>
    <row r="201" spans="1:15" ht="15.75" customHeight="1" x14ac:dyDescent="0.35">
      <c r="A201" s="3"/>
      <c r="B201" s="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O201" s="3"/>
    </row>
    <row r="202" spans="1:15" ht="15.75" customHeight="1" x14ac:dyDescent="0.35">
      <c r="A202" s="3"/>
      <c r="B202" s="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O202" s="3"/>
    </row>
    <row r="203" spans="1:15" ht="15.75" customHeight="1" x14ac:dyDescent="0.35">
      <c r="A203" s="3"/>
      <c r="B203" s="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O203" s="3"/>
    </row>
    <row r="204" spans="1:15" ht="15.75" customHeight="1" x14ac:dyDescent="0.35">
      <c r="A204" s="3"/>
      <c r="B204" s="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O204" s="3"/>
    </row>
    <row r="205" spans="1:15" ht="15.75" customHeight="1" x14ac:dyDescent="0.35">
      <c r="A205" s="3"/>
      <c r="B205" s="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O205" s="3"/>
    </row>
    <row r="206" spans="1:15" ht="15.75" customHeight="1" x14ac:dyDescent="0.35">
      <c r="A206" s="3"/>
      <c r="B206" s="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O206" s="3"/>
    </row>
    <row r="207" spans="1:15" ht="15.75" customHeight="1" x14ac:dyDescent="0.35">
      <c r="A207" s="3"/>
      <c r="B207" s="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O207" s="3"/>
    </row>
    <row r="208" spans="1:15" ht="15.75" customHeight="1" x14ac:dyDescent="0.35">
      <c r="A208" s="3"/>
      <c r="B208" s="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O208" s="3"/>
    </row>
    <row r="209" spans="1:15" ht="15.75" customHeight="1" x14ac:dyDescent="0.35">
      <c r="A209" s="3"/>
      <c r="B209" s="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O209" s="3"/>
    </row>
    <row r="210" spans="1:15" ht="15.75" customHeight="1" x14ac:dyDescent="0.35">
      <c r="A210" s="3"/>
      <c r="B210" s="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O210" s="3"/>
    </row>
    <row r="211" spans="1:15" ht="15.75" customHeight="1" x14ac:dyDescent="0.35">
      <c r="A211" s="3"/>
      <c r="B211" s="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O211" s="3"/>
    </row>
    <row r="212" spans="1:15" ht="15.75" customHeight="1" x14ac:dyDescent="0.35">
      <c r="A212" s="3"/>
      <c r="B212" s="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O212" s="3"/>
    </row>
    <row r="213" spans="1:15" ht="15.75" customHeight="1" x14ac:dyDescent="0.35">
      <c r="A213" s="3"/>
      <c r="B213" s="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O213" s="3"/>
    </row>
    <row r="214" spans="1:15" ht="15.75" customHeight="1" x14ac:dyDescent="0.35">
      <c r="A214" s="3"/>
      <c r="B214" s="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O214" s="3"/>
    </row>
    <row r="215" spans="1:15" ht="15.75" customHeight="1" x14ac:dyDescent="0.35">
      <c r="A215" s="3"/>
      <c r="B215" s="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O215" s="3"/>
    </row>
    <row r="216" spans="1:15" ht="15.75" customHeight="1" x14ac:dyDescent="0.35">
      <c r="A216" s="3"/>
      <c r="B216" s="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O216" s="3"/>
    </row>
    <row r="217" spans="1:15" ht="15.75" customHeight="1" x14ac:dyDescent="0.35">
      <c r="A217" s="3"/>
      <c r="B217" s="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O217" s="3"/>
    </row>
    <row r="218" spans="1:15" ht="15.75" customHeight="1" x14ac:dyDescent="0.35">
      <c r="A218" s="3"/>
      <c r="B218" s="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O218" s="3"/>
    </row>
    <row r="219" spans="1:15" ht="15.75" customHeight="1" x14ac:dyDescent="0.35">
      <c r="A219" s="3"/>
      <c r="B219" s="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O219" s="3"/>
    </row>
    <row r="220" spans="1:15" ht="15.75" customHeight="1" x14ac:dyDescent="0.35">
      <c r="A220" s="3"/>
      <c r="B220" s="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O220" s="3"/>
    </row>
    <row r="221" spans="1:15" ht="15.75" customHeight="1" x14ac:dyDescent="0.35">
      <c r="A221" s="3"/>
      <c r="B221" s="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O221" s="3"/>
    </row>
    <row r="222" spans="1:15" ht="15.75" customHeight="1" x14ac:dyDescent="0.35">
      <c r="A222" s="3"/>
      <c r="B222" s="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O222" s="3"/>
    </row>
    <row r="223" spans="1:15" ht="15.75" customHeight="1" x14ac:dyDescent="0.35">
      <c r="A223" s="3"/>
      <c r="B223" s="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O223" s="3"/>
    </row>
    <row r="224" spans="1:15" ht="15.75" customHeight="1" x14ac:dyDescent="0.35">
      <c r="A224" s="3"/>
      <c r="B224" s="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O224" s="3"/>
    </row>
    <row r="225" spans="1:15" ht="15.75" customHeight="1" x14ac:dyDescent="0.35">
      <c r="A225" s="3"/>
      <c r="B225" s="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O225" s="3"/>
    </row>
    <row r="226" spans="1:15" ht="15.75" customHeight="1" x14ac:dyDescent="0.35">
      <c r="A226" s="3"/>
      <c r="B226" s="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O226" s="3"/>
    </row>
    <row r="227" spans="1:15" ht="15.75" customHeight="1" x14ac:dyDescent="0.35">
      <c r="A227" s="3"/>
      <c r="B227" s="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O227" s="3"/>
    </row>
    <row r="228" spans="1:15" ht="15.75" customHeight="1" x14ac:dyDescent="0.35">
      <c r="A228" s="3"/>
      <c r="B228" s="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O228" s="3"/>
    </row>
    <row r="229" spans="1:15" ht="15.75" customHeight="1" x14ac:dyDescent="0.35">
      <c r="A229" s="3"/>
      <c r="B229" s="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O229" s="3"/>
    </row>
    <row r="230" spans="1:15" ht="15.75" customHeight="1" x14ac:dyDescent="0.35">
      <c r="A230" s="3"/>
      <c r="B230" s="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O230" s="3"/>
    </row>
    <row r="231" spans="1:15" ht="15.75" customHeight="1" x14ac:dyDescent="0.35">
      <c r="A231" s="3"/>
      <c r="B231" s="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O231" s="3"/>
    </row>
    <row r="232" spans="1:15" ht="15.75" customHeight="1" x14ac:dyDescent="0.35">
      <c r="A232" s="3"/>
      <c r="B232" s="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O232" s="3"/>
    </row>
    <row r="233" spans="1:15" ht="15.75" customHeight="1" x14ac:dyDescent="0.35">
      <c r="A233" s="3"/>
      <c r="B233" s="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O233" s="3"/>
    </row>
    <row r="234" spans="1:15" ht="15.75" customHeight="1" x14ac:dyDescent="0.35">
      <c r="A234" s="3"/>
      <c r="B234" s="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O234" s="3"/>
    </row>
    <row r="235" spans="1:15" ht="15.75" customHeight="1" x14ac:dyDescent="0.35">
      <c r="A235" s="3"/>
      <c r="B235" s="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O235" s="3"/>
    </row>
    <row r="236" spans="1:15" ht="15.75" customHeight="1" x14ac:dyDescent="0.35">
      <c r="A236" s="3"/>
      <c r="B236" s="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O236" s="3"/>
    </row>
    <row r="237" spans="1:15" ht="15.75" customHeight="1" x14ac:dyDescent="0.35">
      <c r="A237" s="3"/>
      <c r="B237" s="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O237" s="3"/>
    </row>
    <row r="238" spans="1:15" ht="15.75" customHeight="1" x14ac:dyDescent="0.35">
      <c r="A238" s="3"/>
      <c r="B238" s="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O238" s="3"/>
    </row>
    <row r="239" spans="1:15" ht="15.75" customHeight="1" x14ac:dyDescent="0.35">
      <c r="A239" s="3"/>
      <c r="B239" s="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O239" s="3"/>
    </row>
    <row r="240" spans="1:15" ht="15.75" customHeight="1" x14ac:dyDescent="0.35">
      <c r="A240" s="3"/>
      <c r="B240" s="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O240" s="3"/>
    </row>
    <row r="241" spans="1:15" ht="15.75" customHeight="1" x14ac:dyDescent="0.35">
      <c r="A241" s="3"/>
      <c r="B241" s="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O241" s="3"/>
    </row>
    <row r="242" spans="1:15" ht="15.75" customHeight="1" x14ac:dyDescent="0.35">
      <c r="A242" s="3"/>
      <c r="B242" s="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O242" s="3"/>
    </row>
    <row r="243" spans="1:15" ht="15.75" customHeight="1" x14ac:dyDescent="0.35">
      <c r="A243" s="3"/>
      <c r="B243" s="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O243" s="3"/>
    </row>
    <row r="244" spans="1:15" ht="15.75" customHeight="1" x14ac:dyDescent="0.35">
      <c r="A244" s="3"/>
      <c r="B244" s="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O244" s="3"/>
    </row>
    <row r="245" spans="1:15" ht="15.75" customHeight="1" x14ac:dyDescent="0.35">
      <c r="A245" s="3"/>
      <c r="B245" s="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O245" s="3"/>
    </row>
    <row r="246" spans="1:15" ht="15.75" customHeight="1" x14ac:dyDescent="0.35">
      <c r="A246" s="3"/>
      <c r="B246" s="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O246" s="3"/>
    </row>
    <row r="247" spans="1:15" ht="15.75" customHeight="1" x14ac:dyDescent="0.35">
      <c r="A247" s="3"/>
      <c r="B247" s="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O247" s="3"/>
    </row>
    <row r="248" spans="1:15" ht="15.75" customHeight="1" x14ac:dyDescent="0.35">
      <c r="A248" s="3"/>
      <c r="B248" s="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O248" s="3"/>
    </row>
    <row r="249" spans="1:15" ht="15.75" customHeight="1" x14ac:dyDescent="0.35">
      <c r="A249" s="3"/>
      <c r="B249" s="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O249" s="3"/>
    </row>
    <row r="250" spans="1:15" ht="15.75" customHeight="1" x14ac:dyDescent="0.35">
      <c r="A250" s="3"/>
      <c r="B250" s="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O250" s="3"/>
    </row>
    <row r="251" spans="1:15" ht="15.75" customHeight="1" x14ac:dyDescent="0.35">
      <c r="A251" s="3"/>
      <c r="B251" s="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O251" s="3"/>
    </row>
    <row r="252" spans="1:15" ht="15.75" customHeight="1" x14ac:dyDescent="0.35">
      <c r="A252" s="3"/>
      <c r="B252" s="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O252" s="3"/>
    </row>
    <row r="253" spans="1:15" ht="15.75" customHeight="1" x14ac:dyDescent="0.35">
      <c r="A253" s="3"/>
      <c r="B253" s="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O253" s="3"/>
    </row>
    <row r="254" spans="1:15" ht="15.75" customHeight="1" x14ac:dyDescent="0.35">
      <c r="A254" s="3"/>
      <c r="B254" s="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O254" s="3"/>
    </row>
    <row r="255" spans="1:15" ht="15.75" customHeight="1" x14ac:dyDescent="0.35">
      <c r="A255" s="3"/>
      <c r="B255" s="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O255" s="3"/>
    </row>
    <row r="256" spans="1:15" ht="15.75" customHeight="1" x14ac:dyDescent="0.35">
      <c r="A256" s="3"/>
      <c r="B256" s="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O256" s="3"/>
    </row>
    <row r="257" spans="1:15" ht="15.75" customHeight="1" x14ac:dyDescent="0.35">
      <c r="A257" s="3"/>
      <c r="B257" s="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O257" s="3"/>
    </row>
    <row r="258" spans="1:15" ht="15.75" customHeight="1" x14ac:dyDescent="0.35">
      <c r="A258" s="3"/>
      <c r="B258" s="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O258" s="3"/>
    </row>
    <row r="259" spans="1:15" ht="15.75" customHeight="1" x14ac:dyDescent="0.35">
      <c r="A259" s="3"/>
      <c r="B259" s="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O259" s="3"/>
    </row>
    <row r="260" spans="1:15" ht="15.75" customHeight="1" x14ac:dyDescent="0.35">
      <c r="A260" s="3"/>
      <c r="B260" s="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O260" s="3"/>
    </row>
    <row r="261" spans="1:15" ht="15.75" customHeight="1" x14ac:dyDescent="0.35">
      <c r="A261" s="3"/>
      <c r="B261" s="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O261" s="3"/>
    </row>
    <row r="262" spans="1:15" ht="15.75" customHeight="1" x14ac:dyDescent="0.35">
      <c r="A262" s="3"/>
      <c r="B262" s="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O262" s="3"/>
    </row>
    <row r="263" spans="1:15" ht="15.75" customHeight="1" x14ac:dyDescent="0.35">
      <c r="A263" s="3"/>
      <c r="B263" s="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O263" s="3"/>
    </row>
    <row r="264" spans="1:15" ht="15.75" customHeight="1" x14ac:dyDescent="0.35">
      <c r="A264" s="3"/>
      <c r="B264" s="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O264" s="3"/>
    </row>
    <row r="265" spans="1:15" ht="15.75" customHeight="1" x14ac:dyDescent="0.35">
      <c r="A265" s="3"/>
      <c r="B265" s="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O265" s="3"/>
    </row>
    <row r="266" spans="1:15" ht="15.75" customHeight="1" x14ac:dyDescent="0.35">
      <c r="A266" s="3"/>
      <c r="B266" s="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O266" s="3"/>
    </row>
    <row r="267" spans="1:15" ht="15.75" customHeight="1" x14ac:dyDescent="0.35">
      <c r="A267" s="3"/>
      <c r="B267" s="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O267" s="3"/>
    </row>
    <row r="268" spans="1:15" ht="15.75" customHeight="1" x14ac:dyDescent="0.35">
      <c r="A268" s="3"/>
      <c r="B268" s="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O268" s="3"/>
    </row>
    <row r="269" spans="1:15" ht="15.75" customHeight="1" x14ac:dyDescent="0.35">
      <c r="A269" s="3"/>
      <c r="B269" s="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O269" s="3"/>
    </row>
    <row r="270" spans="1:15" ht="15.75" customHeight="1" x14ac:dyDescent="0.35">
      <c r="A270" s="3"/>
      <c r="B270" s="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O270" s="3"/>
    </row>
    <row r="271" spans="1:15" ht="15.75" customHeight="1" x14ac:dyDescent="0.35">
      <c r="A271" s="3"/>
      <c r="B271" s="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O271" s="3"/>
    </row>
    <row r="272" spans="1:15" ht="15.75" customHeight="1" x14ac:dyDescent="0.35">
      <c r="A272" s="3"/>
      <c r="B272" s="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O272" s="3"/>
    </row>
    <row r="273" spans="1:15" ht="15.75" customHeight="1" x14ac:dyDescent="0.35">
      <c r="A273" s="3"/>
      <c r="B273" s="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O273" s="3"/>
    </row>
    <row r="274" spans="1:15" ht="15.75" customHeight="1" x14ac:dyDescent="0.35">
      <c r="A274" s="3"/>
      <c r="B274" s="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O274" s="3"/>
    </row>
    <row r="275" spans="1:15" ht="15.75" customHeight="1" x14ac:dyDescent="0.35">
      <c r="A275" s="3"/>
      <c r="B275" s="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O275" s="3"/>
    </row>
    <row r="276" spans="1:15" ht="15.75" customHeight="1" x14ac:dyDescent="0.35">
      <c r="A276" s="3"/>
      <c r="B276" s="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O276" s="3"/>
    </row>
    <row r="277" spans="1:15" ht="15.75" customHeight="1" x14ac:dyDescent="0.35">
      <c r="A277" s="3"/>
      <c r="B277" s="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O277" s="3"/>
    </row>
    <row r="278" spans="1:15" ht="15.75" customHeight="1" x14ac:dyDescent="0.35">
      <c r="A278" s="3"/>
      <c r="B278" s="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O278" s="3"/>
    </row>
    <row r="279" spans="1:15" ht="15.75" customHeight="1" x14ac:dyDescent="0.35">
      <c r="A279" s="3"/>
      <c r="B279" s="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O279" s="3"/>
    </row>
    <row r="280" spans="1:15" ht="15.75" customHeight="1" x14ac:dyDescent="0.35">
      <c r="A280" s="3"/>
      <c r="B280" s="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O280" s="3"/>
    </row>
    <row r="281" spans="1:15" ht="15.75" customHeight="1" x14ac:dyDescent="0.35">
      <c r="A281" s="3"/>
      <c r="B281" s="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O281" s="3"/>
    </row>
    <row r="282" spans="1:15" ht="15.75" customHeight="1" x14ac:dyDescent="0.35">
      <c r="A282" s="3"/>
      <c r="B282" s="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O282" s="3"/>
    </row>
    <row r="283" spans="1:15" ht="15.75" customHeight="1" x14ac:dyDescent="0.35">
      <c r="A283" s="3"/>
      <c r="B283" s="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O283" s="3"/>
    </row>
    <row r="284" spans="1:15" ht="15.75" customHeight="1" x14ac:dyDescent="0.35">
      <c r="A284" s="3"/>
      <c r="B284" s="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O284" s="3"/>
    </row>
    <row r="285" spans="1:15" ht="15.75" customHeight="1" x14ac:dyDescent="0.35">
      <c r="A285" s="3"/>
      <c r="B285" s="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O285" s="3"/>
    </row>
    <row r="286" spans="1:15" ht="15.75" customHeight="1" x14ac:dyDescent="0.35">
      <c r="A286" s="3"/>
      <c r="B286" s="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O286" s="3"/>
    </row>
    <row r="287" spans="1:15" ht="15.75" customHeight="1" x14ac:dyDescent="0.35">
      <c r="A287" s="3"/>
      <c r="B287" s="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O287" s="3"/>
    </row>
    <row r="288" spans="1:15" ht="15.75" customHeight="1" x14ac:dyDescent="0.35">
      <c r="A288" s="3"/>
      <c r="B288" s="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O288" s="3"/>
    </row>
    <row r="289" spans="1:15" ht="15.75" customHeight="1" x14ac:dyDescent="0.35">
      <c r="A289" s="3"/>
      <c r="B289" s="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O289" s="3"/>
    </row>
    <row r="290" spans="1:15" ht="15.75" customHeight="1" x14ac:dyDescent="0.35">
      <c r="A290" s="3"/>
      <c r="B290" s="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O290" s="3"/>
    </row>
    <row r="291" spans="1:15" ht="15.75" customHeight="1" x14ac:dyDescent="0.35">
      <c r="A291" s="3"/>
      <c r="B291" s="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O291" s="3"/>
    </row>
    <row r="292" spans="1:15" ht="15.75" customHeight="1" x14ac:dyDescent="0.35">
      <c r="A292" s="3"/>
      <c r="B292" s="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O292" s="3"/>
    </row>
    <row r="293" spans="1:15" ht="15.75" customHeight="1" x14ac:dyDescent="0.35">
      <c r="A293" s="3"/>
      <c r="B293" s="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O293" s="3"/>
    </row>
    <row r="294" spans="1:15" ht="15.75" customHeight="1" x14ac:dyDescent="0.35">
      <c r="A294" s="3"/>
      <c r="B294" s="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O294" s="3"/>
    </row>
    <row r="295" spans="1:15" ht="15.75" customHeight="1" x14ac:dyDescent="0.35">
      <c r="A295" s="3"/>
      <c r="B295" s="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O295" s="3"/>
    </row>
    <row r="296" spans="1:15" ht="15.75" customHeight="1" x14ac:dyDescent="0.35">
      <c r="A296" s="3"/>
      <c r="B296" s="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O296" s="3"/>
    </row>
    <row r="297" spans="1:15" ht="15.75" customHeight="1" x14ac:dyDescent="0.35">
      <c r="A297" s="3"/>
      <c r="B297" s="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O297" s="3"/>
    </row>
    <row r="298" spans="1:15" ht="15.75" customHeight="1" x14ac:dyDescent="0.35">
      <c r="A298" s="3"/>
      <c r="B298" s="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O298" s="3"/>
    </row>
    <row r="299" spans="1:15" ht="15.75" customHeight="1" x14ac:dyDescent="0.35">
      <c r="A299" s="3"/>
      <c r="B299" s="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O299" s="3"/>
    </row>
    <row r="300" spans="1:15" ht="15.75" customHeight="1" x14ac:dyDescent="0.35">
      <c r="A300" s="3"/>
      <c r="B300" s="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O300" s="3"/>
    </row>
    <row r="301" spans="1:15" ht="15.75" customHeight="1" x14ac:dyDescent="0.35">
      <c r="A301" s="3"/>
      <c r="B301" s="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O301" s="3"/>
    </row>
    <row r="302" spans="1:15" ht="15.75" customHeight="1" x14ac:dyDescent="0.35">
      <c r="A302" s="3"/>
      <c r="B302" s="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O302" s="3"/>
    </row>
    <row r="303" spans="1:15" ht="15.75" customHeight="1" x14ac:dyDescent="0.35">
      <c r="A303" s="3"/>
      <c r="B303" s="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O303" s="3"/>
    </row>
    <row r="304" spans="1:15" ht="15.75" customHeight="1" x14ac:dyDescent="0.35">
      <c r="A304" s="3"/>
      <c r="B304" s="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O304" s="3"/>
    </row>
    <row r="305" spans="1:15" ht="15.75" customHeight="1" x14ac:dyDescent="0.35">
      <c r="A305" s="3"/>
      <c r="B305" s="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O305" s="3"/>
    </row>
    <row r="306" spans="1:15" ht="15.75" customHeight="1" x14ac:dyDescent="0.35">
      <c r="A306" s="3"/>
      <c r="B306" s="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O306" s="3"/>
    </row>
    <row r="307" spans="1:15" ht="15.75" customHeight="1" x14ac:dyDescent="0.35">
      <c r="A307" s="3"/>
      <c r="B307" s="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O307" s="3"/>
    </row>
    <row r="308" spans="1:15" ht="15.75" customHeight="1" x14ac:dyDescent="0.35">
      <c r="A308" s="3"/>
      <c r="B308" s="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O308" s="3"/>
    </row>
    <row r="309" spans="1:15" ht="15.75" customHeight="1" x14ac:dyDescent="0.35">
      <c r="A309" s="3"/>
      <c r="B309" s="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O309" s="3"/>
    </row>
    <row r="310" spans="1:15" ht="15.75" customHeight="1" x14ac:dyDescent="0.35">
      <c r="A310" s="3"/>
      <c r="B310" s="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O310" s="3"/>
    </row>
    <row r="311" spans="1:15" ht="15.75" customHeight="1" x14ac:dyDescent="0.35">
      <c r="A311" s="3"/>
      <c r="B311" s="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O311" s="3"/>
    </row>
    <row r="312" spans="1:15" ht="15.75" customHeight="1" x14ac:dyDescent="0.35">
      <c r="A312" s="3"/>
      <c r="B312" s="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O312" s="3"/>
    </row>
    <row r="313" spans="1:15" ht="15.75" customHeight="1" x14ac:dyDescent="0.35">
      <c r="A313" s="3"/>
      <c r="B313" s="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O313" s="3"/>
    </row>
    <row r="314" spans="1:15" ht="15.75" customHeight="1" x14ac:dyDescent="0.35">
      <c r="A314" s="3"/>
      <c r="B314" s="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O314" s="3"/>
    </row>
    <row r="315" spans="1:15" ht="15.75" customHeight="1" x14ac:dyDescent="0.35">
      <c r="A315" s="3"/>
      <c r="B315" s="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O315" s="3"/>
    </row>
    <row r="316" spans="1:15" ht="15.75" customHeight="1" x14ac:dyDescent="0.35">
      <c r="A316" s="3"/>
      <c r="B316" s="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O316" s="3"/>
    </row>
    <row r="317" spans="1:15" ht="15.75" customHeight="1" x14ac:dyDescent="0.35">
      <c r="A317" s="3"/>
      <c r="B317" s="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O317" s="3"/>
    </row>
    <row r="318" spans="1:15" ht="15.75" customHeight="1" x14ac:dyDescent="0.35">
      <c r="A318" s="3"/>
      <c r="B318" s="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O318" s="3"/>
    </row>
    <row r="319" spans="1:15" ht="15.75" customHeight="1" x14ac:dyDescent="0.35">
      <c r="A319" s="3"/>
      <c r="B319" s="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O319" s="3"/>
    </row>
    <row r="320" spans="1:15" ht="15.75" customHeight="1" x14ac:dyDescent="0.35">
      <c r="A320" s="3"/>
      <c r="B320" s="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O320" s="3"/>
    </row>
    <row r="321" spans="1:15" ht="15.75" customHeight="1" x14ac:dyDescent="0.35">
      <c r="A321" s="3"/>
      <c r="B321" s="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O321" s="3"/>
    </row>
    <row r="322" spans="1:15" ht="15.75" customHeight="1" x14ac:dyDescent="0.35">
      <c r="A322" s="3"/>
      <c r="B322" s="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O322" s="3"/>
    </row>
    <row r="323" spans="1:15" ht="15.75" customHeight="1" x14ac:dyDescent="0.35">
      <c r="A323" s="3"/>
      <c r="B323" s="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O323" s="3"/>
    </row>
    <row r="324" spans="1:15" ht="15.75" customHeight="1" x14ac:dyDescent="0.35">
      <c r="A324" s="3"/>
      <c r="B324" s="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O324" s="3"/>
    </row>
    <row r="325" spans="1:15" ht="15.75" customHeight="1" x14ac:dyDescent="0.35">
      <c r="A325" s="3"/>
      <c r="B325" s="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O325" s="3"/>
    </row>
    <row r="326" spans="1:15" ht="15.75" customHeight="1" x14ac:dyDescent="0.35">
      <c r="A326" s="3"/>
      <c r="B326" s="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O326" s="3"/>
    </row>
    <row r="327" spans="1:15" ht="15.75" customHeight="1" x14ac:dyDescent="0.35">
      <c r="A327" s="3"/>
      <c r="B327" s="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O327" s="3"/>
    </row>
    <row r="328" spans="1:15" ht="15.75" customHeight="1" x14ac:dyDescent="0.35">
      <c r="A328" s="3"/>
      <c r="B328" s="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O328" s="3"/>
    </row>
    <row r="329" spans="1:15" ht="15.75" customHeight="1" x14ac:dyDescent="0.35">
      <c r="A329" s="3"/>
      <c r="B329" s="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O329" s="3"/>
    </row>
    <row r="330" spans="1:15" ht="15.75" customHeight="1" x14ac:dyDescent="0.35">
      <c r="A330" s="3"/>
      <c r="B330" s="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O330" s="3"/>
    </row>
    <row r="331" spans="1:15" ht="15.75" customHeight="1" x14ac:dyDescent="0.35">
      <c r="A331" s="3"/>
      <c r="B331" s="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O331" s="3"/>
    </row>
    <row r="332" spans="1:15" ht="15.75" customHeight="1" x14ac:dyDescent="0.35">
      <c r="A332" s="3"/>
      <c r="B332" s="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O332" s="3"/>
    </row>
    <row r="333" spans="1:15" ht="15.75" customHeight="1" x14ac:dyDescent="0.35">
      <c r="A333" s="3"/>
      <c r="B333" s="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O333" s="3"/>
    </row>
    <row r="334" spans="1:15" ht="15.75" customHeight="1" x14ac:dyDescent="0.35">
      <c r="A334" s="3"/>
      <c r="B334" s="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O334" s="3"/>
    </row>
    <row r="335" spans="1:15" ht="15.75" customHeight="1" x14ac:dyDescent="0.35">
      <c r="A335" s="3"/>
      <c r="B335" s="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O335" s="3"/>
    </row>
    <row r="336" spans="1:15" ht="15.75" customHeight="1" x14ac:dyDescent="0.35">
      <c r="A336" s="3"/>
      <c r="B336" s="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O336" s="3"/>
    </row>
    <row r="337" spans="1:15" ht="15.75" customHeight="1" x14ac:dyDescent="0.35">
      <c r="A337" s="3"/>
      <c r="B337" s="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O337" s="3"/>
    </row>
    <row r="338" spans="1:15" ht="15.75" customHeight="1" x14ac:dyDescent="0.35">
      <c r="A338" s="3"/>
      <c r="B338" s="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O338" s="3"/>
    </row>
    <row r="339" spans="1:15" ht="15.75" customHeight="1" x14ac:dyDescent="0.35">
      <c r="A339" s="3"/>
      <c r="B339" s="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O339" s="3"/>
    </row>
    <row r="340" spans="1:15" ht="15.75" customHeight="1" x14ac:dyDescent="0.35">
      <c r="A340" s="3"/>
      <c r="B340" s="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O340" s="3"/>
    </row>
    <row r="341" spans="1:15" ht="15.75" customHeight="1" x14ac:dyDescent="0.35">
      <c r="A341" s="3"/>
      <c r="B341" s="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O341" s="3"/>
    </row>
    <row r="342" spans="1:15" ht="15.75" customHeight="1" x14ac:dyDescent="0.35">
      <c r="A342" s="3"/>
      <c r="B342" s="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O342" s="3"/>
    </row>
    <row r="343" spans="1:15" ht="15.75" customHeight="1" x14ac:dyDescent="0.35">
      <c r="A343" s="3"/>
      <c r="B343" s="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O343" s="3"/>
    </row>
    <row r="344" spans="1:15" ht="15.75" customHeight="1" x14ac:dyDescent="0.35">
      <c r="A344" s="3"/>
      <c r="B344" s="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O344" s="3"/>
    </row>
    <row r="345" spans="1:15" ht="15.75" customHeight="1" x14ac:dyDescent="0.35">
      <c r="A345" s="3"/>
      <c r="B345" s="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O345" s="3"/>
    </row>
    <row r="346" spans="1:15" ht="15.75" customHeight="1" x14ac:dyDescent="0.35">
      <c r="A346" s="3"/>
      <c r="B346" s="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O346" s="3"/>
    </row>
    <row r="347" spans="1:15" ht="15.75" customHeight="1" x14ac:dyDescent="0.35">
      <c r="A347" s="3"/>
      <c r="B347" s="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O347" s="3"/>
    </row>
    <row r="348" spans="1:15" ht="15.75" customHeight="1" x14ac:dyDescent="0.35">
      <c r="A348" s="3"/>
      <c r="B348" s="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O348" s="3"/>
    </row>
    <row r="349" spans="1:15" ht="15.75" customHeight="1" x14ac:dyDescent="0.35">
      <c r="A349" s="3"/>
      <c r="B349" s="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O349" s="3"/>
    </row>
    <row r="350" spans="1:15" ht="15.75" customHeight="1" x14ac:dyDescent="0.35">
      <c r="A350" s="3"/>
      <c r="B350" s="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O350" s="3"/>
    </row>
    <row r="351" spans="1:15" ht="15.75" customHeight="1" x14ac:dyDescent="0.35">
      <c r="A351" s="3"/>
      <c r="B351" s="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O351" s="3"/>
    </row>
    <row r="352" spans="1:15" ht="15.75" customHeight="1" x14ac:dyDescent="0.35">
      <c r="A352" s="3"/>
      <c r="B352" s="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O352" s="3"/>
    </row>
    <row r="353" spans="1:15" ht="15.75" customHeight="1" x14ac:dyDescent="0.35">
      <c r="A353" s="3"/>
      <c r="B353" s="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O353" s="3"/>
    </row>
    <row r="354" spans="1:15" ht="15.75" customHeight="1" x14ac:dyDescent="0.35">
      <c r="A354" s="3"/>
      <c r="B354" s="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O354" s="3"/>
    </row>
    <row r="355" spans="1:15" ht="15.75" customHeight="1" x14ac:dyDescent="0.35">
      <c r="A355" s="3"/>
      <c r="B355" s="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O355" s="3"/>
    </row>
    <row r="356" spans="1:15" ht="15.75" customHeight="1" x14ac:dyDescent="0.35">
      <c r="A356" s="3"/>
      <c r="B356" s="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O356" s="3"/>
    </row>
    <row r="357" spans="1:15" ht="15.75" customHeight="1" x14ac:dyDescent="0.35">
      <c r="A357" s="3"/>
      <c r="B357" s="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O357" s="3"/>
    </row>
    <row r="358" spans="1:15" ht="15.75" customHeight="1" x14ac:dyDescent="0.35">
      <c r="A358" s="3"/>
      <c r="B358" s="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O358" s="3"/>
    </row>
    <row r="359" spans="1:15" ht="15.75" customHeight="1" x14ac:dyDescent="0.35">
      <c r="A359" s="3"/>
      <c r="B359" s="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O359" s="3"/>
    </row>
    <row r="360" spans="1:15" ht="15.75" customHeight="1" x14ac:dyDescent="0.35">
      <c r="A360" s="3"/>
      <c r="B360" s="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O360" s="3"/>
    </row>
    <row r="361" spans="1:15" ht="15.75" customHeight="1" x14ac:dyDescent="0.35">
      <c r="A361" s="3"/>
      <c r="B361" s="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O361" s="3"/>
    </row>
    <row r="362" spans="1:15" ht="15.75" customHeight="1" x14ac:dyDescent="0.35">
      <c r="A362" s="3"/>
      <c r="B362" s="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O362" s="3"/>
    </row>
    <row r="363" spans="1:15" ht="15.75" customHeight="1" x14ac:dyDescent="0.35">
      <c r="A363" s="3"/>
      <c r="B363" s="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O363" s="3"/>
    </row>
    <row r="364" spans="1:15" ht="15.75" customHeight="1" x14ac:dyDescent="0.35">
      <c r="A364" s="3"/>
      <c r="B364" s="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O364" s="3"/>
    </row>
    <row r="365" spans="1:15" ht="15.75" customHeight="1" x14ac:dyDescent="0.35">
      <c r="A365" s="3"/>
      <c r="B365" s="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O365" s="3"/>
    </row>
    <row r="366" spans="1:15" ht="15.75" customHeight="1" x14ac:dyDescent="0.35">
      <c r="A366" s="3"/>
      <c r="B366" s="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O366" s="3"/>
    </row>
    <row r="367" spans="1:15" ht="15.75" customHeight="1" x14ac:dyDescent="0.35">
      <c r="A367" s="3"/>
      <c r="B367" s="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O367" s="3"/>
    </row>
    <row r="368" spans="1:15" ht="15.75" customHeight="1" x14ac:dyDescent="0.35">
      <c r="A368" s="3"/>
      <c r="B368" s="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O368" s="3"/>
    </row>
    <row r="369" spans="1:15" ht="15.75" customHeight="1" x14ac:dyDescent="0.35">
      <c r="A369" s="3"/>
      <c r="B369" s="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O369" s="3"/>
    </row>
    <row r="370" spans="1:15" ht="15.75" customHeight="1" x14ac:dyDescent="0.35">
      <c r="A370" s="3"/>
      <c r="B370" s="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O370" s="3"/>
    </row>
    <row r="371" spans="1:15" ht="15.75" customHeight="1" x14ac:dyDescent="0.35">
      <c r="A371" s="3"/>
      <c r="B371" s="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O371" s="3"/>
    </row>
    <row r="372" spans="1:15" ht="15.75" customHeight="1" x14ac:dyDescent="0.35">
      <c r="A372" s="3"/>
      <c r="B372" s="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O372" s="3"/>
    </row>
    <row r="373" spans="1:15" ht="15.75" customHeight="1" x14ac:dyDescent="0.35">
      <c r="A373" s="3"/>
      <c r="B373" s="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O373" s="3"/>
    </row>
    <row r="374" spans="1:15" ht="15.75" customHeight="1" x14ac:dyDescent="0.35">
      <c r="A374" s="3"/>
      <c r="B374" s="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O374" s="3"/>
    </row>
    <row r="375" spans="1:15" ht="15.75" customHeight="1" x14ac:dyDescent="0.35">
      <c r="A375" s="3"/>
      <c r="B375" s="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O375" s="3"/>
    </row>
    <row r="376" spans="1:15" ht="15.75" customHeight="1" x14ac:dyDescent="0.35">
      <c r="A376" s="3"/>
      <c r="B376" s="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O376" s="3"/>
    </row>
    <row r="377" spans="1:15" ht="15.75" customHeight="1" x14ac:dyDescent="0.35">
      <c r="A377" s="3"/>
      <c r="B377" s="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O377" s="3"/>
    </row>
    <row r="378" spans="1:15" ht="15.75" customHeight="1" x14ac:dyDescent="0.35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O378" s="3"/>
    </row>
    <row r="379" spans="1:15" ht="15.75" customHeight="1" x14ac:dyDescent="0.35">
      <c r="A379" s="3"/>
      <c r="B379" s="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O379" s="3"/>
    </row>
    <row r="380" spans="1:15" ht="15.75" customHeight="1" x14ac:dyDescent="0.35">
      <c r="A380" s="3"/>
      <c r="B380" s="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O380" s="3"/>
    </row>
    <row r="381" spans="1:15" ht="15.75" customHeight="1" x14ac:dyDescent="0.35">
      <c r="A381" s="3"/>
      <c r="B381" s="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O381" s="3"/>
    </row>
    <row r="382" spans="1:15" ht="15.75" customHeight="1" x14ac:dyDescent="0.35">
      <c r="A382" s="3"/>
      <c r="B382" s="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O382" s="3"/>
    </row>
    <row r="383" spans="1:15" ht="15.75" customHeight="1" x14ac:dyDescent="0.35">
      <c r="A383" s="3"/>
      <c r="B383" s="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O383" s="3"/>
    </row>
    <row r="384" spans="1:15" ht="15.75" customHeight="1" x14ac:dyDescent="0.35">
      <c r="A384" s="3"/>
      <c r="B384" s="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O384" s="3"/>
    </row>
    <row r="385" spans="1:15" ht="15.75" customHeight="1" x14ac:dyDescent="0.35">
      <c r="A385" s="3"/>
      <c r="B385" s="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O385" s="3"/>
    </row>
    <row r="386" spans="1:15" ht="15.75" customHeight="1" x14ac:dyDescent="0.35">
      <c r="A386" s="3"/>
      <c r="B386" s="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O386" s="3"/>
    </row>
    <row r="387" spans="1:15" ht="15.75" customHeight="1" x14ac:dyDescent="0.35">
      <c r="A387" s="3"/>
      <c r="B387" s="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O387" s="3"/>
    </row>
    <row r="388" spans="1:15" ht="15.75" customHeight="1" x14ac:dyDescent="0.35">
      <c r="A388" s="3"/>
      <c r="B388" s="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O388" s="3"/>
    </row>
    <row r="389" spans="1:15" ht="15.75" customHeight="1" x14ac:dyDescent="0.35">
      <c r="A389" s="3"/>
      <c r="B389" s="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O389" s="3"/>
    </row>
    <row r="390" spans="1:15" ht="15.75" customHeight="1" x14ac:dyDescent="0.35">
      <c r="A390" s="3"/>
      <c r="B390" s="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O390" s="3"/>
    </row>
    <row r="391" spans="1:15" ht="15.75" customHeight="1" x14ac:dyDescent="0.35">
      <c r="A391" s="3"/>
      <c r="B391" s="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O391" s="3"/>
    </row>
    <row r="392" spans="1:15" ht="15.75" customHeight="1" x14ac:dyDescent="0.35">
      <c r="A392" s="3"/>
      <c r="B392" s="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O392" s="3"/>
    </row>
    <row r="393" spans="1:15" ht="15.75" customHeight="1" x14ac:dyDescent="0.35">
      <c r="A393" s="3"/>
      <c r="B393" s="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O393" s="3"/>
    </row>
    <row r="394" spans="1:15" ht="15.75" customHeight="1" x14ac:dyDescent="0.35">
      <c r="A394" s="3"/>
      <c r="B394" s="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O394" s="3"/>
    </row>
    <row r="395" spans="1:15" ht="15.75" customHeight="1" x14ac:dyDescent="0.35">
      <c r="A395" s="3"/>
      <c r="B395" s="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O395" s="3"/>
    </row>
    <row r="396" spans="1:15" ht="15.75" customHeight="1" x14ac:dyDescent="0.35">
      <c r="A396" s="3"/>
      <c r="B396" s="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O396" s="3"/>
    </row>
    <row r="397" spans="1:15" ht="15.75" customHeight="1" x14ac:dyDescent="0.35">
      <c r="A397" s="3"/>
      <c r="B397" s="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O397" s="3"/>
    </row>
    <row r="398" spans="1:15" ht="15.75" customHeight="1" x14ac:dyDescent="0.35">
      <c r="A398" s="3"/>
      <c r="B398" s="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O398" s="3"/>
    </row>
    <row r="399" spans="1:15" ht="15.75" customHeight="1" x14ac:dyDescent="0.35">
      <c r="A399" s="3"/>
      <c r="B399" s="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O399" s="3"/>
    </row>
    <row r="400" spans="1:15" ht="15.75" customHeight="1" x14ac:dyDescent="0.35">
      <c r="A400" s="3"/>
      <c r="B400" s="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O400" s="3"/>
    </row>
    <row r="401" spans="1:15" ht="15.75" customHeight="1" x14ac:dyDescent="0.35">
      <c r="A401" s="3"/>
      <c r="B401" s="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O401" s="3"/>
    </row>
    <row r="402" spans="1:15" ht="15.75" customHeight="1" x14ac:dyDescent="0.35">
      <c r="A402" s="3"/>
      <c r="B402" s="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O402" s="3"/>
    </row>
    <row r="403" spans="1:15" ht="15.75" customHeight="1" x14ac:dyDescent="0.35">
      <c r="A403" s="3"/>
      <c r="B403" s="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O403" s="3"/>
    </row>
    <row r="404" spans="1:15" ht="15.75" customHeight="1" x14ac:dyDescent="0.35">
      <c r="A404" s="3"/>
      <c r="B404" s="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O404" s="3"/>
    </row>
    <row r="405" spans="1:15" ht="15.75" customHeight="1" x14ac:dyDescent="0.35">
      <c r="A405" s="3"/>
      <c r="B405" s="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O405" s="3"/>
    </row>
    <row r="406" spans="1:15" ht="15.75" customHeight="1" x14ac:dyDescent="0.35">
      <c r="A406" s="3"/>
      <c r="B406" s="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O406" s="3"/>
    </row>
    <row r="407" spans="1:15" ht="15.75" customHeight="1" x14ac:dyDescent="0.35">
      <c r="A407" s="3"/>
      <c r="B407" s="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O407" s="3"/>
    </row>
    <row r="408" spans="1:15" ht="15.75" customHeight="1" x14ac:dyDescent="0.35">
      <c r="A408" s="3"/>
      <c r="B408" s="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O408" s="3"/>
    </row>
    <row r="409" spans="1:15" ht="15.75" customHeight="1" x14ac:dyDescent="0.35">
      <c r="A409" s="3"/>
      <c r="B409" s="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O409" s="3"/>
    </row>
    <row r="410" spans="1:15" ht="15.75" customHeight="1" x14ac:dyDescent="0.35">
      <c r="A410" s="3"/>
      <c r="B410" s="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O410" s="3"/>
    </row>
    <row r="411" spans="1:15" ht="15.75" customHeight="1" x14ac:dyDescent="0.35">
      <c r="A411" s="3"/>
      <c r="B411" s="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O411" s="3"/>
    </row>
    <row r="412" spans="1:15" ht="15.75" customHeight="1" x14ac:dyDescent="0.35">
      <c r="A412" s="3"/>
      <c r="B412" s="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O412" s="3"/>
    </row>
    <row r="413" spans="1:15" ht="15.75" customHeight="1" x14ac:dyDescent="0.35">
      <c r="A413" s="3"/>
      <c r="B413" s="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O413" s="3"/>
    </row>
    <row r="414" spans="1:15" ht="15.75" customHeight="1" x14ac:dyDescent="0.35">
      <c r="A414" s="3"/>
      <c r="B414" s="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O414" s="3"/>
    </row>
    <row r="415" spans="1:15" ht="15.75" customHeight="1" x14ac:dyDescent="0.35">
      <c r="A415" s="3"/>
      <c r="B415" s="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O415" s="3"/>
    </row>
    <row r="416" spans="1:15" ht="15.75" customHeight="1" x14ac:dyDescent="0.35">
      <c r="A416" s="3"/>
      <c r="B416" s="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O416" s="3"/>
    </row>
    <row r="417" spans="1:15" ht="15.75" customHeight="1" x14ac:dyDescent="0.35">
      <c r="A417" s="3"/>
      <c r="B417" s="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O417" s="3"/>
    </row>
    <row r="418" spans="1:15" ht="15.75" customHeight="1" x14ac:dyDescent="0.35">
      <c r="A418" s="3"/>
      <c r="B418" s="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O418" s="3"/>
    </row>
    <row r="419" spans="1:15" ht="15.75" customHeight="1" x14ac:dyDescent="0.35">
      <c r="A419" s="3"/>
      <c r="B419" s="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O419" s="3"/>
    </row>
    <row r="420" spans="1:15" ht="15.75" customHeight="1" x14ac:dyDescent="0.35">
      <c r="A420" s="3"/>
      <c r="B420" s="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O420" s="3"/>
    </row>
    <row r="421" spans="1:15" ht="15.75" customHeight="1" x14ac:dyDescent="0.35">
      <c r="A421" s="3"/>
      <c r="B421" s="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O421" s="3"/>
    </row>
    <row r="422" spans="1:15" ht="15.75" customHeight="1" x14ac:dyDescent="0.35">
      <c r="A422" s="3"/>
      <c r="B422" s="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O422" s="3"/>
    </row>
    <row r="423" spans="1:15" ht="15.75" customHeight="1" x14ac:dyDescent="0.35">
      <c r="A423" s="3"/>
      <c r="B423" s="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O423" s="3"/>
    </row>
    <row r="424" spans="1:15" ht="15.75" customHeight="1" x14ac:dyDescent="0.35">
      <c r="A424" s="3"/>
      <c r="B424" s="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O424" s="3"/>
    </row>
    <row r="425" spans="1:15" ht="15.75" customHeight="1" x14ac:dyDescent="0.35">
      <c r="A425" s="3"/>
      <c r="B425" s="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O425" s="3"/>
    </row>
    <row r="426" spans="1:15" ht="15.75" customHeight="1" x14ac:dyDescent="0.35">
      <c r="A426" s="3"/>
      <c r="B426" s="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O426" s="3"/>
    </row>
    <row r="427" spans="1:15" ht="15.75" customHeight="1" x14ac:dyDescent="0.35">
      <c r="A427" s="3"/>
      <c r="B427" s="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O427" s="3"/>
    </row>
    <row r="428" spans="1:15" ht="15.75" customHeight="1" x14ac:dyDescent="0.35">
      <c r="A428" s="3"/>
      <c r="B428" s="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O428" s="3"/>
    </row>
    <row r="429" spans="1:15" ht="15.75" customHeight="1" x14ac:dyDescent="0.35">
      <c r="A429" s="3"/>
      <c r="B429" s="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O429" s="3"/>
    </row>
    <row r="430" spans="1:15" ht="15.75" customHeight="1" x14ac:dyDescent="0.35">
      <c r="A430" s="3"/>
      <c r="B430" s="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O430" s="3"/>
    </row>
    <row r="431" spans="1:15" ht="15.75" customHeight="1" x14ac:dyDescent="0.35">
      <c r="A431" s="3"/>
      <c r="B431" s="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O431" s="3"/>
    </row>
    <row r="432" spans="1:15" ht="15.75" customHeight="1" x14ac:dyDescent="0.35">
      <c r="A432" s="3"/>
      <c r="B432" s="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O432" s="3"/>
    </row>
    <row r="433" spans="1:15" ht="15.75" customHeight="1" x14ac:dyDescent="0.35">
      <c r="A433" s="3"/>
      <c r="B433" s="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O433" s="3"/>
    </row>
    <row r="434" spans="1:15" ht="15.75" customHeight="1" x14ac:dyDescent="0.35">
      <c r="A434" s="3"/>
      <c r="B434" s="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O434" s="3"/>
    </row>
    <row r="435" spans="1:15" ht="15.75" customHeight="1" x14ac:dyDescent="0.35">
      <c r="A435" s="3"/>
      <c r="B435" s="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O435" s="3"/>
    </row>
    <row r="436" spans="1:15" ht="15.75" customHeight="1" x14ac:dyDescent="0.35">
      <c r="A436" s="3"/>
      <c r="B436" s="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O436" s="3"/>
    </row>
    <row r="437" spans="1:15" ht="15.75" customHeight="1" x14ac:dyDescent="0.35">
      <c r="A437" s="3"/>
      <c r="B437" s="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O437" s="3"/>
    </row>
    <row r="438" spans="1:15" ht="15.75" customHeight="1" x14ac:dyDescent="0.35">
      <c r="A438" s="3"/>
      <c r="B438" s="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O438" s="3"/>
    </row>
    <row r="439" spans="1:15" ht="15.75" customHeight="1" x14ac:dyDescent="0.35">
      <c r="A439" s="3"/>
      <c r="B439" s="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O439" s="3"/>
    </row>
    <row r="440" spans="1:15" ht="15.75" customHeight="1" x14ac:dyDescent="0.35">
      <c r="A440" s="3"/>
      <c r="B440" s="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O440" s="3"/>
    </row>
    <row r="441" spans="1:15" ht="15.75" customHeight="1" x14ac:dyDescent="0.35">
      <c r="A441" s="3"/>
      <c r="B441" s="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O441" s="3"/>
    </row>
    <row r="442" spans="1:15" ht="15.75" customHeight="1" x14ac:dyDescent="0.35">
      <c r="A442" s="3"/>
      <c r="B442" s="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O442" s="3"/>
    </row>
    <row r="443" spans="1:15" ht="15.75" customHeight="1" x14ac:dyDescent="0.35">
      <c r="A443" s="3"/>
      <c r="B443" s="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O443" s="3"/>
    </row>
    <row r="444" spans="1:15" ht="15.75" customHeight="1" x14ac:dyDescent="0.35">
      <c r="A444" s="3"/>
      <c r="B444" s="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O444" s="3"/>
    </row>
    <row r="445" spans="1:15" ht="15.75" customHeight="1" x14ac:dyDescent="0.35">
      <c r="A445" s="3"/>
      <c r="B445" s="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O445" s="3"/>
    </row>
    <row r="446" spans="1:15" ht="15.75" customHeight="1" x14ac:dyDescent="0.35">
      <c r="A446" s="3"/>
      <c r="B446" s="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O446" s="3"/>
    </row>
    <row r="447" spans="1:15" ht="15.75" customHeight="1" x14ac:dyDescent="0.35">
      <c r="A447" s="3"/>
      <c r="B447" s="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O447" s="3"/>
    </row>
    <row r="448" spans="1:15" ht="15.75" customHeight="1" x14ac:dyDescent="0.35">
      <c r="A448" s="3"/>
      <c r="B448" s="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O448" s="3"/>
    </row>
    <row r="449" spans="1:15" ht="15.75" customHeight="1" x14ac:dyDescent="0.35">
      <c r="A449" s="3"/>
      <c r="B449" s="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O449" s="3"/>
    </row>
    <row r="450" spans="1:15" ht="15.75" customHeight="1" x14ac:dyDescent="0.35">
      <c r="A450" s="3"/>
      <c r="B450" s="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O450" s="3"/>
    </row>
    <row r="451" spans="1:15" ht="15.75" customHeight="1" x14ac:dyDescent="0.35">
      <c r="A451" s="3"/>
      <c r="B451" s="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O451" s="3"/>
    </row>
    <row r="452" spans="1:15" ht="15.75" customHeight="1" x14ac:dyDescent="0.35">
      <c r="A452" s="3"/>
      <c r="B452" s="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O452" s="3"/>
    </row>
    <row r="453" spans="1:15" ht="15.75" customHeight="1" x14ac:dyDescent="0.35">
      <c r="A453" s="3"/>
      <c r="B453" s="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O453" s="3"/>
    </row>
    <row r="454" spans="1:15" ht="15.75" customHeight="1" x14ac:dyDescent="0.35">
      <c r="A454" s="3"/>
      <c r="B454" s="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O454" s="3"/>
    </row>
    <row r="455" spans="1:15" ht="15.75" customHeight="1" x14ac:dyDescent="0.35">
      <c r="A455" s="3"/>
      <c r="B455" s="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O455" s="3"/>
    </row>
    <row r="456" spans="1:15" ht="15.75" customHeight="1" x14ac:dyDescent="0.35">
      <c r="A456" s="3"/>
      <c r="B456" s="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O456" s="3"/>
    </row>
    <row r="457" spans="1:15" ht="15.75" customHeight="1" x14ac:dyDescent="0.35">
      <c r="A457" s="3"/>
      <c r="B457" s="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O457" s="3"/>
    </row>
    <row r="458" spans="1:15" ht="15.75" customHeight="1" x14ac:dyDescent="0.35">
      <c r="A458" s="3"/>
      <c r="B458" s="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O458" s="3"/>
    </row>
    <row r="459" spans="1:15" ht="15.75" customHeight="1" x14ac:dyDescent="0.35">
      <c r="A459" s="3"/>
      <c r="B459" s="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O459" s="3"/>
    </row>
    <row r="460" spans="1:15" ht="15.75" customHeight="1" x14ac:dyDescent="0.35">
      <c r="A460" s="3"/>
      <c r="B460" s="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O460" s="3"/>
    </row>
    <row r="461" spans="1:15" ht="15.75" customHeight="1" x14ac:dyDescent="0.35">
      <c r="A461" s="3"/>
      <c r="B461" s="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O461" s="3"/>
    </row>
    <row r="462" spans="1:15" ht="15.75" customHeight="1" x14ac:dyDescent="0.35">
      <c r="A462" s="3"/>
      <c r="B462" s="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O462" s="3"/>
    </row>
    <row r="463" spans="1:15" ht="15.75" customHeight="1" x14ac:dyDescent="0.35">
      <c r="A463" s="3"/>
      <c r="B463" s="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O463" s="3"/>
    </row>
    <row r="464" spans="1:15" ht="15.75" customHeight="1" x14ac:dyDescent="0.35">
      <c r="A464" s="3"/>
      <c r="B464" s="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O464" s="3"/>
    </row>
    <row r="465" spans="1:15" ht="15.75" customHeight="1" x14ac:dyDescent="0.35">
      <c r="A465" s="3"/>
      <c r="B465" s="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O465" s="3"/>
    </row>
    <row r="466" spans="1:15" ht="15.75" customHeight="1" x14ac:dyDescent="0.35">
      <c r="A466" s="3"/>
      <c r="B466" s="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O466" s="3"/>
    </row>
    <row r="467" spans="1:15" ht="15.75" customHeight="1" x14ac:dyDescent="0.35">
      <c r="A467" s="3"/>
      <c r="B467" s="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O467" s="3"/>
    </row>
    <row r="468" spans="1:15" ht="15.75" customHeight="1" x14ac:dyDescent="0.35">
      <c r="A468" s="3"/>
      <c r="B468" s="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O468" s="3"/>
    </row>
    <row r="469" spans="1:15" ht="15.75" customHeight="1" x14ac:dyDescent="0.35">
      <c r="A469" s="3"/>
      <c r="B469" s="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O469" s="3"/>
    </row>
    <row r="470" spans="1:15" ht="15.75" customHeight="1" x14ac:dyDescent="0.35">
      <c r="A470" s="3"/>
      <c r="B470" s="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O470" s="3"/>
    </row>
    <row r="471" spans="1:15" ht="15.75" customHeight="1" x14ac:dyDescent="0.35">
      <c r="A471" s="3"/>
      <c r="B471" s="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O471" s="3"/>
    </row>
    <row r="472" spans="1:15" ht="15.75" customHeight="1" x14ac:dyDescent="0.35">
      <c r="A472" s="3"/>
      <c r="B472" s="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O472" s="3"/>
    </row>
    <row r="473" spans="1:15" ht="15.75" customHeight="1" x14ac:dyDescent="0.35">
      <c r="A473" s="3"/>
      <c r="B473" s="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O473" s="3"/>
    </row>
    <row r="474" spans="1:15" ht="15.75" customHeight="1" x14ac:dyDescent="0.35">
      <c r="A474" s="3"/>
      <c r="B474" s="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O474" s="3"/>
    </row>
    <row r="475" spans="1:15" ht="15.75" customHeight="1" x14ac:dyDescent="0.35">
      <c r="A475" s="3"/>
      <c r="B475" s="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O475" s="3"/>
    </row>
    <row r="476" spans="1:15" ht="15.75" customHeight="1" x14ac:dyDescent="0.35">
      <c r="A476" s="3"/>
      <c r="B476" s="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O476" s="3"/>
    </row>
    <row r="477" spans="1:15" ht="15.75" customHeight="1" x14ac:dyDescent="0.35">
      <c r="A477" s="3"/>
      <c r="B477" s="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O477" s="3"/>
    </row>
    <row r="478" spans="1:15" ht="15.75" customHeight="1" x14ac:dyDescent="0.35">
      <c r="A478" s="3"/>
      <c r="B478" s="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O478" s="3"/>
    </row>
    <row r="479" spans="1:15" ht="15.75" customHeight="1" x14ac:dyDescent="0.35">
      <c r="A479" s="3"/>
      <c r="B479" s="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O479" s="3"/>
    </row>
    <row r="480" spans="1:15" ht="15.75" customHeight="1" x14ac:dyDescent="0.35">
      <c r="A480" s="3"/>
      <c r="B480" s="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O480" s="3"/>
    </row>
    <row r="481" spans="1:15" ht="15.75" customHeight="1" x14ac:dyDescent="0.35">
      <c r="A481" s="3"/>
      <c r="B481" s="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O481" s="3"/>
    </row>
    <row r="482" spans="1:15" ht="15.75" customHeight="1" x14ac:dyDescent="0.35">
      <c r="A482" s="3"/>
      <c r="B482" s="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O482" s="3"/>
    </row>
    <row r="483" spans="1:15" ht="15.75" customHeight="1" x14ac:dyDescent="0.35">
      <c r="A483" s="3"/>
      <c r="B483" s="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O483" s="3"/>
    </row>
    <row r="484" spans="1:15" ht="15.75" customHeight="1" x14ac:dyDescent="0.35">
      <c r="A484" s="3"/>
      <c r="B484" s="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O484" s="3"/>
    </row>
    <row r="485" spans="1:15" ht="15.75" customHeight="1" x14ac:dyDescent="0.35">
      <c r="A485" s="3"/>
      <c r="B485" s="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O485" s="3"/>
    </row>
    <row r="486" spans="1:15" ht="15.75" customHeight="1" x14ac:dyDescent="0.35">
      <c r="A486" s="3"/>
      <c r="B486" s="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O486" s="3"/>
    </row>
    <row r="487" spans="1:15" ht="15.75" customHeight="1" x14ac:dyDescent="0.35">
      <c r="A487" s="3"/>
      <c r="B487" s="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O487" s="3"/>
    </row>
    <row r="488" spans="1:15" ht="15.75" customHeight="1" x14ac:dyDescent="0.35">
      <c r="A488" s="3"/>
      <c r="B488" s="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O488" s="3"/>
    </row>
    <row r="489" spans="1:15" ht="15.75" customHeight="1" x14ac:dyDescent="0.35">
      <c r="A489" s="3"/>
      <c r="B489" s="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O489" s="3"/>
    </row>
    <row r="490" spans="1:15" ht="15.75" customHeight="1" x14ac:dyDescent="0.35">
      <c r="A490" s="3"/>
      <c r="B490" s="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O490" s="3"/>
    </row>
    <row r="491" spans="1:15" ht="15.75" customHeight="1" x14ac:dyDescent="0.35">
      <c r="A491" s="3"/>
      <c r="B491" s="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O491" s="3"/>
    </row>
    <row r="492" spans="1:15" ht="15.75" customHeight="1" x14ac:dyDescent="0.35">
      <c r="A492" s="3"/>
      <c r="B492" s="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O492" s="3"/>
    </row>
    <row r="493" spans="1:15" ht="15.75" customHeight="1" x14ac:dyDescent="0.35">
      <c r="A493" s="3"/>
      <c r="B493" s="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O493" s="3"/>
    </row>
    <row r="494" spans="1:15" ht="15.75" customHeight="1" x14ac:dyDescent="0.35">
      <c r="A494" s="3"/>
      <c r="B494" s="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O494" s="3"/>
    </row>
    <row r="495" spans="1:15" ht="15.75" customHeight="1" x14ac:dyDescent="0.35">
      <c r="A495" s="3"/>
      <c r="B495" s="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O495" s="3"/>
    </row>
    <row r="496" spans="1:15" ht="15.75" customHeight="1" x14ac:dyDescent="0.35">
      <c r="A496" s="3"/>
      <c r="B496" s="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O496" s="3"/>
    </row>
    <row r="497" spans="1:15" ht="15.75" customHeight="1" x14ac:dyDescent="0.35">
      <c r="A497" s="3"/>
      <c r="B497" s="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O497" s="3"/>
    </row>
    <row r="498" spans="1:15" ht="15.75" customHeight="1" x14ac:dyDescent="0.35">
      <c r="A498" s="3"/>
      <c r="B498" s="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O498" s="3"/>
    </row>
    <row r="499" spans="1:15" ht="15.75" customHeight="1" x14ac:dyDescent="0.35">
      <c r="A499" s="3"/>
      <c r="B499" s="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O499" s="3"/>
    </row>
    <row r="500" spans="1:15" ht="15.75" customHeight="1" x14ac:dyDescent="0.35">
      <c r="A500" s="3"/>
      <c r="B500" s="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O500" s="3"/>
    </row>
    <row r="501" spans="1:15" ht="15.75" customHeight="1" x14ac:dyDescent="0.35">
      <c r="A501" s="3"/>
      <c r="B501" s="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O501" s="3"/>
    </row>
    <row r="502" spans="1:15" ht="15.75" customHeight="1" x14ac:dyDescent="0.35">
      <c r="A502" s="3"/>
      <c r="B502" s="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O502" s="3"/>
    </row>
    <row r="503" spans="1:15" ht="15.75" customHeight="1" x14ac:dyDescent="0.35">
      <c r="A503" s="3"/>
      <c r="B503" s="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O503" s="3"/>
    </row>
    <row r="504" spans="1:15" ht="15.75" customHeight="1" x14ac:dyDescent="0.35">
      <c r="A504" s="3"/>
      <c r="B504" s="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O504" s="3"/>
    </row>
    <row r="505" spans="1:15" ht="15.75" customHeight="1" x14ac:dyDescent="0.35">
      <c r="A505" s="3"/>
      <c r="B505" s="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O505" s="3"/>
    </row>
    <row r="506" spans="1:15" ht="15.75" customHeight="1" x14ac:dyDescent="0.35">
      <c r="A506" s="3"/>
      <c r="B506" s="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O506" s="3"/>
    </row>
    <row r="507" spans="1:15" ht="15.75" customHeight="1" x14ac:dyDescent="0.35">
      <c r="A507" s="3"/>
      <c r="B507" s="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O507" s="3"/>
    </row>
    <row r="508" spans="1:15" ht="15.75" customHeight="1" x14ac:dyDescent="0.35">
      <c r="A508" s="3"/>
      <c r="B508" s="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O508" s="3"/>
    </row>
    <row r="509" spans="1:15" ht="15.75" customHeight="1" x14ac:dyDescent="0.35">
      <c r="A509" s="3"/>
      <c r="B509" s="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O509" s="3"/>
    </row>
    <row r="510" spans="1:15" ht="15.75" customHeight="1" x14ac:dyDescent="0.35">
      <c r="A510" s="3"/>
      <c r="B510" s="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O510" s="3"/>
    </row>
    <row r="511" spans="1:15" ht="15.75" customHeight="1" x14ac:dyDescent="0.35">
      <c r="A511" s="3"/>
      <c r="B511" s="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O511" s="3"/>
    </row>
    <row r="512" spans="1:15" ht="15.75" customHeight="1" x14ac:dyDescent="0.35">
      <c r="A512" s="3"/>
      <c r="B512" s="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O512" s="3"/>
    </row>
    <row r="513" spans="1:15" ht="15.75" customHeight="1" x14ac:dyDescent="0.35">
      <c r="A513" s="3"/>
      <c r="B513" s="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O513" s="3"/>
    </row>
    <row r="514" spans="1:15" ht="15.75" customHeight="1" x14ac:dyDescent="0.35">
      <c r="A514" s="3"/>
      <c r="B514" s="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O514" s="3"/>
    </row>
    <row r="515" spans="1:15" ht="15.75" customHeight="1" x14ac:dyDescent="0.35">
      <c r="A515" s="3"/>
      <c r="B515" s="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O515" s="3"/>
    </row>
    <row r="516" spans="1:15" ht="15.75" customHeight="1" x14ac:dyDescent="0.35">
      <c r="A516" s="3"/>
      <c r="B516" s="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O516" s="3"/>
    </row>
    <row r="517" spans="1:15" ht="15.75" customHeight="1" x14ac:dyDescent="0.35">
      <c r="A517" s="3"/>
      <c r="B517" s="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O517" s="3"/>
    </row>
    <row r="518" spans="1:15" ht="15.75" customHeight="1" x14ac:dyDescent="0.35">
      <c r="A518" s="3"/>
      <c r="B518" s="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O518" s="3"/>
    </row>
    <row r="519" spans="1:15" ht="15.75" customHeight="1" x14ac:dyDescent="0.35">
      <c r="A519" s="3"/>
      <c r="B519" s="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O519" s="3"/>
    </row>
    <row r="520" spans="1:15" ht="15.75" customHeight="1" x14ac:dyDescent="0.35">
      <c r="A520" s="3"/>
      <c r="B520" s="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O520" s="3"/>
    </row>
    <row r="521" spans="1:15" ht="15.75" customHeight="1" x14ac:dyDescent="0.35">
      <c r="A521" s="3"/>
      <c r="B521" s="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O521" s="3"/>
    </row>
    <row r="522" spans="1:15" ht="15.75" customHeight="1" x14ac:dyDescent="0.35">
      <c r="A522" s="3"/>
      <c r="B522" s="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O522" s="3"/>
    </row>
    <row r="523" spans="1:15" ht="15.75" customHeight="1" x14ac:dyDescent="0.35">
      <c r="A523" s="3"/>
      <c r="B523" s="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O523" s="3"/>
    </row>
    <row r="524" spans="1:15" ht="15.75" customHeight="1" x14ac:dyDescent="0.35">
      <c r="A524" s="3"/>
      <c r="B524" s="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O524" s="3"/>
    </row>
    <row r="525" spans="1:15" ht="15.75" customHeight="1" x14ac:dyDescent="0.35">
      <c r="A525" s="3"/>
      <c r="B525" s="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O525" s="3"/>
    </row>
    <row r="526" spans="1:15" ht="15.75" customHeight="1" x14ac:dyDescent="0.35">
      <c r="A526" s="3"/>
      <c r="B526" s="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O526" s="3"/>
    </row>
    <row r="527" spans="1:15" ht="15.75" customHeight="1" x14ac:dyDescent="0.35">
      <c r="A527" s="3"/>
      <c r="B527" s="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O527" s="3"/>
    </row>
    <row r="528" spans="1:15" ht="15.75" customHeight="1" x14ac:dyDescent="0.35">
      <c r="A528" s="3"/>
      <c r="B528" s="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O528" s="3"/>
    </row>
    <row r="529" spans="1:15" ht="15.75" customHeight="1" x14ac:dyDescent="0.35">
      <c r="A529" s="3"/>
      <c r="B529" s="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O529" s="3"/>
    </row>
    <row r="530" spans="1:15" ht="15.75" customHeight="1" x14ac:dyDescent="0.35">
      <c r="A530" s="3"/>
      <c r="B530" s="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O530" s="3"/>
    </row>
    <row r="531" spans="1:15" ht="15.75" customHeight="1" x14ac:dyDescent="0.35">
      <c r="A531" s="3"/>
      <c r="B531" s="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O531" s="3"/>
    </row>
    <row r="532" spans="1:15" ht="15.75" customHeight="1" x14ac:dyDescent="0.35">
      <c r="A532" s="3"/>
      <c r="B532" s="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O532" s="3"/>
    </row>
    <row r="533" spans="1:15" ht="15.75" customHeight="1" x14ac:dyDescent="0.35">
      <c r="A533" s="3"/>
      <c r="B533" s="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O533" s="3"/>
    </row>
    <row r="534" spans="1:15" ht="15.75" customHeight="1" x14ac:dyDescent="0.35">
      <c r="A534" s="3"/>
      <c r="B534" s="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O534" s="3"/>
    </row>
    <row r="535" spans="1:15" ht="15.75" customHeight="1" x14ac:dyDescent="0.35">
      <c r="A535" s="3"/>
      <c r="B535" s="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O535" s="3"/>
    </row>
    <row r="536" spans="1:15" ht="15.75" customHeight="1" x14ac:dyDescent="0.35">
      <c r="A536" s="3"/>
      <c r="B536" s="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O536" s="3"/>
    </row>
    <row r="537" spans="1:15" ht="15.75" customHeight="1" x14ac:dyDescent="0.35">
      <c r="A537" s="3"/>
      <c r="B537" s="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O537" s="3"/>
    </row>
    <row r="538" spans="1:15" ht="15.75" customHeight="1" x14ac:dyDescent="0.35">
      <c r="A538" s="3"/>
      <c r="B538" s="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O538" s="3"/>
    </row>
    <row r="539" spans="1:15" ht="15.75" customHeight="1" x14ac:dyDescent="0.35">
      <c r="A539" s="3"/>
      <c r="B539" s="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O539" s="3"/>
    </row>
    <row r="540" spans="1:15" ht="15.75" customHeight="1" x14ac:dyDescent="0.35">
      <c r="A540" s="3"/>
      <c r="B540" s="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O540" s="3"/>
    </row>
    <row r="541" spans="1:15" ht="15.75" customHeight="1" x14ac:dyDescent="0.35">
      <c r="A541" s="3"/>
      <c r="B541" s="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O541" s="3"/>
    </row>
    <row r="542" spans="1:15" ht="15.75" customHeight="1" x14ac:dyDescent="0.35">
      <c r="A542" s="3"/>
      <c r="B542" s="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O542" s="3"/>
    </row>
    <row r="543" spans="1:15" ht="15.75" customHeight="1" x14ac:dyDescent="0.35">
      <c r="A543" s="3"/>
      <c r="B543" s="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O543" s="3"/>
    </row>
    <row r="544" spans="1:15" ht="15.75" customHeight="1" x14ac:dyDescent="0.35">
      <c r="A544" s="3"/>
      <c r="B544" s="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O544" s="3"/>
    </row>
    <row r="545" spans="1:15" ht="15.75" customHeight="1" x14ac:dyDescent="0.35">
      <c r="A545" s="3"/>
      <c r="B545" s="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O545" s="3"/>
    </row>
    <row r="546" spans="1:15" ht="15.75" customHeight="1" x14ac:dyDescent="0.35">
      <c r="A546" s="3"/>
      <c r="B546" s="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O546" s="3"/>
    </row>
    <row r="547" spans="1:15" ht="15.75" customHeight="1" x14ac:dyDescent="0.35">
      <c r="A547" s="3"/>
      <c r="B547" s="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O547" s="3"/>
    </row>
    <row r="548" spans="1:15" ht="15.75" customHeight="1" x14ac:dyDescent="0.35">
      <c r="A548" s="3"/>
      <c r="B548" s="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O548" s="3"/>
    </row>
    <row r="549" spans="1:15" ht="15.75" customHeight="1" x14ac:dyDescent="0.35">
      <c r="A549" s="3"/>
      <c r="B549" s="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O549" s="3"/>
    </row>
    <row r="550" spans="1:15" ht="15.75" customHeight="1" x14ac:dyDescent="0.35">
      <c r="A550" s="3"/>
      <c r="B550" s="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O550" s="3"/>
    </row>
    <row r="551" spans="1:15" ht="15.75" customHeight="1" x14ac:dyDescent="0.35">
      <c r="A551" s="3"/>
      <c r="B551" s="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O551" s="3"/>
    </row>
    <row r="552" spans="1:15" ht="15.75" customHeight="1" x14ac:dyDescent="0.35">
      <c r="A552" s="3"/>
      <c r="B552" s="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O552" s="3"/>
    </row>
    <row r="553" spans="1:15" ht="15.75" customHeight="1" x14ac:dyDescent="0.35">
      <c r="A553" s="3"/>
      <c r="B553" s="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O553" s="3"/>
    </row>
    <row r="554" spans="1:15" ht="15.75" customHeight="1" x14ac:dyDescent="0.35">
      <c r="A554" s="3"/>
      <c r="B554" s="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O554" s="3"/>
    </row>
    <row r="555" spans="1:15" ht="15.75" customHeight="1" x14ac:dyDescent="0.35">
      <c r="A555" s="3"/>
      <c r="B555" s="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O555" s="3"/>
    </row>
    <row r="556" spans="1:15" ht="15.75" customHeight="1" x14ac:dyDescent="0.35">
      <c r="A556" s="3"/>
      <c r="B556" s="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O556" s="3"/>
    </row>
    <row r="557" spans="1:15" ht="15.75" customHeight="1" x14ac:dyDescent="0.35">
      <c r="A557" s="3"/>
      <c r="B557" s="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O557" s="3"/>
    </row>
    <row r="558" spans="1:15" ht="15.75" customHeight="1" x14ac:dyDescent="0.35">
      <c r="A558" s="3"/>
      <c r="B558" s="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O558" s="3"/>
    </row>
    <row r="559" spans="1:15" ht="15.75" customHeight="1" x14ac:dyDescent="0.35">
      <c r="A559" s="3"/>
      <c r="B559" s="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O559" s="3"/>
    </row>
    <row r="560" spans="1:15" ht="15.75" customHeight="1" x14ac:dyDescent="0.35">
      <c r="A560" s="3"/>
      <c r="B560" s="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O560" s="3"/>
    </row>
    <row r="561" spans="1:15" ht="15.75" customHeight="1" x14ac:dyDescent="0.35">
      <c r="A561" s="3"/>
      <c r="B561" s="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O561" s="3"/>
    </row>
    <row r="562" spans="1:15" ht="15.75" customHeight="1" x14ac:dyDescent="0.35">
      <c r="A562" s="3"/>
      <c r="B562" s="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O562" s="3"/>
    </row>
    <row r="563" spans="1:15" ht="15.75" customHeight="1" x14ac:dyDescent="0.35">
      <c r="A563" s="3"/>
      <c r="B563" s="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O563" s="3"/>
    </row>
    <row r="564" spans="1:15" ht="15.75" customHeight="1" x14ac:dyDescent="0.35">
      <c r="A564" s="3"/>
      <c r="B564" s="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O564" s="3"/>
    </row>
    <row r="565" spans="1:15" ht="15.75" customHeight="1" x14ac:dyDescent="0.35">
      <c r="A565" s="3"/>
      <c r="B565" s="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O565" s="3"/>
    </row>
    <row r="566" spans="1:15" ht="15.75" customHeight="1" x14ac:dyDescent="0.35">
      <c r="A566" s="3"/>
      <c r="B566" s="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O566" s="3"/>
    </row>
    <row r="567" spans="1:15" ht="15.75" customHeight="1" x14ac:dyDescent="0.35">
      <c r="A567" s="3"/>
      <c r="B567" s="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O567" s="3"/>
    </row>
    <row r="568" spans="1:15" ht="15.75" customHeight="1" x14ac:dyDescent="0.35">
      <c r="A568" s="3"/>
      <c r="B568" s="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O568" s="3"/>
    </row>
    <row r="569" spans="1:15" ht="15.75" customHeight="1" x14ac:dyDescent="0.35">
      <c r="A569" s="3"/>
      <c r="B569" s="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O569" s="3"/>
    </row>
    <row r="570" spans="1:15" ht="15.75" customHeight="1" x14ac:dyDescent="0.35">
      <c r="A570" s="3"/>
      <c r="B570" s="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O570" s="3"/>
    </row>
    <row r="571" spans="1:15" ht="15.75" customHeight="1" x14ac:dyDescent="0.35">
      <c r="A571" s="3"/>
      <c r="B571" s="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O571" s="3"/>
    </row>
    <row r="572" spans="1:15" ht="15.75" customHeight="1" x14ac:dyDescent="0.35">
      <c r="A572" s="3"/>
      <c r="B572" s="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O572" s="3"/>
    </row>
    <row r="573" spans="1:15" ht="15.75" customHeight="1" x14ac:dyDescent="0.35">
      <c r="A573" s="3"/>
      <c r="B573" s="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O573" s="3"/>
    </row>
    <row r="574" spans="1:15" ht="15.75" customHeight="1" x14ac:dyDescent="0.35">
      <c r="A574" s="3"/>
      <c r="B574" s="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O574" s="3"/>
    </row>
    <row r="575" spans="1:15" ht="15.75" customHeight="1" x14ac:dyDescent="0.35">
      <c r="A575" s="3"/>
      <c r="B575" s="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O575" s="3"/>
    </row>
    <row r="576" spans="1:15" ht="15.75" customHeight="1" x14ac:dyDescent="0.35">
      <c r="A576" s="3"/>
      <c r="B576" s="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O576" s="3"/>
    </row>
    <row r="577" spans="1:15" ht="15.75" customHeight="1" x14ac:dyDescent="0.35">
      <c r="A577" s="3"/>
      <c r="B577" s="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O577" s="3"/>
    </row>
    <row r="578" spans="1:15" ht="15.75" customHeight="1" x14ac:dyDescent="0.35">
      <c r="A578" s="3"/>
      <c r="B578" s="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O578" s="3"/>
    </row>
    <row r="579" spans="1:15" ht="15.75" customHeight="1" x14ac:dyDescent="0.35">
      <c r="A579" s="3"/>
      <c r="B579" s="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O579" s="3"/>
    </row>
    <row r="580" spans="1:15" ht="15.75" customHeight="1" x14ac:dyDescent="0.35">
      <c r="A580" s="3"/>
      <c r="B580" s="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O580" s="3"/>
    </row>
    <row r="581" spans="1:15" ht="15.75" customHeight="1" x14ac:dyDescent="0.35">
      <c r="A581" s="3"/>
      <c r="B581" s="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O581" s="3"/>
    </row>
    <row r="582" spans="1:15" ht="15.75" customHeight="1" x14ac:dyDescent="0.35">
      <c r="A582" s="3"/>
      <c r="B582" s="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O582" s="3"/>
    </row>
    <row r="583" spans="1:15" ht="15.75" customHeight="1" x14ac:dyDescent="0.35">
      <c r="A583" s="3"/>
      <c r="B583" s="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O583" s="3"/>
    </row>
    <row r="584" spans="1:15" ht="15.75" customHeight="1" x14ac:dyDescent="0.35">
      <c r="A584" s="3"/>
      <c r="B584" s="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O584" s="3"/>
    </row>
    <row r="585" spans="1:15" ht="15.75" customHeight="1" x14ac:dyDescent="0.35">
      <c r="A585" s="3"/>
      <c r="B585" s="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O585" s="3"/>
    </row>
    <row r="586" spans="1:15" ht="15.75" customHeight="1" x14ac:dyDescent="0.35">
      <c r="A586" s="3"/>
      <c r="B586" s="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O586" s="3"/>
    </row>
    <row r="587" spans="1:15" ht="15.75" customHeight="1" x14ac:dyDescent="0.35">
      <c r="A587" s="3"/>
      <c r="B587" s="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O587" s="3"/>
    </row>
    <row r="588" spans="1:15" ht="15.75" customHeight="1" x14ac:dyDescent="0.35">
      <c r="A588" s="3"/>
      <c r="B588" s="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O588" s="3"/>
    </row>
    <row r="589" spans="1:15" ht="15.75" customHeight="1" x14ac:dyDescent="0.35">
      <c r="A589" s="3"/>
      <c r="B589" s="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O589" s="3"/>
    </row>
    <row r="590" spans="1:15" ht="15.75" customHeight="1" x14ac:dyDescent="0.35">
      <c r="A590" s="3"/>
      <c r="B590" s="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O590" s="3"/>
    </row>
    <row r="591" spans="1:15" ht="15.75" customHeight="1" x14ac:dyDescent="0.35">
      <c r="A591" s="3"/>
      <c r="B591" s="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O591" s="3"/>
    </row>
    <row r="592" spans="1:15" ht="15.75" customHeight="1" x14ac:dyDescent="0.35">
      <c r="A592" s="3"/>
      <c r="B592" s="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O592" s="3"/>
    </row>
    <row r="593" spans="1:15" ht="15.75" customHeight="1" x14ac:dyDescent="0.35">
      <c r="A593" s="3"/>
      <c r="B593" s="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O593" s="3"/>
    </row>
    <row r="594" spans="1:15" ht="15.75" customHeight="1" x14ac:dyDescent="0.35">
      <c r="A594" s="3"/>
      <c r="B594" s="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O594" s="3"/>
    </row>
    <row r="595" spans="1:15" ht="15.75" customHeight="1" x14ac:dyDescent="0.35">
      <c r="A595" s="3"/>
      <c r="B595" s="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O595" s="3"/>
    </row>
    <row r="596" spans="1:15" ht="15.75" customHeight="1" x14ac:dyDescent="0.35">
      <c r="A596" s="3"/>
      <c r="B596" s="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O596" s="3"/>
    </row>
    <row r="597" spans="1:15" ht="15.75" customHeight="1" x14ac:dyDescent="0.35">
      <c r="A597" s="3"/>
      <c r="B597" s="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O597" s="3"/>
    </row>
    <row r="598" spans="1:15" ht="15.75" customHeight="1" x14ac:dyDescent="0.35">
      <c r="A598" s="3"/>
      <c r="B598" s="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O598" s="3"/>
    </row>
    <row r="599" spans="1:15" ht="15.75" customHeight="1" x14ac:dyDescent="0.35">
      <c r="A599" s="3"/>
      <c r="B599" s="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O599" s="3"/>
    </row>
    <row r="600" spans="1:15" ht="15.75" customHeight="1" x14ac:dyDescent="0.35">
      <c r="A600" s="3"/>
      <c r="B600" s="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O600" s="3"/>
    </row>
    <row r="601" spans="1:15" ht="15.75" customHeight="1" x14ac:dyDescent="0.35">
      <c r="A601" s="3"/>
      <c r="B601" s="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O601" s="3"/>
    </row>
    <row r="602" spans="1:15" ht="15.75" customHeight="1" x14ac:dyDescent="0.35">
      <c r="A602" s="3"/>
      <c r="B602" s="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O602" s="3"/>
    </row>
    <row r="603" spans="1:15" ht="15.75" customHeight="1" x14ac:dyDescent="0.35">
      <c r="A603" s="3"/>
      <c r="B603" s="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O603" s="3"/>
    </row>
    <row r="604" spans="1:15" ht="15.75" customHeight="1" x14ac:dyDescent="0.35">
      <c r="A604" s="3"/>
      <c r="B604" s="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O604" s="3"/>
    </row>
    <row r="605" spans="1:15" ht="15.75" customHeight="1" x14ac:dyDescent="0.35">
      <c r="A605" s="3"/>
      <c r="B605" s="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O605" s="3"/>
    </row>
    <row r="606" spans="1:15" ht="15.75" customHeight="1" x14ac:dyDescent="0.35">
      <c r="A606" s="3"/>
      <c r="B606" s="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O606" s="3"/>
    </row>
    <row r="607" spans="1:15" ht="15.75" customHeight="1" x14ac:dyDescent="0.35">
      <c r="A607" s="3"/>
      <c r="B607" s="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O607" s="3"/>
    </row>
    <row r="608" spans="1:15" ht="15.75" customHeight="1" x14ac:dyDescent="0.35">
      <c r="A608" s="3"/>
      <c r="B608" s="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O608" s="3"/>
    </row>
    <row r="609" spans="1:15" ht="15.75" customHeight="1" x14ac:dyDescent="0.35">
      <c r="A609" s="3"/>
      <c r="B609" s="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O609" s="3"/>
    </row>
    <row r="610" spans="1:15" ht="15.75" customHeight="1" x14ac:dyDescent="0.35">
      <c r="A610" s="3"/>
      <c r="B610" s="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O610" s="3"/>
    </row>
    <row r="611" spans="1:15" ht="15.75" customHeight="1" x14ac:dyDescent="0.35">
      <c r="A611" s="3"/>
      <c r="B611" s="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O611" s="3"/>
    </row>
    <row r="612" spans="1:15" ht="15.75" customHeight="1" x14ac:dyDescent="0.35">
      <c r="A612" s="3"/>
      <c r="B612" s="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O612" s="3"/>
    </row>
    <row r="613" spans="1:15" ht="15.75" customHeight="1" x14ac:dyDescent="0.35">
      <c r="A613" s="3"/>
      <c r="B613" s="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O613" s="3"/>
    </row>
    <row r="614" spans="1:15" ht="15.75" customHeight="1" x14ac:dyDescent="0.35">
      <c r="A614" s="3"/>
      <c r="B614" s="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O614" s="3"/>
    </row>
    <row r="615" spans="1:15" ht="15.75" customHeight="1" x14ac:dyDescent="0.35">
      <c r="A615" s="3"/>
      <c r="B615" s="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O615" s="3"/>
    </row>
    <row r="616" spans="1:15" ht="15.75" customHeight="1" x14ac:dyDescent="0.35">
      <c r="A616" s="3"/>
      <c r="B616" s="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O616" s="3"/>
    </row>
    <row r="617" spans="1:15" ht="15.75" customHeight="1" x14ac:dyDescent="0.35">
      <c r="A617" s="3"/>
      <c r="B617" s="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O617" s="3"/>
    </row>
    <row r="618" spans="1:15" ht="15.75" customHeight="1" x14ac:dyDescent="0.35">
      <c r="A618" s="3"/>
      <c r="B618" s="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O618" s="3"/>
    </row>
    <row r="619" spans="1:15" ht="15.75" customHeight="1" x14ac:dyDescent="0.35">
      <c r="A619" s="3"/>
      <c r="B619" s="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O619" s="3"/>
    </row>
    <row r="620" spans="1:15" ht="15.75" customHeight="1" x14ac:dyDescent="0.35">
      <c r="A620" s="3"/>
      <c r="B620" s="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O620" s="3"/>
    </row>
    <row r="621" spans="1:15" ht="15.75" customHeight="1" x14ac:dyDescent="0.35">
      <c r="A621" s="3"/>
      <c r="B621" s="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O621" s="3"/>
    </row>
    <row r="622" spans="1:15" ht="15.75" customHeight="1" x14ac:dyDescent="0.35">
      <c r="A622" s="3"/>
      <c r="B622" s="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O622" s="3"/>
    </row>
    <row r="623" spans="1:15" ht="15.75" customHeight="1" x14ac:dyDescent="0.35">
      <c r="A623" s="3"/>
      <c r="B623" s="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O623" s="3"/>
    </row>
    <row r="624" spans="1:15" ht="15.75" customHeight="1" x14ac:dyDescent="0.35">
      <c r="A624" s="3"/>
      <c r="B624" s="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O624" s="3"/>
    </row>
    <row r="625" spans="1:15" ht="15.75" customHeight="1" x14ac:dyDescent="0.35">
      <c r="A625" s="3"/>
      <c r="B625" s="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O625" s="3"/>
    </row>
    <row r="626" spans="1:15" ht="15.75" customHeight="1" x14ac:dyDescent="0.35">
      <c r="A626" s="3"/>
      <c r="B626" s="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O626" s="3"/>
    </row>
    <row r="627" spans="1:15" ht="15.75" customHeight="1" x14ac:dyDescent="0.35">
      <c r="A627" s="3"/>
      <c r="B627" s="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O627" s="3"/>
    </row>
    <row r="628" spans="1:15" ht="15.75" customHeight="1" x14ac:dyDescent="0.35">
      <c r="A628" s="3"/>
      <c r="B628" s="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O628" s="3"/>
    </row>
    <row r="629" spans="1:15" ht="15.75" customHeight="1" x14ac:dyDescent="0.35">
      <c r="A629" s="3"/>
      <c r="B629" s="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O629" s="3"/>
    </row>
    <row r="630" spans="1:15" ht="15.75" customHeight="1" x14ac:dyDescent="0.35">
      <c r="A630" s="3"/>
      <c r="B630" s="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O630" s="3"/>
    </row>
    <row r="631" spans="1:15" ht="15.75" customHeight="1" x14ac:dyDescent="0.35">
      <c r="A631" s="3"/>
      <c r="B631" s="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O631" s="3"/>
    </row>
    <row r="632" spans="1:15" ht="15.75" customHeight="1" x14ac:dyDescent="0.35">
      <c r="A632" s="3"/>
      <c r="B632" s="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O632" s="3"/>
    </row>
    <row r="633" spans="1:15" ht="15.75" customHeight="1" x14ac:dyDescent="0.35">
      <c r="A633" s="3"/>
      <c r="B633" s="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O633" s="3"/>
    </row>
    <row r="634" spans="1:15" ht="15.75" customHeight="1" x14ac:dyDescent="0.35">
      <c r="A634" s="3"/>
      <c r="B634" s="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O634" s="3"/>
    </row>
    <row r="635" spans="1:15" ht="15.75" customHeight="1" x14ac:dyDescent="0.35">
      <c r="A635" s="3"/>
      <c r="B635" s="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O635" s="3"/>
    </row>
    <row r="636" spans="1:15" ht="15.75" customHeight="1" x14ac:dyDescent="0.35">
      <c r="A636" s="3"/>
      <c r="B636" s="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O636" s="3"/>
    </row>
    <row r="637" spans="1:15" ht="15.75" customHeight="1" x14ac:dyDescent="0.35">
      <c r="A637" s="3"/>
      <c r="B637" s="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O637" s="3"/>
    </row>
    <row r="638" spans="1:15" ht="15.75" customHeight="1" x14ac:dyDescent="0.35">
      <c r="A638" s="3"/>
      <c r="B638" s="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O638" s="3"/>
    </row>
    <row r="639" spans="1:15" ht="15.75" customHeight="1" x14ac:dyDescent="0.35">
      <c r="A639" s="3"/>
      <c r="B639" s="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O639" s="3"/>
    </row>
    <row r="640" spans="1:15" ht="15.75" customHeight="1" x14ac:dyDescent="0.35">
      <c r="A640" s="3"/>
      <c r="B640" s="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O640" s="3"/>
    </row>
    <row r="641" spans="1:15" ht="15.75" customHeight="1" x14ac:dyDescent="0.35">
      <c r="A641" s="3"/>
      <c r="B641" s="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O641" s="3"/>
    </row>
    <row r="642" spans="1:15" ht="15.75" customHeight="1" x14ac:dyDescent="0.35">
      <c r="A642" s="3"/>
      <c r="B642" s="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O642" s="3"/>
    </row>
    <row r="643" spans="1:15" ht="15.75" customHeight="1" x14ac:dyDescent="0.35">
      <c r="A643" s="3"/>
      <c r="B643" s="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O643" s="3"/>
    </row>
    <row r="644" spans="1:15" ht="15.75" customHeight="1" x14ac:dyDescent="0.35">
      <c r="A644" s="3"/>
      <c r="B644" s="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O644" s="3"/>
    </row>
    <row r="645" spans="1:15" ht="15.75" customHeight="1" x14ac:dyDescent="0.35">
      <c r="A645" s="3"/>
      <c r="B645" s="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O645" s="3"/>
    </row>
    <row r="646" spans="1:15" ht="15.75" customHeight="1" x14ac:dyDescent="0.35">
      <c r="A646" s="3"/>
      <c r="B646" s="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O646" s="3"/>
    </row>
    <row r="647" spans="1:15" ht="15.75" customHeight="1" x14ac:dyDescent="0.35">
      <c r="A647" s="3"/>
      <c r="B647" s="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O647" s="3"/>
    </row>
    <row r="648" spans="1:15" ht="15.75" customHeight="1" x14ac:dyDescent="0.35">
      <c r="A648" s="3"/>
      <c r="B648" s="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O648" s="3"/>
    </row>
    <row r="649" spans="1:15" ht="15.75" customHeight="1" x14ac:dyDescent="0.35">
      <c r="A649" s="3"/>
      <c r="B649" s="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O649" s="3"/>
    </row>
    <row r="650" spans="1:15" ht="15.75" customHeight="1" x14ac:dyDescent="0.35">
      <c r="A650" s="3"/>
      <c r="B650" s="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O650" s="3"/>
    </row>
    <row r="651" spans="1:15" ht="15.75" customHeight="1" x14ac:dyDescent="0.35">
      <c r="A651" s="3"/>
      <c r="B651" s="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O651" s="3"/>
    </row>
    <row r="652" spans="1:15" ht="15.75" customHeight="1" x14ac:dyDescent="0.35">
      <c r="A652" s="3"/>
      <c r="B652" s="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O652" s="3"/>
    </row>
    <row r="653" spans="1:15" ht="15.75" customHeight="1" x14ac:dyDescent="0.35">
      <c r="A653" s="3"/>
      <c r="B653" s="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O653" s="3"/>
    </row>
    <row r="654" spans="1:15" ht="15.75" customHeight="1" x14ac:dyDescent="0.35">
      <c r="A654" s="3"/>
      <c r="B654" s="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O654" s="3"/>
    </row>
    <row r="655" spans="1:15" ht="15.75" customHeight="1" x14ac:dyDescent="0.35">
      <c r="A655" s="3"/>
      <c r="B655" s="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O655" s="3"/>
    </row>
    <row r="656" spans="1:15" ht="15.75" customHeight="1" x14ac:dyDescent="0.35">
      <c r="A656" s="3"/>
      <c r="B656" s="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O656" s="3"/>
    </row>
    <row r="657" spans="1:15" ht="15.75" customHeight="1" x14ac:dyDescent="0.35">
      <c r="A657" s="3"/>
      <c r="B657" s="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O657" s="3"/>
    </row>
    <row r="658" spans="1:15" ht="15.75" customHeight="1" x14ac:dyDescent="0.35">
      <c r="A658" s="3"/>
      <c r="B658" s="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O658" s="3"/>
    </row>
    <row r="659" spans="1:15" ht="15.75" customHeight="1" x14ac:dyDescent="0.35">
      <c r="A659" s="3"/>
      <c r="B659" s="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O659" s="3"/>
    </row>
    <row r="660" spans="1:15" ht="15.75" customHeight="1" x14ac:dyDescent="0.35">
      <c r="A660" s="3"/>
      <c r="B660" s="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O660" s="3"/>
    </row>
    <row r="661" spans="1:15" ht="15.75" customHeight="1" x14ac:dyDescent="0.35">
      <c r="A661" s="3"/>
      <c r="B661" s="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O661" s="3"/>
    </row>
    <row r="662" spans="1:15" ht="15.75" customHeight="1" x14ac:dyDescent="0.35">
      <c r="A662" s="3"/>
      <c r="B662" s="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O662" s="3"/>
    </row>
    <row r="663" spans="1:15" ht="15.75" customHeight="1" x14ac:dyDescent="0.35">
      <c r="A663" s="3"/>
      <c r="B663" s="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O663" s="3"/>
    </row>
    <row r="664" spans="1:15" ht="15.75" customHeight="1" x14ac:dyDescent="0.35">
      <c r="A664" s="3"/>
      <c r="B664" s="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O664" s="3"/>
    </row>
    <row r="665" spans="1:15" ht="15.75" customHeight="1" x14ac:dyDescent="0.35">
      <c r="A665" s="3"/>
      <c r="B665" s="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O665" s="3"/>
    </row>
    <row r="666" spans="1:15" ht="15.75" customHeight="1" x14ac:dyDescent="0.35">
      <c r="A666" s="3"/>
      <c r="B666" s="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O666" s="3"/>
    </row>
    <row r="667" spans="1:15" ht="15.75" customHeight="1" x14ac:dyDescent="0.35">
      <c r="A667" s="3"/>
      <c r="B667" s="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O667" s="3"/>
    </row>
    <row r="668" spans="1:15" ht="15.75" customHeight="1" x14ac:dyDescent="0.35">
      <c r="A668" s="3"/>
      <c r="B668" s="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O668" s="3"/>
    </row>
    <row r="669" spans="1:15" ht="15.75" customHeight="1" x14ac:dyDescent="0.35">
      <c r="A669" s="3"/>
      <c r="B669" s="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O669" s="3"/>
    </row>
    <row r="670" spans="1:15" ht="15.75" customHeight="1" x14ac:dyDescent="0.35">
      <c r="A670" s="3"/>
      <c r="B670" s="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O670" s="3"/>
    </row>
    <row r="671" spans="1:15" ht="15.75" customHeight="1" x14ac:dyDescent="0.35">
      <c r="A671" s="3"/>
      <c r="B671" s="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O671" s="3"/>
    </row>
    <row r="672" spans="1:15" ht="15.75" customHeight="1" x14ac:dyDescent="0.35">
      <c r="A672" s="3"/>
      <c r="B672" s="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O672" s="3"/>
    </row>
    <row r="673" spans="1:15" ht="15.75" customHeight="1" x14ac:dyDescent="0.35">
      <c r="A673" s="3"/>
      <c r="B673" s="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O673" s="3"/>
    </row>
    <row r="674" spans="1:15" ht="15.75" customHeight="1" x14ac:dyDescent="0.35">
      <c r="A674" s="3"/>
      <c r="B674" s="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O674" s="3"/>
    </row>
    <row r="675" spans="1:15" ht="15.75" customHeight="1" x14ac:dyDescent="0.35">
      <c r="A675" s="3"/>
      <c r="B675" s="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O675" s="3"/>
    </row>
    <row r="676" spans="1:15" ht="15.75" customHeight="1" x14ac:dyDescent="0.35">
      <c r="A676" s="3"/>
      <c r="B676" s="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O676" s="3"/>
    </row>
    <row r="677" spans="1:15" ht="15.75" customHeight="1" x14ac:dyDescent="0.35">
      <c r="A677" s="3"/>
      <c r="B677" s="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O677" s="3"/>
    </row>
    <row r="678" spans="1:15" ht="15.75" customHeight="1" x14ac:dyDescent="0.35">
      <c r="A678" s="3"/>
      <c r="B678" s="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O678" s="3"/>
    </row>
    <row r="679" spans="1:15" ht="15.75" customHeight="1" x14ac:dyDescent="0.35">
      <c r="A679" s="3"/>
      <c r="B679" s="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O679" s="3"/>
    </row>
    <row r="680" spans="1:15" ht="15.75" customHeight="1" x14ac:dyDescent="0.35">
      <c r="A680" s="3"/>
      <c r="B680" s="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O680" s="3"/>
    </row>
    <row r="681" spans="1:15" ht="15.75" customHeight="1" x14ac:dyDescent="0.35">
      <c r="A681" s="3"/>
      <c r="B681" s="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O681" s="3"/>
    </row>
    <row r="682" spans="1:15" ht="15.75" customHeight="1" x14ac:dyDescent="0.35">
      <c r="A682" s="3"/>
      <c r="B682" s="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O682" s="3"/>
    </row>
    <row r="683" spans="1:15" ht="15.75" customHeight="1" x14ac:dyDescent="0.35">
      <c r="A683" s="3"/>
      <c r="B683" s="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O683" s="3"/>
    </row>
    <row r="684" spans="1:15" ht="15.75" customHeight="1" x14ac:dyDescent="0.35">
      <c r="A684" s="3"/>
      <c r="B684" s="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O684" s="3"/>
    </row>
    <row r="685" spans="1:15" ht="15.75" customHeight="1" x14ac:dyDescent="0.35">
      <c r="A685" s="3"/>
      <c r="B685" s="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O685" s="3"/>
    </row>
    <row r="686" spans="1:15" ht="15.75" customHeight="1" x14ac:dyDescent="0.35">
      <c r="A686" s="3"/>
      <c r="B686" s="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O686" s="3"/>
    </row>
    <row r="687" spans="1:15" ht="15.75" customHeight="1" x14ac:dyDescent="0.35">
      <c r="A687" s="3"/>
      <c r="B687" s="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O687" s="3"/>
    </row>
    <row r="688" spans="1:15" ht="15.75" customHeight="1" x14ac:dyDescent="0.35">
      <c r="A688" s="3"/>
      <c r="B688" s="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O688" s="3"/>
    </row>
    <row r="689" spans="1:15" ht="15.75" customHeight="1" x14ac:dyDescent="0.35">
      <c r="A689" s="3"/>
      <c r="B689" s="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O689" s="3"/>
    </row>
    <row r="690" spans="1:15" ht="15.75" customHeight="1" x14ac:dyDescent="0.35">
      <c r="A690" s="3"/>
      <c r="B690" s="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O690" s="3"/>
    </row>
    <row r="691" spans="1:15" ht="15.75" customHeight="1" x14ac:dyDescent="0.35">
      <c r="A691" s="3"/>
      <c r="B691" s="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O691" s="3"/>
    </row>
    <row r="692" spans="1:15" ht="15.75" customHeight="1" x14ac:dyDescent="0.35">
      <c r="A692" s="3"/>
      <c r="B692" s="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O692" s="3"/>
    </row>
    <row r="693" spans="1:15" ht="15.75" customHeight="1" x14ac:dyDescent="0.35">
      <c r="A693" s="3"/>
      <c r="B693" s="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O693" s="3"/>
    </row>
    <row r="694" spans="1:15" ht="15.75" customHeight="1" x14ac:dyDescent="0.35">
      <c r="A694" s="3"/>
      <c r="B694" s="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O694" s="3"/>
    </row>
    <row r="695" spans="1:15" ht="15.75" customHeight="1" x14ac:dyDescent="0.35">
      <c r="A695" s="3"/>
      <c r="B695" s="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O695" s="3"/>
    </row>
    <row r="696" spans="1:15" ht="15.75" customHeight="1" x14ac:dyDescent="0.35">
      <c r="A696" s="3"/>
      <c r="B696" s="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O696" s="3"/>
    </row>
    <row r="697" spans="1:15" ht="15.75" customHeight="1" x14ac:dyDescent="0.35">
      <c r="A697" s="3"/>
      <c r="B697" s="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O697" s="3"/>
    </row>
    <row r="698" spans="1:15" ht="15.75" customHeight="1" x14ac:dyDescent="0.35">
      <c r="A698" s="3"/>
      <c r="B698" s="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O698" s="3"/>
    </row>
    <row r="699" spans="1:15" ht="15.75" customHeight="1" x14ac:dyDescent="0.35">
      <c r="A699" s="3"/>
      <c r="B699" s="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O699" s="3"/>
    </row>
    <row r="700" spans="1:15" ht="15.75" customHeight="1" x14ac:dyDescent="0.35">
      <c r="A700" s="3"/>
      <c r="B700" s="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O700" s="3"/>
    </row>
    <row r="701" spans="1:15" ht="15.75" customHeight="1" x14ac:dyDescent="0.35">
      <c r="A701" s="3"/>
      <c r="B701" s="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O701" s="3"/>
    </row>
    <row r="702" spans="1:15" ht="15.75" customHeight="1" x14ac:dyDescent="0.35">
      <c r="A702" s="3"/>
      <c r="B702" s="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O702" s="3"/>
    </row>
    <row r="703" spans="1:15" ht="15.75" customHeight="1" x14ac:dyDescent="0.35">
      <c r="A703" s="3"/>
      <c r="B703" s="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O703" s="3"/>
    </row>
    <row r="704" spans="1:15" ht="15.75" customHeight="1" x14ac:dyDescent="0.35">
      <c r="A704" s="3"/>
      <c r="B704" s="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O704" s="3"/>
    </row>
    <row r="705" spans="1:15" ht="15.75" customHeight="1" x14ac:dyDescent="0.35">
      <c r="A705" s="3"/>
      <c r="B705" s="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O705" s="3"/>
    </row>
    <row r="706" spans="1:15" ht="15.75" customHeight="1" x14ac:dyDescent="0.35">
      <c r="A706" s="3"/>
      <c r="B706" s="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O706" s="3"/>
    </row>
    <row r="707" spans="1:15" ht="15.75" customHeight="1" x14ac:dyDescent="0.35">
      <c r="A707" s="3"/>
      <c r="B707" s="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O707" s="3"/>
    </row>
    <row r="708" spans="1:15" ht="15.75" customHeight="1" x14ac:dyDescent="0.35">
      <c r="A708" s="3"/>
      <c r="B708" s="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O708" s="3"/>
    </row>
    <row r="709" spans="1:15" ht="15.75" customHeight="1" x14ac:dyDescent="0.35">
      <c r="A709" s="3"/>
      <c r="B709" s="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O709" s="3"/>
    </row>
    <row r="710" spans="1:15" ht="15.75" customHeight="1" x14ac:dyDescent="0.35">
      <c r="A710" s="3"/>
      <c r="B710" s="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O710" s="3"/>
    </row>
    <row r="711" spans="1:15" ht="15.75" customHeight="1" x14ac:dyDescent="0.35">
      <c r="A711" s="3"/>
      <c r="B711" s="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O711" s="3"/>
    </row>
    <row r="712" spans="1:15" ht="15.75" customHeight="1" x14ac:dyDescent="0.35">
      <c r="A712" s="3"/>
      <c r="B712" s="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O712" s="3"/>
    </row>
    <row r="713" spans="1:15" ht="15.75" customHeight="1" x14ac:dyDescent="0.35">
      <c r="A713" s="3"/>
      <c r="B713" s="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O713" s="3"/>
    </row>
    <row r="714" spans="1:15" ht="15.75" customHeight="1" x14ac:dyDescent="0.35">
      <c r="A714" s="3"/>
      <c r="B714" s="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O714" s="3"/>
    </row>
    <row r="715" spans="1:15" ht="15.75" customHeight="1" x14ac:dyDescent="0.35">
      <c r="A715" s="3"/>
      <c r="B715" s="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O715" s="3"/>
    </row>
    <row r="716" spans="1:15" ht="15.75" customHeight="1" x14ac:dyDescent="0.35">
      <c r="A716" s="3"/>
      <c r="B716" s="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O716" s="3"/>
    </row>
    <row r="717" spans="1:15" ht="15.75" customHeight="1" x14ac:dyDescent="0.35">
      <c r="A717" s="3"/>
      <c r="B717" s="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O717" s="3"/>
    </row>
    <row r="718" spans="1:15" ht="15.75" customHeight="1" x14ac:dyDescent="0.35">
      <c r="A718" s="3"/>
      <c r="B718" s="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O718" s="3"/>
    </row>
    <row r="719" spans="1:15" ht="15.75" customHeight="1" x14ac:dyDescent="0.35">
      <c r="A719" s="3"/>
      <c r="B719" s="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O719" s="3"/>
    </row>
    <row r="720" spans="1:15" ht="15.75" customHeight="1" x14ac:dyDescent="0.35">
      <c r="A720" s="3"/>
      <c r="B720" s="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O720" s="3"/>
    </row>
    <row r="721" spans="1:15" ht="15.75" customHeight="1" x14ac:dyDescent="0.35">
      <c r="A721" s="3"/>
      <c r="B721" s="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O721" s="3"/>
    </row>
    <row r="722" spans="1:15" ht="15.75" customHeight="1" x14ac:dyDescent="0.35">
      <c r="A722" s="3"/>
      <c r="B722" s="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O722" s="3"/>
    </row>
    <row r="723" spans="1:15" ht="15.75" customHeight="1" x14ac:dyDescent="0.35">
      <c r="A723" s="3"/>
      <c r="B723" s="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O723" s="3"/>
    </row>
    <row r="724" spans="1:15" ht="15.75" customHeight="1" x14ac:dyDescent="0.35">
      <c r="A724" s="3"/>
      <c r="B724" s="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O724" s="3"/>
    </row>
    <row r="725" spans="1:15" ht="15.75" customHeight="1" x14ac:dyDescent="0.35">
      <c r="A725" s="3"/>
      <c r="B725" s="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O725" s="3"/>
    </row>
    <row r="726" spans="1:15" ht="15.75" customHeight="1" x14ac:dyDescent="0.35">
      <c r="A726" s="3"/>
      <c r="B726" s="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O726" s="3"/>
    </row>
    <row r="727" spans="1:15" ht="15.75" customHeight="1" x14ac:dyDescent="0.35">
      <c r="A727" s="3"/>
      <c r="B727" s="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O727" s="3"/>
    </row>
    <row r="728" spans="1:15" ht="15.75" customHeight="1" x14ac:dyDescent="0.35">
      <c r="A728" s="3"/>
      <c r="B728" s="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O728" s="3"/>
    </row>
    <row r="729" spans="1:15" ht="15.75" customHeight="1" x14ac:dyDescent="0.35">
      <c r="A729" s="3"/>
      <c r="B729" s="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O729" s="3"/>
    </row>
    <row r="730" spans="1:15" ht="15.75" customHeight="1" x14ac:dyDescent="0.35">
      <c r="A730" s="3"/>
      <c r="B730" s="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O730" s="3"/>
    </row>
    <row r="731" spans="1:15" ht="15.75" customHeight="1" x14ac:dyDescent="0.35">
      <c r="A731" s="3"/>
      <c r="B731" s="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O731" s="3"/>
    </row>
    <row r="732" spans="1:15" ht="15.75" customHeight="1" x14ac:dyDescent="0.35">
      <c r="A732" s="3"/>
      <c r="B732" s="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O732" s="3"/>
    </row>
    <row r="733" spans="1:15" ht="15.75" customHeight="1" x14ac:dyDescent="0.35">
      <c r="A733" s="3"/>
      <c r="B733" s="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O733" s="3"/>
    </row>
    <row r="734" spans="1:15" ht="15.75" customHeight="1" x14ac:dyDescent="0.35">
      <c r="A734" s="3"/>
      <c r="B734" s="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O734" s="3"/>
    </row>
    <row r="735" spans="1:15" ht="15.75" customHeight="1" x14ac:dyDescent="0.35">
      <c r="A735" s="3"/>
      <c r="B735" s="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O735" s="3"/>
    </row>
    <row r="736" spans="1:15" ht="15.75" customHeight="1" x14ac:dyDescent="0.35">
      <c r="A736" s="3"/>
      <c r="B736" s="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O736" s="3"/>
    </row>
    <row r="737" spans="1:15" ht="15.75" customHeight="1" x14ac:dyDescent="0.35">
      <c r="A737" s="3"/>
      <c r="B737" s="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O737" s="3"/>
    </row>
    <row r="738" spans="1:15" ht="15.75" customHeight="1" x14ac:dyDescent="0.35">
      <c r="A738" s="3"/>
      <c r="B738" s="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O738" s="3"/>
    </row>
    <row r="739" spans="1:15" ht="15.75" customHeight="1" x14ac:dyDescent="0.35">
      <c r="A739" s="3"/>
      <c r="B739" s="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O739" s="3"/>
    </row>
    <row r="740" spans="1:15" ht="15.75" customHeight="1" x14ac:dyDescent="0.35">
      <c r="A740" s="3"/>
      <c r="B740" s="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O740" s="3"/>
    </row>
    <row r="741" spans="1:15" ht="15.75" customHeight="1" x14ac:dyDescent="0.35">
      <c r="A741" s="3"/>
      <c r="B741" s="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O741" s="3"/>
    </row>
    <row r="742" spans="1:15" ht="15.75" customHeight="1" x14ac:dyDescent="0.35">
      <c r="A742" s="3"/>
      <c r="B742" s="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O742" s="3"/>
    </row>
    <row r="743" spans="1:15" ht="15.75" customHeight="1" x14ac:dyDescent="0.35">
      <c r="A743" s="3"/>
      <c r="B743" s="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O743" s="3"/>
    </row>
    <row r="744" spans="1:15" ht="15.75" customHeight="1" x14ac:dyDescent="0.35">
      <c r="A744" s="3"/>
      <c r="B744" s="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O744" s="3"/>
    </row>
    <row r="745" spans="1:15" ht="15.75" customHeight="1" x14ac:dyDescent="0.35">
      <c r="A745" s="3"/>
      <c r="B745" s="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O745" s="3"/>
    </row>
    <row r="746" spans="1:15" ht="15.75" customHeight="1" x14ac:dyDescent="0.35">
      <c r="A746" s="3"/>
      <c r="B746" s="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O746" s="3"/>
    </row>
    <row r="747" spans="1:15" ht="15.75" customHeight="1" x14ac:dyDescent="0.35">
      <c r="A747" s="3"/>
      <c r="B747" s="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O747" s="3"/>
    </row>
    <row r="748" spans="1:15" ht="15.75" customHeight="1" x14ac:dyDescent="0.35">
      <c r="A748" s="3"/>
      <c r="B748" s="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O748" s="3"/>
    </row>
    <row r="749" spans="1:15" ht="15.75" customHeight="1" x14ac:dyDescent="0.35">
      <c r="A749" s="3"/>
      <c r="B749" s="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O749" s="3"/>
    </row>
    <row r="750" spans="1:15" ht="15.75" customHeight="1" x14ac:dyDescent="0.35">
      <c r="A750" s="3"/>
      <c r="B750" s="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O750" s="3"/>
    </row>
    <row r="751" spans="1:15" ht="15.75" customHeight="1" x14ac:dyDescent="0.35">
      <c r="A751" s="3"/>
      <c r="B751" s="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O751" s="3"/>
    </row>
    <row r="752" spans="1:15" ht="15.75" customHeight="1" x14ac:dyDescent="0.35">
      <c r="A752" s="3"/>
      <c r="B752" s="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O752" s="3"/>
    </row>
    <row r="753" spans="1:15" ht="15.75" customHeight="1" x14ac:dyDescent="0.35">
      <c r="A753" s="3"/>
      <c r="B753" s="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O753" s="3"/>
    </row>
    <row r="754" spans="1:15" ht="15.75" customHeight="1" x14ac:dyDescent="0.35">
      <c r="A754" s="3"/>
      <c r="B754" s="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O754" s="3"/>
    </row>
    <row r="755" spans="1:15" ht="15.75" customHeight="1" x14ac:dyDescent="0.35">
      <c r="A755" s="3"/>
      <c r="B755" s="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O755" s="3"/>
    </row>
    <row r="756" spans="1:15" ht="15.75" customHeight="1" x14ac:dyDescent="0.35">
      <c r="A756" s="3"/>
      <c r="B756" s="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O756" s="3"/>
    </row>
    <row r="757" spans="1:15" ht="15.75" customHeight="1" x14ac:dyDescent="0.35">
      <c r="A757" s="3"/>
      <c r="B757" s="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O757" s="3"/>
    </row>
    <row r="758" spans="1:15" ht="15.75" customHeight="1" x14ac:dyDescent="0.35">
      <c r="A758" s="3"/>
      <c r="B758" s="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O758" s="3"/>
    </row>
    <row r="759" spans="1:15" ht="15.75" customHeight="1" x14ac:dyDescent="0.35">
      <c r="A759" s="3"/>
      <c r="B759" s="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O759" s="3"/>
    </row>
    <row r="760" spans="1:15" ht="15.75" customHeight="1" x14ac:dyDescent="0.35">
      <c r="A760" s="3"/>
      <c r="B760" s="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O760" s="3"/>
    </row>
    <row r="761" spans="1:15" ht="15.75" customHeight="1" x14ac:dyDescent="0.35">
      <c r="A761" s="3"/>
      <c r="B761" s="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O761" s="3"/>
    </row>
    <row r="762" spans="1:15" ht="15.75" customHeight="1" x14ac:dyDescent="0.35">
      <c r="A762" s="3"/>
      <c r="B762" s="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O762" s="3"/>
    </row>
    <row r="763" spans="1:15" ht="15.75" customHeight="1" x14ac:dyDescent="0.35">
      <c r="A763" s="3"/>
      <c r="B763" s="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O763" s="3"/>
    </row>
    <row r="764" spans="1:15" ht="15.75" customHeight="1" x14ac:dyDescent="0.35">
      <c r="A764" s="3"/>
      <c r="B764" s="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O764" s="3"/>
    </row>
    <row r="765" spans="1:15" ht="15.75" customHeight="1" x14ac:dyDescent="0.35">
      <c r="A765" s="3"/>
      <c r="B765" s="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O765" s="3"/>
    </row>
    <row r="766" spans="1:15" ht="15.75" customHeight="1" x14ac:dyDescent="0.35">
      <c r="A766" s="3"/>
      <c r="B766" s="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O766" s="3"/>
    </row>
    <row r="767" spans="1:15" ht="15.75" customHeight="1" x14ac:dyDescent="0.35">
      <c r="A767" s="3"/>
      <c r="B767" s="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O767" s="3"/>
    </row>
    <row r="768" spans="1:15" ht="15.75" customHeight="1" x14ac:dyDescent="0.35">
      <c r="A768" s="3"/>
      <c r="B768" s="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O768" s="3"/>
    </row>
    <row r="769" spans="1:15" ht="15.75" customHeight="1" x14ac:dyDescent="0.35">
      <c r="A769" s="3"/>
      <c r="B769" s="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O769" s="3"/>
    </row>
    <row r="770" spans="1:15" ht="15.75" customHeight="1" x14ac:dyDescent="0.35">
      <c r="A770" s="3"/>
      <c r="B770" s="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O770" s="3"/>
    </row>
    <row r="771" spans="1:15" ht="15.75" customHeight="1" x14ac:dyDescent="0.35">
      <c r="A771" s="3"/>
      <c r="B771" s="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O771" s="3"/>
    </row>
    <row r="772" spans="1:15" ht="15.75" customHeight="1" x14ac:dyDescent="0.35">
      <c r="A772" s="3"/>
      <c r="B772" s="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O772" s="3"/>
    </row>
    <row r="773" spans="1:15" ht="15.75" customHeight="1" x14ac:dyDescent="0.35">
      <c r="A773" s="3"/>
      <c r="B773" s="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O773" s="3"/>
    </row>
    <row r="774" spans="1:15" ht="15.75" customHeight="1" x14ac:dyDescent="0.35">
      <c r="A774" s="3"/>
      <c r="B774" s="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O774" s="3"/>
    </row>
    <row r="775" spans="1:15" ht="15.75" customHeight="1" x14ac:dyDescent="0.35">
      <c r="A775" s="3"/>
      <c r="B775" s="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O775" s="3"/>
    </row>
    <row r="776" spans="1:15" ht="15.75" customHeight="1" x14ac:dyDescent="0.35">
      <c r="A776" s="3"/>
      <c r="B776" s="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O776" s="3"/>
    </row>
    <row r="777" spans="1:15" ht="15.75" customHeight="1" x14ac:dyDescent="0.35">
      <c r="A777" s="3"/>
      <c r="B777" s="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O777" s="3"/>
    </row>
    <row r="778" spans="1:15" ht="15.75" customHeight="1" x14ac:dyDescent="0.35">
      <c r="A778" s="3"/>
      <c r="B778" s="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O778" s="3"/>
    </row>
    <row r="779" spans="1:15" ht="15.75" customHeight="1" x14ac:dyDescent="0.35">
      <c r="A779" s="3"/>
      <c r="B779" s="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O779" s="3"/>
    </row>
    <row r="780" spans="1:15" ht="15.75" customHeight="1" x14ac:dyDescent="0.35">
      <c r="A780" s="3"/>
      <c r="B780" s="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O780" s="3"/>
    </row>
    <row r="781" spans="1:15" ht="15.75" customHeight="1" x14ac:dyDescent="0.35">
      <c r="A781" s="3"/>
      <c r="B781" s="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O781" s="3"/>
    </row>
    <row r="782" spans="1:15" ht="15.75" customHeight="1" x14ac:dyDescent="0.35">
      <c r="A782" s="3"/>
      <c r="B782" s="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O782" s="3"/>
    </row>
    <row r="783" spans="1:15" ht="15.75" customHeight="1" x14ac:dyDescent="0.35">
      <c r="A783" s="3"/>
      <c r="B783" s="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O783" s="3"/>
    </row>
    <row r="784" spans="1:15" ht="15.75" customHeight="1" x14ac:dyDescent="0.35">
      <c r="A784" s="3"/>
      <c r="B784" s="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O784" s="3"/>
    </row>
    <row r="785" spans="1:15" ht="15.75" customHeight="1" x14ac:dyDescent="0.35">
      <c r="A785" s="3"/>
      <c r="B785" s="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O785" s="3"/>
    </row>
    <row r="786" spans="1:15" ht="15.75" customHeight="1" x14ac:dyDescent="0.35">
      <c r="A786" s="3"/>
      <c r="B786" s="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O786" s="3"/>
    </row>
    <row r="787" spans="1:15" ht="15.75" customHeight="1" x14ac:dyDescent="0.35">
      <c r="A787" s="3"/>
      <c r="B787" s="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O787" s="3"/>
    </row>
    <row r="788" spans="1:15" ht="15.75" customHeight="1" x14ac:dyDescent="0.35">
      <c r="A788" s="3"/>
      <c r="B788" s="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O788" s="3"/>
    </row>
    <row r="789" spans="1:15" ht="15.75" customHeight="1" x14ac:dyDescent="0.35">
      <c r="A789" s="3"/>
      <c r="B789" s="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O789" s="3"/>
    </row>
    <row r="790" spans="1:15" ht="15.75" customHeight="1" x14ac:dyDescent="0.35">
      <c r="A790" s="3"/>
      <c r="B790" s="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O790" s="3"/>
    </row>
    <row r="791" spans="1:15" ht="15.75" customHeight="1" x14ac:dyDescent="0.35">
      <c r="A791" s="3"/>
      <c r="B791" s="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O791" s="3"/>
    </row>
    <row r="792" spans="1:15" ht="15.75" customHeight="1" x14ac:dyDescent="0.35">
      <c r="A792" s="3"/>
      <c r="B792" s="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O792" s="3"/>
    </row>
    <row r="793" spans="1:15" ht="15.75" customHeight="1" x14ac:dyDescent="0.35">
      <c r="A793" s="3"/>
      <c r="B793" s="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O793" s="3"/>
    </row>
    <row r="794" spans="1:15" ht="15.75" customHeight="1" x14ac:dyDescent="0.35">
      <c r="A794" s="3"/>
      <c r="B794" s="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O794" s="3"/>
    </row>
    <row r="795" spans="1:15" ht="15.75" customHeight="1" x14ac:dyDescent="0.35">
      <c r="A795" s="3"/>
      <c r="B795" s="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O795" s="3"/>
    </row>
    <row r="796" spans="1:15" ht="15.75" customHeight="1" x14ac:dyDescent="0.35">
      <c r="A796" s="3"/>
      <c r="B796" s="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O796" s="3"/>
    </row>
    <row r="797" spans="1:15" ht="15.75" customHeight="1" x14ac:dyDescent="0.35">
      <c r="A797" s="3"/>
      <c r="B797" s="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O797" s="3"/>
    </row>
    <row r="798" spans="1:15" ht="15.75" customHeight="1" x14ac:dyDescent="0.35">
      <c r="A798" s="3"/>
      <c r="B798" s="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O798" s="3"/>
    </row>
    <row r="799" spans="1:15" ht="15.75" customHeight="1" x14ac:dyDescent="0.35">
      <c r="A799" s="3"/>
      <c r="B799" s="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O799" s="3"/>
    </row>
    <row r="800" spans="1:15" ht="15.75" customHeight="1" x14ac:dyDescent="0.35">
      <c r="A800" s="3"/>
      <c r="B800" s="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O800" s="3"/>
    </row>
    <row r="801" spans="1:15" ht="15.75" customHeight="1" x14ac:dyDescent="0.35">
      <c r="A801" s="3"/>
      <c r="B801" s="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O801" s="3"/>
    </row>
    <row r="802" spans="1:15" ht="15.75" customHeight="1" x14ac:dyDescent="0.35">
      <c r="A802" s="3"/>
      <c r="B802" s="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O802" s="3"/>
    </row>
    <row r="803" spans="1:15" ht="15.75" customHeight="1" x14ac:dyDescent="0.35">
      <c r="A803" s="3"/>
      <c r="B803" s="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O803" s="3"/>
    </row>
    <row r="804" spans="1:15" ht="15.75" customHeight="1" x14ac:dyDescent="0.35">
      <c r="A804" s="3"/>
      <c r="B804" s="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O804" s="3"/>
    </row>
    <row r="805" spans="1:15" ht="15.75" customHeight="1" x14ac:dyDescent="0.35">
      <c r="A805" s="3"/>
      <c r="B805" s="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O805" s="3"/>
    </row>
    <row r="806" spans="1:15" ht="15.75" customHeight="1" x14ac:dyDescent="0.35">
      <c r="A806" s="3"/>
      <c r="B806" s="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O806" s="3"/>
    </row>
    <row r="807" spans="1:15" ht="15.75" customHeight="1" x14ac:dyDescent="0.35">
      <c r="A807" s="3"/>
      <c r="B807" s="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O807" s="3"/>
    </row>
    <row r="808" spans="1:15" ht="15.75" customHeight="1" x14ac:dyDescent="0.35">
      <c r="A808" s="3"/>
      <c r="B808" s="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O808" s="3"/>
    </row>
    <row r="809" spans="1:15" ht="15.75" customHeight="1" x14ac:dyDescent="0.35">
      <c r="A809" s="3"/>
      <c r="B809" s="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O809" s="3"/>
    </row>
    <row r="810" spans="1:15" ht="15.75" customHeight="1" x14ac:dyDescent="0.35">
      <c r="A810" s="3"/>
      <c r="B810" s="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O810" s="3"/>
    </row>
    <row r="811" spans="1:15" ht="15.75" customHeight="1" x14ac:dyDescent="0.35">
      <c r="A811" s="3"/>
      <c r="B811" s="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O811" s="3"/>
    </row>
    <row r="812" spans="1:15" ht="15.75" customHeight="1" x14ac:dyDescent="0.35">
      <c r="A812" s="3"/>
      <c r="B812" s="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O812" s="3"/>
    </row>
    <row r="813" spans="1:15" ht="15.75" customHeight="1" x14ac:dyDescent="0.35">
      <c r="A813" s="3"/>
      <c r="B813" s="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O813" s="3"/>
    </row>
    <row r="814" spans="1:15" ht="15.75" customHeight="1" x14ac:dyDescent="0.35">
      <c r="A814" s="3"/>
      <c r="B814" s="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O814" s="3"/>
    </row>
    <row r="815" spans="1:15" ht="15.75" customHeight="1" x14ac:dyDescent="0.35">
      <c r="A815" s="3"/>
      <c r="B815" s="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O815" s="3"/>
    </row>
    <row r="816" spans="1:15" ht="15.75" customHeight="1" x14ac:dyDescent="0.35">
      <c r="A816" s="3"/>
      <c r="B816" s="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O816" s="3"/>
    </row>
    <row r="817" spans="1:15" ht="15.75" customHeight="1" x14ac:dyDescent="0.35">
      <c r="A817" s="3"/>
      <c r="B817" s="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O817" s="3"/>
    </row>
    <row r="818" spans="1:15" ht="15.75" customHeight="1" x14ac:dyDescent="0.35">
      <c r="A818" s="3"/>
      <c r="B818" s="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O818" s="3"/>
    </row>
    <row r="819" spans="1:15" ht="15.75" customHeight="1" x14ac:dyDescent="0.35">
      <c r="A819" s="3"/>
      <c r="B819" s="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O819" s="3"/>
    </row>
    <row r="820" spans="1:15" ht="15.75" customHeight="1" x14ac:dyDescent="0.35">
      <c r="A820" s="3"/>
      <c r="B820" s="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O820" s="3"/>
    </row>
    <row r="821" spans="1:15" ht="15.75" customHeight="1" x14ac:dyDescent="0.35">
      <c r="A821" s="3"/>
      <c r="B821" s="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O821" s="3"/>
    </row>
    <row r="822" spans="1:15" ht="15.75" customHeight="1" x14ac:dyDescent="0.35">
      <c r="A822" s="3"/>
      <c r="B822" s="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O822" s="3"/>
    </row>
    <row r="823" spans="1:15" ht="15.75" customHeight="1" x14ac:dyDescent="0.35">
      <c r="A823" s="3"/>
      <c r="B823" s="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O823" s="3"/>
    </row>
    <row r="824" spans="1:15" ht="15.75" customHeight="1" x14ac:dyDescent="0.35">
      <c r="A824" s="3"/>
      <c r="B824" s="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O824" s="3"/>
    </row>
    <row r="825" spans="1:15" ht="15.75" customHeight="1" x14ac:dyDescent="0.35">
      <c r="A825" s="3"/>
      <c r="B825" s="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O825" s="3"/>
    </row>
    <row r="826" spans="1:15" ht="15.75" customHeight="1" x14ac:dyDescent="0.35">
      <c r="A826" s="3"/>
      <c r="B826" s="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O826" s="3"/>
    </row>
    <row r="827" spans="1:15" ht="15.75" customHeight="1" x14ac:dyDescent="0.35">
      <c r="A827" s="3"/>
      <c r="B827" s="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O827" s="3"/>
    </row>
    <row r="828" spans="1:15" ht="15.75" customHeight="1" x14ac:dyDescent="0.35">
      <c r="A828" s="3"/>
      <c r="B828" s="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O828" s="3"/>
    </row>
    <row r="829" spans="1:15" ht="15.75" customHeight="1" x14ac:dyDescent="0.35">
      <c r="A829" s="3"/>
      <c r="B829" s="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O829" s="3"/>
    </row>
    <row r="830" spans="1:15" ht="15.75" customHeight="1" x14ac:dyDescent="0.35">
      <c r="A830" s="3"/>
      <c r="B830" s="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O830" s="3"/>
    </row>
    <row r="831" spans="1:15" ht="15.75" customHeight="1" x14ac:dyDescent="0.35">
      <c r="A831" s="3"/>
      <c r="B831" s="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O831" s="3"/>
    </row>
    <row r="832" spans="1:15" ht="15.75" customHeight="1" x14ac:dyDescent="0.35">
      <c r="A832" s="3"/>
      <c r="B832" s="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O832" s="3"/>
    </row>
    <row r="833" spans="1:15" ht="15.75" customHeight="1" x14ac:dyDescent="0.35">
      <c r="A833" s="3"/>
      <c r="B833" s="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O833" s="3"/>
    </row>
    <row r="834" spans="1:15" ht="15.75" customHeight="1" x14ac:dyDescent="0.35">
      <c r="A834" s="3"/>
      <c r="B834" s="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O834" s="3"/>
    </row>
    <row r="835" spans="1:15" ht="15.75" customHeight="1" x14ac:dyDescent="0.35">
      <c r="A835" s="3"/>
      <c r="B835" s="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O835" s="3"/>
    </row>
    <row r="836" spans="1:15" ht="15.75" customHeight="1" x14ac:dyDescent="0.35">
      <c r="A836" s="3"/>
      <c r="B836" s="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O836" s="3"/>
    </row>
    <row r="837" spans="1:15" ht="15.75" customHeight="1" x14ac:dyDescent="0.35">
      <c r="A837" s="3"/>
      <c r="B837" s="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O837" s="3"/>
    </row>
    <row r="838" spans="1:15" ht="15.75" customHeight="1" x14ac:dyDescent="0.35">
      <c r="A838" s="3"/>
      <c r="B838" s="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O838" s="3"/>
    </row>
    <row r="839" spans="1:15" ht="15.75" customHeight="1" x14ac:dyDescent="0.35">
      <c r="A839" s="3"/>
      <c r="B839" s="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O839" s="3"/>
    </row>
    <row r="840" spans="1:15" ht="15.75" customHeight="1" x14ac:dyDescent="0.35">
      <c r="A840" s="3"/>
      <c r="B840" s="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O840" s="3"/>
    </row>
    <row r="841" spans="1:15" ht="15.75" customHeight="1" x14ac:dyDescent="0.35">
      <c r="A841" s="3"/>
      <c r="B841" s="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O841" s="3"/>
    </row>
    <row r="842" spans="1:15" ht="15.75" customHeight="1" x14ac:dyDescent="0.35">
      <c r="A842" s="3"/>
      <c r="B842" s="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O842" s="3"/>
    </row>
    <row r="843" spans="1:15" ht="15.75" customHeight="1" x14ac:dyDescent="0.35">
      <c r="A843" s="3"/>
      <c r="B843" s="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O843" s="3"/>
    </row>
    <row r="844" spans="1:15" ht="15.75" customHeight="1" x14ac:dyDescent="0.35">
      <c r="A844" s="3"/>
      <c r="B844" s="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O844" s="3"/>
    </row>
    <row r="845" spans="1:15" ht="15.75" customHeight="1" x14ac:dyDescent="0.35">
      <c r="A845" s="3"/>
      <c r="B845" s="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O845" s="3"/>
    </row>
    <row r="846" spans="1:15" ht="15.75" customHeight="1" x14ac:dyDescent="0.35">
      <c r="A846" s="3"/>
      <c r="B846" s="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O846" s="3"/>
    </row>
    <row r="847" spans="1:15" ht="15.75" customHeight="1" x14ac:dyDescent="0.35">
      <c r="A847" s="3"/>
      <c r="B847" s="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O847" s="3"/>
    </row>
    <row r="848" spans="1:15" ht="15.75" customHeight="1" x14ac:dyDescent="0.35">
      <c r="A848" s="3"/>
      <c r="B848" s="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O848" s="3"/>
    </row>
    <row r="849" spans="1:15" ht="15.75" customHeight="1" x14ac:dyDescent="0.35">
      <c r="A849" s="3"/>
      <c r="B849" s="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O849" s="3"/>
    </row>
    <row r="850" spans="1:15" ht="15.75" customHeight="1" x14ac:dyDescent="0.35">
      <c r="A850" s="3"/>
      <c r="B850" s="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O850" s="3"/>
    </row>
    <row r="851" spans="1:15" ht="15.75" customHeight="1" x14ac:dyDescent="0.35">
      <c r="A851" s="3"/>
      <c r="B851" s="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O851" s="3"/>
    </row>
    <row r="852" spans="1:15" ht="15.75" customHeight="1" x14ac:dyDescent="0.35">
      <c r="A852" s="3"/>
      <c r="B852" s="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O852" s="3"/>
    </row>
    <row r="853" spans="1:15" ht="15.75" customHeight="1" x14ac:dyDescent="0.35">
      <c r="A853" s="3"/>
      <c r="B853" s="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O853" s="3"/>
    </row>
    <row r="854" spans="1:15" ht="15.75" customHeight="1" x14ac:dyDescent="0.35">
      <c r="A854" s="3"/>
      <c r="B854" s="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O854" s="3"/>
    </row>
    <row r="855" spans="1:15" ht="15.75" customHeight="1" x14ac:dyDescent="0.35">
      <c r="A855" s="3"/>
      <c r="B855" s="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O855" s="3"/>
    </row>
    <row r="856" spans="1:15" ht="15.75" customHeight="1" x14ac:dyDescent="0.35">
      <c r="A856" s="3"/>
      <c r="B856" s="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O856" s="3"/>
    </row>
    <row r="857" spans="1:15" ht="15.75" customHeight="1" x14ac:dyDescent="0.35">
      <c r="A857" s="3"/>
      <c r="B857" s="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O857" s="3"/>
    </row>
    <row r="858" spans="1:15" ht="15.75" customHeight="1" x14ac:dyDescent="0.35">
      <c r="A858" s="3"/>
      <c r="B858" s="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O858" s="3"/>
    </row>
    <row r="859" spans="1:15" ht="15.75" customHeight="1" x14ac:dyDescent="0.35">
      <c r="A859" s="3"/>
      <c r="B859" s="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O859" s="3"/>
    </row>
    <row r="860" spans="1:15" ht="15.75" customHeight="1" x14ac:dyDescent="0.35">
      <c r="A860" s="3"/>
      <c r="B860" s="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O860" s="3"/>
    </row>
    <row r="861" spans="1:15" ht="15.75" customHeight="1" x14ac:dyDescent="0.35">
      <c r="A861" s="3"/>
      <c r="B861" s="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O861" s="3"/>
    </row>
    <row r="862" spans="1:15" ht="15.75" customHeight="1" x14ac:dyDescent="0.35">
      <c r="A862" s="3"/>
      <c r="B862" s="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O862" s="3"/>
    </row>
    <row r="863" spans="1:15" ht="15.75" customHeight="1" x14ac:dyDescent="0.35">
      <c r="A863" s="3"/>
      <c r="B863" s="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O863" s="3"/>
    </row>
    <row r="864" spans="1:15" ht="15.75" customHeight="1" x14ac:dyDescent="0.35">
      <c r="A864" s="3"/>
      <c r="B864" s="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O864" s="3"/>
    </row>
    <row r="865" spans="1:15" ht="15.75" customHeight="1" x14ac:dyDescent="0.35">
      <c r="A865" s="3"/>
      <c r="B865" s="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O865" s="3"/>
    </row>
    <row r="866" spans="1:15" ht="15.75" customHeight="1" x14ac:dyDescent="0.35">
      <c r="A866" s="3"/>
      <c r="B866" s="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O866" s="3"/>
    </row>
    <row r="867" spans="1:15" ht="15.75" customHeight="1" x14ac:dyDescent="0.35">
      <c r="A867" s="3"/>
      <c r="B867" s="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O867" s="3"/>
    </row>
    <row r="868" spans="1:15" ht="15.75" customHeight="1" x14ac:dyDescent="0.35">
      <c r="A868" s="3"/>
      <c r="B868" s="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O868" s="3"/>
    </row>
    <row r="869" spans="1:15" ht="15.75" customHeight="1" x14ac:dyDescent="0.35">
      <c r="A869" s="3"/>
      <c r="B869" s="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O869" s="3"/>
    </row>
    <row r="870" spans="1:15" ht="15.75" customHeight="1" x14ac:dyDescent="0.35">
      <c r="A870" s="3"/>
      <c r="B870" s="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O870" s="3"/>
    </row>
    <row r="871" spans="1:15" ht="15.75" customHeight="1" x14ac:dyDescent="0.35">
      <c r="A871" s="3"/>
      <c r="B871" s="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O871" s="3"/>
    </row>
    <row r="872" spans="1:15" ht="15.75" customHeight="1" x14ac:dyDescent="0.35">
      <c r="A872" s="3"/>
      <c r="B872" s="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O872" s="3"/>
    </row>
    <row r="873" spans="1:15" ht="15.75" customHeight="1" x14ac:dyDescent="0.35">
      <c r="A873" s="3"/>
      <c r="B873" s="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O873" s="3"/>
    </row>
    <row r="874" spans="1:15" ht="15.75" customHeight="1" x14ac:dyDescent="0.35">
      <c r="A874" s="3"/>
      <c r="B874" s="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O874" s="3"/>
    </row>
    <row r="875" spans="1:15" ht="15.75" customHeight="1" x14ac:dyDescent="0.35">
      <c r="A875" s="3"/>
      <c r="B875" s="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O875" s="3"/>
    </row>
    <row r="876" spans="1:15" ht="15.75" customHeight="1" x14ac:dyDescent="0.35">
      <c r="A876" s="3"/>
      <c r="B876" s="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O876" s="3"/>
    </row>
    <row r="877" spans="1:15" ht="15.75" customHeight="1" x14ac:dyDescent="0.35">
      <c r="A877" s="3"/>
      <c r="B877" s="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O877" s="3"/>
    </row>
    <row r="878" spans="1:15" ht="15.75" customHeight="1" x14ac:dyDescent="0.35">
      <c r="A878" s="3"/>
      <c r="B878" s="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O878" s="3"/>
    </row>
    <row r="879" spans="1:15" ht="15.75" customHeight="1" x14ac:dyDescent="0.35">
      <c r="A879" s="3"/>
      <c r="B879" s="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O879" s="3"/>
    </row>
    <row r="880" spans="1:15" ht="15.75" customHeight="1" x14ac:dyDescent="0.35">
      <c r="A880" s="3"/>
      <c r="B880" s="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O880" s="3"/>
    </row>
    <row r="881" spans="1:15" ht="15.75" customHeight="1" x14ac:dyDescent="0.35">
      <c r="A881" s="3"/>
      <c r="B881" s="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O881" s="3"/>
    </row>
    <row r="882" spans="1:15" ht="15.75" customHeight="1" x14ac:dyDescent="0.35">
      <c r="A882" s="3"/>
      <c r="B882" s="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O882" s="3"/>
    </row>
    <row r="883" spans="1:15" ht="15.75" customHeight="1" x14ac:dyDescent="0.35">
      <c r="A883" s="3"/>
      <c r="B883" s="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O883" s="3"/>
    </row>
    <row r="884" spans="1:15" ht="15.75" customHeight="1" x14ac:dyDescent="0.35">
      <c r="A884" s="3"/>
      <c r="B884" s="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O884" s="3"/>
    </row>
    <row r="885" spans="1:15" ht="15.75" customHeight="1" x14ac:dyDescent="0.35">
      <c r="A885" s="3"/>
      <c r="B885" s="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O885" s="3"/>
    </row>
    <row r="886" spans="1:15" ht="15.75" customHeight="1" x14ac:dyDescent="0.35">
      <c r="A886" s="3"/>
      <c r="B886" s="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O886" s="3"/>
    </row>
    <row r="887" spans="1:15" ht="15.75" customHeight="1" x14ac:dyDescent="0.35">
      <c r="A887" s="3"/>
      <c r="B887" s="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O887" s="3"/>
    </row>
    <row r="888" spans="1:15" ht="15.75" customHeight="1" x14ac:dyDescent="0.35">
      <c r="A888" s="3"/>
      <c r="B888" s="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O888" s="3"/>
    </row>
    <row r="889" spans="1:15" ht="15.75" customHeight="1" x14ac:dyDescent="0.35">
      <c r="A889" s="3"/>
      <c r="B889" s="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O889" s="3"/>
    </row>
    <row r="890" spans="1:15" ht="15.75" customHeight="1" x14ac:dyDescent="0.35">
      <c r="A890" s="3"/>
      <c r="B890" s="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O890" s="3"/>
    </row>
    <row r="891" spans="1:15" ht="15.75" customHeight="1" x14ac:dyDescent="0.35">
      <c r="A891" s="3"/>
      <c r="B891" s="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O891" s="3"/>
    </row>
    <row r="892" spans="1:15" ht="15.75" customHeight="1" x14ac:dyDescent="0.35">
      <c r="A892" s="3"/>
      <c r="B892" s="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O892" s="3"/>
    </row>
    <row r="893" spans="1:15" ht="15.75" customHeight="1" x14ac:dyDescent="0.35">
      <c r="A893" s="3"/>
      <c r="B893" s="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O893" s="3"/>
    </row>
    <row r="894" spans="1:15" ht="15.75" customHeight="1" x14ac:dyDescent="0.35">
      <c r="A894" s="3"/>
      <c r="B894" s="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O894" s="3"/>
    </row>
    <row r="895" spans="1:15" ht="15.75" customHeight="1" x14ac:dyDescent="0.35">
      <c r="A895" s="3"/>
      <c r="B895" s="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O895" s="3"/>
    </row>
    <row r="896" spans="1:15" ht="15.75" customHeight="1" x14ac:dyDescent="0.35">
      <c r="A896" s="3"/>
      <c r="B896" s="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O896" s="3"/>
    </row>
    <row r="897" spans="1:15" ht="15.75" customHeight="1" x14ac:dyDescent="0.35">
      <c r="A897" s="3"/>
      <c r="B897" s="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O897" s="3"/>
    </row>
    <row r="898" spans="1:15" ht="15.75" customHeight="1" x14ac:dyDescent="0.35">
      <c r="A898" s="3"/>
      <c r="B898" s="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O898" s="3"/>
    </row>
    <row r="899" spans="1:15" ht="15.75" customHeight="1" x14ac:dyDescent="0.35">
      <c r="A899" s="3"/>
      <c r="B899" s="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O899" s="3"/>
    </row>
    <row r="900" spans="1:15" ht="15.75" customHeight="1" x14ac:dyDescent="0.35">
      <c r="A900" s="3"/>
      <c r="B900" s="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O900" s="3"/>
    </row>
    <row r="901" spans="1:15" ht="15.75" customHeight="1" x14ac:dyDescent="0.35">
      <c r="A901" s="3"/>
      <c r="B901" s="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O901" s="3"/>
    </row>
    <row r="902" spans="1:15" ht="15.75" customHeight="1" x14ac:dyDescent="0.35">
      <c r="A902" s="3"/>
      <c r="B902" s="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O902" s="3"/>
    </row>
    <row r="903" spans="1:15" ht="15.75" customHeight="1" x14ac:dyDescent="0.35">
      <c r="A903" s="3"/>
      <c r="B903" s="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O903" s="3"/>
    </row>
    <row r="904" spans="1:15" ht="15.75" customHeight="1" x14ac:dyDescent="0.35">
      <c r="A904" s="3"/>
      <c r="B904" s="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O904" s="3"/>
    </row>
    <row r="905" spans="1:15" ht="15.75" customHeight="1" x14ac:dyDescent="0.35">
      <c r="A905" s="3"/>
      <c r="B905" s="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O905" s="3"/>
    </row>
    <row r="906" spans="1:15" ht="15.75" customHeight="1" x14ac:dyDescent="0.35">
      <c r="A906" s="3"/>
      <c r="B906" s="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O906" s="3"/>
    </row>
    <row r="907" spans="1:15" ht="15.75" customHeight="1" x14ac:dyDescent="0.35">
      <c r="A907" s="3"/>
      <c r="B907" s="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O907" s="3"/>
    </row>
    <row r="908" spans="1:15" ht="15.75" customHeight="1" x14ac:dyDescent="0.35">
      <c r="A908" s="3"/>
      <c r="B908" s="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O908" s="3"/>
    </row>
    <row r="909" spans="1:15" ht="15.75" customHeight="1" x14ac:dyDescent="0.35">
      <c r="A909" s="3"/>
      <c r="B909" s="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O909" s="3"/>
    </row>
    <row r="910" spans="1:15" ht="15.75" customHeight="1" x14ac:dyDescent="0.35">
      <c r="A910" s="3"/>
      <c r="B910" s="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O910" s="3"/>
    </row>
    <row r="911" spans="1:15" ht="15.75" customHeight="1" x14ac:dyDescent="0.35">
      <c r="A911" s="3"/>
      <c r="B911" s="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O911" s="3"/>
    </row>
    <row r="912" spans="1:15" ht="15.75" customHeight="1" x14ac:dyDescent="0.35">
      <c r="A912" s="3"/>
      <c r="B912" s="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O912" s="3"/>
    </row>
    <row r="913" spans="1:15" ht="15.75" customHeight="1" x14ac:dyDescent="0.35">
      <c r="A913" s="3"/>
      <c r="B913" s="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O913" s="3"/>
    </row>
    <row r="914" spans="1:15" ht="15.75" customHeight="1" x14ac:dyDescent="0.35">
      <c r="A914" s="3"/>
      <c r="B914" s="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O914" s="3"/>
    </row>
    <row r="915" spans="1:15" ht="15.75" customHeight="1" x14ac:dyDescent="0.35">
      <c r="A915" s="3"/>
      <c r="B915" s="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O915" s="3"/>
    </row>
    <row r="916" spans="1:15" ht="15.75" customHeight="1" x14ac:dyDescent="0.35">
      <c r="A916" s="3"/>
      <c r="B916" s="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O916" s="3"/>
    </row>
    <row r="917" spans="1:15" ht="15.75" customHeight="1" x14ac:dyDescent="0.35">
      <c r="A917" s="3"/>
      <c r="B917" s="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O917" s="3"/>
    </row>
    <row r="918" spans="1:15" ht="15.75" customHeight="1" x14ac:dyDescent="0.35">
      <c r="A918" s="3"/>
      <c r="B918" s="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O918" s="3"/>
    </row>
    <row r="919" spans="1:15" ht="15.75" customHeight="1" x14ac:dyDescent="0.35">
      <c r="A919" s="3"/>
      <c r="B919" s="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O919" s="3"/>
    </row>
    <row r="920" spans="1:15" ht="15.75" customHeight="1" x14ac:dyDescent="0.35">
      <c r="A920" s="3"/>
      <c r="B920" s="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O920" s="3"/>
    </row>
    <row r="921" spans="1:15" ht="15.75" customHeight="1" x14ac:dyDescent="0.35">
      <c r="A921" s="3"/>
      <c r="B921" s="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O921" s="3"/>
    </row>
    <row r="922" spans="1:15" ht="15.75" customHeight="1" x14ac:dyDescent="0.35">
      <c r="A922" s="3"/>
      <c r="B922" s="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O922" s="3"/>
    </row>
    <row r="923" spans="1:15" ht="15.75" customHeight="1" x14ac:dyDescent="0.35">
      <c r="A923" s="3"/>
      <c r="B923" s="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O923" s="3"/>
    </row>
    <row r="924" spans="1:15" ht="15.75" customHeight="1" x14ac:dyDescent="0.35">
      <c r="A924" s="3"/>
      <c r="B924" s="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O924" s="3"/>
    </row>
    <row r="925" spans="1:15" ht="15.75" customHeight="1" x14ac:dyDescent="0.35">
      <c r="A925" s="3"/>
      <c r="B925" s="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O925" s="3"/>
    </row>
    <row r="926" spans="1:15" ht="15.75" customHeight="1" x14ac:dyDescent="0.35">
      <c r="A926" s="3"/>
      <c r="B926" s="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O926" s="3"/>
    </row>
    <row r="927" spans="1:15" ht="15.75" customHeight="1" x14ac:dyDescent="0.35">
      <c r="A927" s="3"/>
      <c r="B927" s="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O927" s="3"/>
    </row>
    <row r="928" spans="1:15" ht="15.75" customHeight="1" x14ac:dyDescent="0.35">
      <c r="A928" s="3"/>
      <c r="B928" s="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O928" s="3"/>
    </row>
    <row r="929" spans="1:15" ht="15.75" customHeight="1" x14ac:dyDescent="0.35">
      <c r="A929" s="3"/>
      <c r="B929" s="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O929" s="3"/>
    </row>
    <row r="930" spans="1:15" ht="15.75" customHeight="1" x14ac:dyDescent="0.35">
      <c r="A930" s="3"/>
      <c r="B930" s="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O930" s="3"/>
    </row>
    <row r="931" spans="1:15" ht="15.75" customHeight="1" x14ac:dyDescent="0.35">
      <c r="A931" s="3"/>
      <c r="B931" s="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O931" s="3"/>
    </row>
    <row r="932" spans="1:15" ht="15.75" customHeight="1" x14ac:dyDescent="0.35">
      <c r="A932" s="3"/>
      <c r="B932" s="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O932" s="3"/>
    </row>
    <row r="933" spans="1:15" ht="15.75" customHeight="1" x14ac:dyDescent="0.35">
      <c r="A933" s="3"/>
      <c r="B933" s="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O933" s="3"/>
    </row>
    <row r="934" spans="1:15" ht="15.75" customHeight="1" x14ac:dyDescent="0.35">
      <c r="A934" s="3"/>
      <c r="B934" s="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O934" s="3"/>
    </row>
    <row r="935" spans="1:15" ht="15.75" customHeight="1" x14ac:dyDescent="0.35">
      <c r="A935" s="3"/>
      <c r="B935" s="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O935" s="3"/>
    </row>
    <row r="936" spans="1:15" ht="15.75" customHeight="1" x14ac:dyDescent="0.35">
      <c r="A936" s="3"/>
      <c r="B936" s="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O936" s="3"/>
    </row>
    <row r="937" spans="1:15" ht="15.75" customHeight="1" x14ac:dyDescent="0.35">
      <c r="A937" s="3"/>
      <c r="B937" s="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O937" s="3"/>
    </row>
    <row r="938" spans="1:15" ht="15.75" customHeight="1" x14ac:dyDescent="0.35">
      <c r="A938" s="3"/>
      <c r="B938" s="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O938" s="3"/>
    </row>
    <row r="939" spans="1:15" ht="15.75" customHeight="1" x14ac:dyDescent="0.35">
      <c r="A939" s="3"/>
      <c r="B939" s="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O939" s="3"/>
    </row>
    <row r="940" spans="1:15" ht="15.75" customHeight="1" x14ac:dyDescent="0.35">
      <c r="A940" s="3"/>
      <c r="B940" s="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O940" s="3"/>
    </row>
    <row r="941" spans="1:15" ht="15.75" customHeight="1" x14ac:dyDescent="0.35">
      <c r="A941" s="3"/>
      <c r="B941" s="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O941" s="3"/>
    </row>
    <row r="942" spans="1:15" ht="15.75" customHeight="1" x14ac:dyDescent="0.35">
      <c r="A942" s="3"/>
      <c r="B942" s="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O942" s="3"/>
    </row>
    <row r="943" spans="1:15" ht="15.75" customHeight="1" x14ac:dyDescent="0.35">
      <c r="A943" s="3"/>
      <c r="B943" s="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O943" s="3"/>
    </row>
    <row r="944" spans="1:15" ht="15.75" customHeight="1" x14ac:dyDescent="0.35">
      <c r="A944" s="3"/>
      <c r="B944" s="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O944" s="3"/>
    </row>
    <row r="945" spans="1:15" ht="15.75" customHeight="1" x14ac:dyDescent="0.35">
      <c r="A945" s="3"/>
      <c r="B945" s="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O945" s="3"/>
    </row>
    <row r="946" spans="1:15" ht="15.75" customHeight="1" x14ac:dyDescent="0.35">
      <c r="A946" s="3"/>
      <c r="B946" s="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O946" s="3"/>
    </row>
    <row r="947" spans="1:15" ht="15.75" customHeight="1" x14ac:dyDescent="0.35">
      <c r="A947" s="3"/>
      <c r="B947" s="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O947" s="3"/>
    </row>
    <row r="948" spans="1:15" ht="15.75" customHeight="1" x14ac:dyDescent="0.35">
      <c r="A948" s="3"/>
      <c r="B948" s="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O948" s="3"/>
    </row>
    <row r="949" spans="1:15" ht="15.75" customHeight="1" x14ac:dyDescent="0.35">
      <c r="A949" s="3"/>
      <c r="B949" s="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O949" s="3"/>
    </row>
    <row r="950" spans="1:15" ht="15.75" customHeight="1" x14ac:dyDescent="0.35">
      <c r="A950" s="3"/>
      <c r="B950" s="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O950" s="3"/>
    </row>
    <row r="951" spans="1:15" ht="15.75" customHeight="1" x14ac:dyDescent="0.35">
      <c r="A951" s="3"/>
      <c r="B951" s="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O951" s="3"/>
    </row>
    <row r="952" spans="1:15" ht="15.75" customHeight="1" x14ac:dyDescent="0.35">
      <c r="A952" s="3"/>
      <c r="B952" s="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O952" s="3"/>
    </row>
    <row r="953" spans="1:15" ht="15.75" customHeight="1" x14ac:dyDescent="0.35">
      <c r="A953" s="3"/>
      <c r="B953" s="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O953" s="3"/>
    </row>
    <row r="954" spans="1:15" ht="15.75" customHeight="1" x14ac:dyDescent="0.35">
      <c r="A954" s="3"/>
      <c r="B954" s="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O954" s="3"/>
    </row>
    <row r="955" spans="1:15" ht="15.75" customHeight="1" x14ac:dyDescent="0.35">
      <c r="A955" s="3"/>
      <c r="B955" s="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O955" s="3"/>
    </row>
    <row r="956" spans="1:15" ht="15.75" customHeight="1" x14ac:dyDescent="0.35">
      <c r="A956" s="3"/>
      <c r="B956" s="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O956" s="3"/>
    </row>
    <row r="957" spans="1:15" ht="15.75" customHeight="1" x14ac:dyDescent="0.35">
      <c r="A957" s="3"/>
      <c r="B957" s="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O957" s="3"/>
    </row>
    <row r="958" spans="1:15" ht="15.75" customHeight="1" x14ac:dyDescent="0.35">
      <c r="A958" s="3"/>
      <c r="B958" s="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O958" s="3"/>
    </row>
    <row r="959" spans="1:15" ht="15.75" customHeight="1" x14ac:dyDescent="0.35">
      <c r="A959" s="3"/>
      <c r="B959" s="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O959" s="3"/>
    </row>
    <row r="960" spans="1:15" ht="15.75" customHeight="1" x14ac:dyDescent="0.35">
      <c r="A960" s="3"/>
      <c r="B960" s="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O960" s="3"/>
    </row>
    <row r="961" spans="1:15" ht="15.75" customHeight="1" x14ac:dyDescent="0.35">
      <c r="A961" s="3"/>
      <c r="B961" s="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O961" s="3"/>
    </row>
    <row r="962" spans="1:15" ht="15.75" customHeight="1" x14ac:dyDescent="0.35">
      <c r="A962" s="3"/>
      <c r="B962" s="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O962" s="3"/>
    </row>
    <row r="963" spans="1:15" ht="15.75" customHeight="1" x14ac:dyDescent="0.35">
      <c r="A963" s="3"/>
      <c r="B963" s="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O963" s="3"/>
    </row>
    <row r="964" spans="1:15" ht="15.75" customHeight="1" x14ac:dyDescent="0.35">
      <c r="A964" s="3"/>
      <c r="B964" s="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O964" s="3"/>
    </row>
    <row r="965" spans="1:15" ht="15.75" customHeight="1" x14ac:dyDescent="0.35">
      <c r="A965" s="3"/>
      <c r="B965" s="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O965" s="3"/>
    </row>
    <row r="966" spans="1:15" ht="15.75" customHeight="1" x14ac:dyDescent="0.35">
      <c r="A966" s="3"/>
      <c r="B966" s="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O966" s="3"/>
    </row>
    <row r="967" spans="1:15" ht="15.75" customHeight="1" x14ac:dyDescent="0.35">
      <c r="A967" s="3"/>
      <c r="B967" s="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O967" s="3"/>
    </row>
    <row r="968" spans="1:15" ht="15.75" customHeight="1" x14ac:dyDescent="0.35">
      <c r="A968" s="3"/>
      <c r="B968" s="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O968" s="3"/>
    </row>
    <row r="969" spans="1:15" ht="15.75" customHeight="1" x14ac:dyDescent="0.35">
      <c r="A969" s="3"/>
      <c r="B969" s="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O969" s="3"/>
    </row>
    <row r="970" spans="1:15" ht="15.75" customHeight="1" x14ac:dyDescent="0.35">
      <c r="A970" s="3"/>
      <c r="B970" s="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O970" s="3"/>
    </row>
    <row r="971" spans="1:15" ht="15.75" customHeight="1" x14ac:dyDescent="0.35">
      <c r="A971" s="3"/>
      <c r="B971" s="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O971" s="3"/>
    </row>
    <row r="972" spans="1:15" ht="15.75" customHeight="1" x14ac:dyDescent="0.35">
      <c r="A972" s="3"/>
      <c r="B972" s="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O972" s="3"/>
    </row>
    <row r="973" spans="1:15" ht="15.75" customHeight="1" x14ac:dyDescent="0.35">
      <c r="A973" s="3"/>
      <c r="B973" s="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O973" s="3"/>
    </row>
    <row r="974" spans="1:15" ht="15.75" customHeight="1" x14ac:dyDescent="0.35">
      <c r="A974" s="3"/>
      <c r="B974" s="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O974" s="3"/>
    </row>
    <row r="975" spans="1:15" ht="15.75" customHeight="1" x14ac:dyDescent="0.35">
      <c r="A975" s="3"/>
      <c r="B975" s="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O975" s="3"/>
    </row>
    <row r="976" spans="1:15" ht="15.75" customHeight="1" x14ac:dyDescent="0.35">
      <c r="A976" s="3"/>
      <c r="B976" s="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O976" s="3"/>
    </row>
    <row r="977" spans="1:15" ht="15.75" customHeight="1" x14ac:dyDescent="0.35">
      <c r="A977" s="3"/>
      <c r="B977" s="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O977" s="3"/>
    </row>
    <row r="978" spans="1:15" ht="15.75" customHeight="1" x14ac:dyDescent="0.35">
      <c r="A978" s="3"/>
      <c r="B978" s="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O978" s="3"/>
    </row>
    <row r="979" spans="1:15" ht="15.75" customHeight="1" x14ac:dyDescent="0.35">
      <c r="A979" s="3"/>
      <c r="B979" s="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O979" s="3"/>
    </row>
    <row r="980" spans="1:15" ht="15.75" customHeight="1" x14ac:dyDescent="0.35">
      <c r="A980" s="3"/>
      <c r="B980" s="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O980" s="3"/>
    </row>
    <row r="981" spans="1:15" ht="15.75" customHeight="1" x14ac:dyDescent="0.35">
      <c r="A981" s="3"/>
      <c r="B981" s="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O981" s="3"/>
    </row>
    <row r="982" spans="1:15" ht="15.75" customHeight="1" x14ac:dyDescent="0.35">
      <c r="A982" s="3"/>
      <c r="B982" s="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O982" s="3"/>
    </row>
    <row r="983" spans="1:15" ht="15.75" customHeight="1" x14ac:dyDescent="0.35">
      <c r="A983" s="3"/>
      <c r="B983" s="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O983" s="3"/>
    </row>
    <row r="984" spans="1:15" ht="15.75" customHeight="1" x14ac:dyDescent="0.35">
      <c r="A984" s="3"/>
      <c r="B984" s="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O984" s="3"/>
    </row>
    <row r="985" spans="1:15" ht="15.75" customHeight="1" x14ac:dyDescent="0.35">
      <c r="A985" s="3"/>
      <c r="B985" s="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O985" s="3"/>
    </row>
    <row r="986" spans="1:15" ht="15.75" customHeight="1" x14ac:dyDescent="0.35">
      <c r="A986" s="3"/>
      <c r="B986" s="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O986" s="3"/>
    </row>
    <row r="987" spans="1:15" ht="15.75" customHeight="1" x14ac:dyDescent="0.35">
      <c r="A987" s="3"/>
      <c r="B987" s="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O987" s="3"/>
    </row>
    <row r="988" spans="1:15" ht="15.75" customHeight="1" x14ac:dyDescent="0.35">
      <c r="A988" s="3"/>
      <c r="B988" s="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O988" s="3"/>
    </row>
    <row r="989" spans="1:15" ht="15.75" customHeight="1" x14ac:dyDescent="0.35">
      <c r="A989" s="3"/>
      <c r="B989" s="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O989" s="3"/>
    </row>
    <row r="990" spans="1:15" ht="15.75" customHeight="1" x14ac:dyDescent="0.35">
      <c r="A990" s="3"/>
      <c r="B990" s="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O990" s="3"/>
    </row>
    <row r="991" spans="1:15" ht="15.75" customHeight="1" x14ac:dyDescent="0.35">
      <c r="A991" s="3"/>
      <c r="B991" s="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O991" s="3"/>
    </row>
    <row r="992" spans="1:15" ht="15.75" customHeight="1" x14ac:dyDescent="0.35">
      <c r="A992" s="3"/>
      <c r="B992" s="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O992" s="3"/>
    </row>
    <row r="993" spans="1:15" ht="15.75" customHeight="1" x14ac:dyDescent="0.35">
      <c r="A993" s="3"/>
      <c r="B993" s="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O993" s="3"/>
    </row>
    <row r="994" spans="1:15" ht="15.75" customHeight="1" x14ac:dyDescent="0.35">
      <c r="A994" s="3"/>
      <c r="B994" s="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O994" s="3"/>
    </row>
    <row r="995" spans="1:15" ht="15.75" customHeight="1" x14ac:dyDescent="0.35">
      <c r="A995" s="3"/>
      <c r="B995" s="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O995" s="3"/>
    </row>
    <row r="996" spans="1:15" ht="15.75" customHeight="1" x14ac:dyDescent="0.35">
      <c r="A996" s="3"/>
      <c r="B996" s="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O996" s="3"/>
    </row>
    <row r="997" spans="1:15" ht="15.75" customHeight="1" x14ac:dyDescent="0.35">
      <c r="A997" s="3"/>
      <c r="B997" s="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O997" s="3"/>
    </row>
    <row r="998" spans="1:15" ht="15.75" customHeight="1" x14ac:dyDescent="0.35">
      <c r="A998" s="3"/>
      <c r="B998" s="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O998" s="3"/>
    </row>
    <row r="999" spans="1:15" ht="15.75" customHeight="1" x14ac:dyDescent="0.35">
      <c r="A999" s="3"/>
      <c r="B999" s="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O999" s="3"/>
    </row>
    <row r="1000" spans="1:15" ht="15.75" customHeight="1" x14ac:dyDescent="0.35">
      <c r="A1000" s="3"/>
      <c r="B1000" s="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O1000" s="3"/>
    </row>
    <row r="1001" spans="1:15" ht="15.75" customHeight="1" x14ac:dyDescent="0.35">
      <c r="A1001" s="3"/>
      <c r="B1001" s="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O1001" s="3"/>
    </row>
    <row r="1002" spans="1:15" ht="15.75" customHeight="1" x14ac:dyDescent="0.35">
      <c r="A1002" s="3"/>
      <c r="B1002" s="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O1002" s="3"/>
    </row>
    <row r="1003" spans="1:15" ht="15.75" customHeight="1" x14ac:dyDescent="0.35">
      <c r="A1003" s="3"/>
      <c r="B1003" s="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O1003" s="3"/>
    </row>
    <row r="1004" spans="1:15" ht="15.75" customHeight="1" x14ac:dyDescent="0.35">
      <c r="A1004" s="3"/>
      <c r="B1004" s="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O1004" s="3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AP762"/>
  <sheetViews>
    <sheetView topLeftCell="AF1" workbookViewId="0">
      <pane ySplit="2" topLeftCell="A747" activePane="bottomLeft" state="frozen"/>
      <selection pane="bottomLeft" activeCell="A760" sqref="A760"/>
    </sheetView>
  </sheetViews>
  <sheetFormatPr defaultColWidth="14.453125" defaultRowHeight="15" customHeight="1" x14ac:dyDescent="0.35"/>
  <cols>
    <col min="1" max="1" width="11.453125" style="3" bestFit="1" customWidth="1"/>
    <col min="2" max="2" width="11.54296875" style="3" bestFit="1" customWidth="1"/>
    <col min="3" max="3" width="22" style="3" bestFit="1" customWidth="1"/>
    <col min="4" max="4" width="24.26953125" style="3" bestFit="1" customWidth="1"/>
    <col min="5" max="5" width="22.26953125" style="3" bestFit="1" customWidth="1"/>
    <col min="6" max="6" width="26.1796875" style="3" bestFit="1" customWidth="1"/>
    <col min="7" max="7" width="26.1796875" style="3" customWidth="1"/>
    <col min="8" max="8" width="12.1796875" style="57" bestFit="1" customWidth="1"/>
    <col min="9" max="9" width="12.1796875" style="57" customWidth="1"/>
    <col min="10" max="10" width="23.7265625" style="3" bestFit="1" customWidth="1"/>
    <col min="11" max="11" width="22.26953125" style="3" bestFit="1" customWidth="1"/>
    <col min="12" max="13" width="12.1796875" style="3" customWidth="1"/>
    <col min="14" max="14" width="13.7265625" style="3" bestFit="1" customWidth="1"/>
    <col min="15" max="15" width="12.7265625" style="3" bestFit="1" customWidth="1"/>
    <col min="16" max="16" width="15.81640625" style="3" bestFit="1" customWidth="1"/>
    <col min="17" max="17" width="12.7265625" style="3" bestFit="1" customWidth="1"/>
    <col min="18" max="19" width="12.7265625" style="3" customWidth="1"/>
    <col min="20" max="20" width="13.54296875" style="3" customWidth="1"/>
    <col min="21" max="21" width="17.1796875" style="3" bestFit="1" customWidth="1"/>
    <col min="22" max="22" width="17" style="3" bestFit="1" customWidth="1"/>
    <col min="23" max="23" width="17" style="3" customWidth="1"/>
    <col min="24" max="24" width="12.453125" style="3" bestFit="1" customWidth="1"/>
    <col min="25" max="25" width="14.1796875" style="3" bestFit="1" customWidth="1"/>
    <col min="26" max="26" width="14.7265625" style="3" bestFit="1" customWidth="1"/>
    <col min="27" max="27" width="10.54296875" style="3" bestFit="1" customWidth="1"/>
    <col min="28" max="28" width="12.26953125" style="3" bestFit="1" customWidth="1"/>
    <col min="29" max="29" width="13.7265625" style="3" bestFit="1" customWidth="1"/>
    <col min="30" max="30" width="18" style="3" bestFit="1" customWidth="1"/>
    <col min="31" max="31" width="14.1796875" style="61" bestFit="1" customWidth="1"/>
    <col min="32" max="32" width="16.1796875" style="3" bestFit="1" customWidth="1"/>
    <col min="33" max="33" width="10.81640625" style="3" bestFit="1" customWidth="1"/>
    <col min="34" max="34" width="12.1796875" style="3" bestFit="1" customWidth="1"/>
    <col min="35" max="35" width="27.1796875" style="61" bestFit="1" customWidth="1"/>
    <col min="36" max="36" width="15.453125" style="61" customWidth="1"/>
    <col min="37" max="38" width="11.453125" style="61" bestFit="1" customWidth="1"/>
    <col min="39" max="39" width="11.1796875" style="3" bestFit="1" customWidth="1"/>
    <col min="40" max="40" width="18.453125" style="3" bestFit="1" customWidth="1"/>
    <col min="41" max="41" width="15.453125" style="3" bestFit="1" customWidth="1"/>
    <col min="42" max="16384" width="14.453125" style="3"/>
  </cols>
  <sheetData>
    <row r="1" spans="1:42" s="35" customFormat="1" ht="15.75" customHeight="1" x14ac:dyDescent="0.3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  <c r="U1" s="30"/>
      <c r="V1" s="32">
        <f>ROUND(SUM(V3:V1048576),0)</f>
        <v>216200000</v>
      </c>
      <c r="W1" s="32">
        <f>ROUND(SUM(W3:W1048576),0)</f>
        <v>79100000</v>
      </c>
      <c r="X1" s="32">
        <f>ROUND(SUM(X3:X1048576),0)</f>
        <v>245</v>
      </c>
      <c r="Y1" s="33"/>
      <c r="Z1" s="38">
        <v>46081</v>
      </c>
      <c r="AA1" s="32"/>
      <c r="AB1" s="30" t="s">
        <v>2</v>
      </c>
      <c r="AC1" s="32">
        <f>ROUND(SUM(AC3:AC1048576),0)</f>
        <v>3820636</v>
      </c>
      <c r="AD1" s="32">
        <f>ROUND(SUM(AD3:AD1048576),0)</f>
        <v>688</v>
      </c>
      <c r="AE1" s="58">
        <f>SUM(AE3:AE1048576)</f>
        <v>3237827.3653972629</v>
      </c>
      <c r="AF1" s="32">
        <f>SUM(AF3:AF1048576)</f>
        <v>0</v>
      </c>
      <c r="AG1" s="32">
        <f>SUM(AG3:AG1048576)</f>
        <v>0</v>
      </c>
      <c r="AH1" s="32">
        <f>SUM(AH3:AH1048576)</f>
        <v>582808.92577150615</v>
      </c>
      <c r="AI1" s="32">
        <f>SUM(AI3:AI1048576)</f>
        <v>129513.09461588884</v>
      </c>
      <c r="AJ1" s="32">
        <f>SUM(AJ3:AJ1048576)</f>
        <v>728511.15721438534</v>
      </c>
      <c r="AK1" s="32">
        <f>SUM(AK3:AK1048576)</f>
        <v>2327555.1832328513</v>
      </c>
      <c r="AL1" s="32">
        <f>SUM(AL3:AL1048576)</f>
        <v>1710753.0596761731</v>
      </c>
      <c r="AM1" s="32">
        <f>SUM(AM3:AM1048576)</f>
        <v>669050.0538908263</v>
      </c>
      <c r="AN1" s="32" t="s">
        <v>53</v>
      </c>
      <c r="AO1" s="32">
        <f>ROUND(SUM(AO3:AO1048576),0)</f>
        <v>3237827</v>
      </c>
      <c r="AP1" s="34"/>
    </row>
    <row r="2" spans="1:42" s="50" customFormat="1" ht="29" x14ac:dyDescent="0.25">
      <c r="A2" s="48" t="s">
        <v>6</v>
      </c>
      <c r="B2" s="48" t="s">
        <v>7</v>
      </c>
      <c r="C2" s="48" t="s">
        <v>8</v>
      </c>
      <c r="D2" s="48" t="s">
        <v>54</v>
      </c>
      <c r="E2" s="48" t="s">
        <v>9</v>
      </c>
      <c r="F2" s="48" t="s">
        <v>10</v>
      </c>
      <c r="G2" s="48" t="s">
        <v>94</v>
      </c>
      <c r="H2" s="48" t="s">
        <v>48</v>
      </c>
      <c r="I2" s="48" t="s">
        <v>95</v>
      </c>
      <c r="J2" s="48" t="s">
        <v>62</v>
      </c>
      <c r="K2" s="48" t="s">
        <v>99</v>
      </c>
      <c r="L2" s="48" t="s">
        <v>102</v>
      </c>
      <c r="M2" s="48" t="s">
        <v>103</v>
      </c>
      <c r="N2" s="48" t="s">
        <v>11</v>
      </c>
      <c r="O2" s="48" t="s">
        <v>13</v>
      </c>
      <c r="P2" s="48" t="s">
        <v>49</v>
      </c>
      <c r="Q2" s="48" t="s">
        <v>50</v>
      </c>
      <c r="R2" s="48" t="s">
        <v>121</v>
      </c>
      <c r="S2" s="48" t="s">
        <v>122</v>
      </c>
      <c r="T2" s="48" t="s">
        <v>93</v>
      </c>
      <c r="U2" s="48" t="s">
        <v>42</v>
      </c>
      <c r="V2" s="48" t="s">
        <v>55</v>
      </c>
      <c r="W2" s="48" t="s">
        <v>57</v>
      </c>
      <c r="X2" s="48" t="s">
        <v>14</v>
      </c>
      <c r="Y2" s="48" t="s">
        <v>15</v>
      </c>
      <c r="Z2" s="48" t="s">
        <v>16</v>
      </c>
      <c r="AA2" s="48" t="s">
        <v>17</v>
      </c>
      <c r="AB2" s="48" t="s">
        <v>18</v>
      </c>
      <c r="AC2" s="48" t="s">
        <v>44</v>
      </c>
      <c r="AD2" s="48" t="s">
        <v>19</v>
      </c>
      <c r="AE2" s="59" t="s">
        <v>43</v>
      </c>
      <c r="AF2" s="48" t="s">
        <v>21</v>
      </c>
      <c r="AG2" s="48" t="s">
        <v>22</v>
      </c>
      <c r="AH2" s="48" t="s">
        <v>23</v>
      </c>
      <c r="AI2" s="59" t="s">
        <v>100</v>
      </c>
      <c r="AJ2" s="59" t="s">
        <v>104</v>
      </c>
      <c r="AK2" s="59" t="s">
        <v>24</v>
      </c>
      <c r="AL2" s="59" t="s">
        <v>25</v>
      </c>
      <c r="AM2" s="48" t="s">
        <v>26</v>
      </c>
      <c r="AN2" s="48" t="s">
        <v>51</v>
      </c>
      <c r="AO2" s="48" t="s">
        <v>52</v>
      </c>
      <c r="AP2" s="49" t="s">
        <v>110</v>
      </c>
    </row>
    <row r="3" spans="1:42" s="24" customFormat="1" ht="15.75" customHeight="1" x14ac:dyDescent="0.35">
      <c r="A3" s="36" t="s">
        <v>27</v>
      </c>
      <c r="B3" s="36">
        <v>202506</v>
      </c>
      <c r="C3" s="24" t="s">
        <v>128</v>
      </c>
      <c r="D3" s="24" t="s">
        <v>129</v>
      </c>
      <c r="E3" s="62">
        <v>45818</v>
      </c>
      <c r="F3" s="62">
        <v>46182</v>
      </c>
      <c r="G3" s="37" t="s">
        <v>131</v>
      </c>
      <c r="H3" s="36">
        <v>1001</v>
      </c>
      <c r="I3" s="63">
        <v>20323</v>
      </c>
      <c r="J3" s="24" t="s">
        <v>779</v>
      </c>
      <c r="K3" s="63">
        <f t="shared" ref="K3" si="0">N3</f>
        <v>45818</v>
      </c>
      <c r="L3" s="55">
        <f t="shared" ref="L3" si="1">IF(K3&gt;=DATE(2022,4,1),4%,5%)</f>
        <v>0.04</v>
      </c>
      <c r="M3" s="76">
        <v>0.22500000000000001</v>
      </c>
      <c r="N3" s="62">
        <v>45818</v>
      </c>
      <c r="O3" s="62">
        <v>46182</v>
      </c>
      <c r="P3" s="63"/>
      <c r="Q3" s="63"/>
      <c r="R3" s="82">
        <v>69</v>
      </c>
      <c r="S3" s="63" t="str">
        <f>VLOOKUP(R3,SA!$B$5:$C$11,2,1)</f>
        <v>66-70</v>
      </c>
      <c r="T3" s="38" t="s">
        <v>96</v>
      </c>
      <c r="U3" s="24" t="s">
        <v>56</v>
      </c>
      <c r="V3" s="24">
        <v>1000000</v>
      </c>
      <c r="W3" s="39">
        <f t="shared" ref="W3" si="2">IF(U3="self",V3,0)</f>
        <v>1000000</v>
      </c>
      <c r="X3" s="29">
        <f t="shared" ref="X3" si="3">IF(U3="self",1,0)</f>
        <v>1</v>
      </c>
      <c r="Y3" s="40">
        <f t="shared" ref="Y3" si="4">O3-N3+1</f>
        <v>365</v>
      </c>
      <c r="Z3" s="38">
        <f t="shared" ref="Z3:Z66" si="5">$Z$1</f>
        <v>46081</v>
      </c>
      <c r="AA3" s="41">
        <f t="shared" ref="AA3" si="6">IF(MIN((Z3-N3)+1,Y3)&lt;0,0,MIN((Z3-N3)+1,Y3))</f>
        <v>264</v>
      </c>
      <c r="AB3" s="24" t="s">
        <v>125</v>
      </c>
      <c r="AC3" s="41">
        <f t="shared" ref="AC3" si="7">AE3+AF3+AG3+AH3</f>
        <v>64504.381400000013</v>
      </c>
      <c r="AD3" s="41">
        <v>1</v>
      </c>
      <c r="AE3" s="72">
        <f>IFERROR(INDEX(SA!$C$4:$E$11,MATCH(Details!S3,SA!$C$4:$C$11,0),MATCH(Details!V3,SA!$C$4:$E$4,0)),0)*Y3/(F3-E3+1)</f>
        <v>54664.73000000001</v>
      </c>
      <c r="AF3" s="41">
        <f>IF(AB3="Karnataka",AE3*9%,0)</f>
        <v>0</v>
      </c>
      <c r="AG3" s="41">
        <f>IF(AB3="Karnataka",AE3*9%,0)</f>
        <v>0</v>
      </c>
      <c r="AH3" s="41">
        <f t="shared" ref="AH3" si="8">IF(AF3+AG3&gt;0,0,AE3*18%)</f>
        <v>9839.6514000000006</v>
      </c>
      <c r="AI3" s="60">
        <f t="shared" ref="AI3" si="9">AE3*L3</f>
        <v>2186.5892000000003</v>
      </c>
      <c r="AJ3" s="60">
        <f t="shared" ref="AJ3" si="10">$AE3*M3</f>
        <v>12299.564250000003</v>
      </c>
      <c r="AK3" s="60">
        <f>(AE3)*AA3/Y3</f>
        <v>39538.325260273981</v>
      </c>
      <c r="AL3" s="60">
        <f t="shared" ref="AL3" si="11">AK3*(1-L3-M3)</f>
        <v>29060.669066301376</v>
      </c>
      <c r="AM3" s="41">
        <f>AE3-AI3-AL3-AJ3</f>
        <v>11117.907483698629</v>
      </c>
      <c r="AN3" s="42">
        <f t="shared" ref="AN3" si="12">Z3-366</f>
        <v>45715</v>
      </c>
      <c r="AO3" s="43">
        <f t="shared" ref="AO3" si="13">IF(AND(O3&gt;Z3,N3&gt;AN3),AE3,0)</f>
        <v>54664.73000000001</v>
      </c>
    </row>
    <row r="4" spans="1:42" s="24" customFormat="1" ht="15.75" customHeight="1" x14ac:dyDescent="0.35">
      <c r="A4" s="36" t="s">
        <v>27</v>
      </c>
      <c r="B4" s="36">
        <v>202506</v>
      </c>
      <c r="C4" s="24" t="s">
        <v>128</v>
      </c>
      <c r="D4" s="24" t="s">
        <v>129</v>
      </c>
      <c r="E4" s="62">
        <v>45818</v>
      </c>
      <c r="F4" s="62">
        <v>46182</v>
      </c>
      <c r="G4" s="37" t="s">
        <v>132</v>
      </c>
      <c r="H4" s="36">
        <v>1001</v>
      </c>
      <c r="I4" s="63">
        <v>22717</v>
      </c>
      <c r="J4" s="24" t="s">
        <v>780</v>
      </c>
      <c r="K4" s="63">
        <f t="shared" ref="K4:K67" si="14">N4</f>
        <v>45818</v>
      </c>
      <c r="L4" s="55">
        <f t="shared" ref="L4:L67" si="15">IF(K4&gt;=DATE(2022,4,1),4%,5%)</f>
        <v>0.04</v>
      </c>
      <c r="M4" s="76">
        <v>0.22500000000000001</v>
      </c>
      <c r="N4" s="62">
        <v>45818</v>
      </c>
      <c r="O4" s="62">
        <v>46182</v>
      </c>
      <c r="P4" s="63"/>
      <c r="Q4" s="63"/>
      <c r="R4" s="82">
        <v>63</v>
      </c>
      <c r="S4" s="63" t="str">
        <f>VLOOKUP(R4,SA!$B$5:$C$11,2,1)</f>
        <v>56-65</v>
      </c>
      <c r="T4" s="38" t="s">
        <v>97</v>
      </c>
      <c r="U4" s="24" t="s">
        <v>115</v>
      </c>
      <c r="V4" s="24">
        <v>1000000</v>
      </c>
      <c r="W4" s="39">
        <f t="shared" ref="W4:W67" si="16">IF(U4="self",V4,0)</f>
        <v>0</v>
      </c>
      <c r="X4" s="29">
        <f t="shared" ref="X4:X67" si="17">IF(U4="self",1,0)</f>
        <v>0</v>
      </c>
      <c r="Y4" s="40">
        <f t="shared" ref="Y4:Y67" si="18">O4-N4+1</f>
        <v>365</v>
      </c>
      <c r="Z4" s="38">
        <f t="shared" si="5"/>
        <v>46081</v>
      </c>
      <c r="AA4" s="41">
        <f t="shared" ref="AA4:AA67" si="19">IF(MIN((Z4-N4)+1,Y4)&lt;0,0,MIN((Z4-N4)+1,Y4))</f>
        <v>264</v>
      </c>
      <c r="AB4" s="24" t="s">
        <v>125</v>
      </c>
      <c r="AC4" s="41">
        <f t="shared" ref="AC4:AC67" si="20">AE4+AF4+AG4+AH4</f>
        <v>30696.578999999998</v>
      </c>
      <c r="AD4" s="41">
        <v>1</v>
      </c>
      <c r="AE4" s="72">
        <f>IFERROR(INDEX(SA!$C$4:$E$11,MATCH(Details!S4,SA!$C$4:$C$11,0),MATCH(Details!V4,SA!$C$4:$E$4,0)),0)*Y4/(F4-E4+1)</f>
        <v>26014.05</v>
      </c>
      <c r="AF4" s="41">
        <f t="shared" ref="AF4:AF67" si="21">IF(AB4="Karnataka",AE4*9%,0)</f>
        <v>0</v>
      </c>
      <c r="AG4" s="41">
        <f t="shared" ref="AG4:AG67" si="22">IF(AB4="Karnataka",AE4*9%,0)</f>
        <v>0</v>
      </c>
      <c r="AH4" s="41">
        <f t="shared" ref="AH4:AH67" si="23">IF(AF4+AG4&gt;0,0,AE4*18%)</f>
        <v>4682.5289999999995</v>
      </c>
      <c r="AI4" s="60">
        <f t="shared" ref="AI4:AI67" si="24">AE4*L4</f>
        <v>1040.5619999999999</v>
      </c>
      <c r="AJ4" s="60">
        <f t="shared" ref="AJ4:AJ67" si="25">$AE4*M4</f>
        <v>5853.1612500000001</v>
      </c>
      <c r="AK4" s="60">
        <f t="shared" ref="AK4:AK67" si="26">(AE4)*AA4/Y4</f>
        <v>18815.641643835617</v>
      </c>
      <c r="AL4" s="60">
        <f t="shared" ref="AL4:AL67" si="27">AK4*(1-L4-M4)</f>
        <v>13829.496608219179</v>
      </c>
      <c r="AM4" s="41">
        <f t="shared" ref="AM4:AM67" si="28">AE4-AI4-AL4-AJ4</f>
        <v>5290.8301417808188</v>
      </c>
      <c r="AN4" s="42">
        <f t="shared" ref="AN4:AN67" si="29">Z4-366</f>
        <v>45715</v>
      </c>
      <c r="AO4" s="43">
        <f t="shared" ref="AO4:AO67" si="30">IF(AND(O4&gt;Z4,N4&gt;AN4),AE4,0)</f>
        <v>26014.05</v>
      </c>
    </row>
    <row r="5" spans="1:42" s="24" customFormat="1" ht="15.75" customHeight="1" x14ac:dyDescent="0.35">
      <c r="A5" s="36" t="s">
        <v>27</v>
      </c>
      <c r="B5" s="36">
        <v>202506</v>
      </c>
      <c r="C5" s="24" t="s">
        <v>128</v>
      </c>
      <c r="D5" s="24" t="s">
        <v>129</v>
      </c>
      <c r="E5" s="62">
        <v>45818</v>
      </c>
      <c r="F5" s="62">
        <v>46182</v>
      </c>
      <c r="G5" s="37" t="s">
        <v>133</v>
      </c>
      <c r="H5" s="36">
        <v>1002</v>
      </c>
      <c r="I5" s="63">
        <v>19982</v>
      </c>
      <c r="J5" s="24" t="s">
        <v>781</v>
      </c>
      <c r="K5" s="63">
        <f t="shared" si="14"/>
        <v>45818</v>
      </c>
      <c r="L5" s="55">
        <f t="shared" si="15"/>
        <v>0.04</v>
      </c>
      <c r="M5" s="76">
        <v>0.22500000000000001</v>
      </c>
      <c r="N5" s="62">
        <v>45818</v>
      </c>
      <c r="O5" s="62">
        <v>46182</v>
      </c>
      <c r="P5" s="63"/>
      <c r="Q5" s="63"/>
      <c r="R5" s="82">
        <v>70</v>
      </c>
      <c r="S5" s="63" t="str">
        <f>VLOOKUP(R5,SA!$B$5:$C$11,2,1)</f>
        <v>66-70</v>
      </c>
      <c r="T5" s="38" t="s">
        <v>96</v>
      </c>
      <c r="U5" s="24" t="s">
        <v>56</v>
      </c>
      <c r="V5" s="24">
        <v>1000000</v>
      </c>
      <c r="W5" s="39">
        <f t="shared" si="16"/>
        <v>1000000</v>
      </c>
      <c r="X5" s="29">
        <f t="shared" si="17"/>
        <v>1</v>
      </c>
      <c r="Y5" s="40">
        <f t="shared" si="18"/>
        <v>365</v>
      </c>
      <c r="Z5" s="38">
        <f t="shared" si="5"/>
        <v>46081</v>
      </c>
      <c r="AA5" s="41">
        <f t="shared" si="19"/>
        <v>264</v>
      </c>
      <c r="AB5" s="24" t="s">
        <v>125</v>
      </c>
      <c r="AC5" s="41">
        <f t="shared" si="20"/>
        <v>64504.381400000013</v>
      </c>
      <c r="AD5" s="41">
        <v>1</v>
      </c>
      <c r="AE5" s="72">
        <f>IFERROR(INDEX(SA!$C$4:$E$11,MATCH(Details!S5,SA!$C$4:$C$11,0),MATCH(Details!V5,SA!$C$4:$E$4,0)),0)*Y5/(F5-E5+1)</f>
        <v>54664.73000000001</v>
      </c>
      <c r="AF5" s="41">
        <f t="shared" si="21"/>
        <v>0</v>
      </c>
      <c r="AG5" s="41">
        <f t="shared" si="22"/>
        <v>0</v>
      </c>
      <c r="AH5" s="41">
        <f t="shared" si="23"/>
        <v>9839.6514000000006</v>
      </c>
      <c r="AI5" s="60">
        <f t="shared" si="24"/>
        <v>2186.5892000000003</v>
      </c>
      <c r="AJ5" s="60">
        <f t="shared" si="25"/>
        <v>12299.564250000003</v>
      </c>
      <c r="AK5" s="60">
        <f t="shared" si="26"/>
        <v>39538.325260273981</v>
      </c>
      <c r="AL5" s="60">
        <f t="shared" si="27"/>
        <v>29060.669066301376</v>
      </c>
      <c r="AM5" s="41">
        <f t="shared" si="28"/>
        <v>11117.907483698629</v>
      </c>
      <c r="AN5" s="42">
        <f t="shared" si="29"/>
        <v>45715</v>
      </c>
      <c r="AO5" s="43">
        <f t="shared" si="30"/>
        <v>54664.73000000001</v>
      </c>
    </row>
    <row r="6" spans="1:42" s="24" customFormat="1" ht="15.75" customHeight="1" x14ac:dyDescent="0.35">
      <c r="A6" s="36" t="s">
        <v>27</v>
      </c>
      <c r="B6" s="36">
        <v>202506</v>
      </c>
      <c r="C6" s="24" t="s">
        <v>128</v>
      </c>
      <c r="D6" s="24" t="s">
        <v>129</v>
      </c>
      <c r="E6" s="62">
        <v>45818</v>
      </c>
      <c r="F6" s="62">
        <v>46182</v>
      </c>
      <c r="G6" s="37" t="s">
        <v>134</v>
      </c>
      <c r="H6" s="36">
        <v>1004</v>
      </c>
      <c r="I6" s="63">
        <v>28185</v>
      </c>
      <c r="J6" s="24" t="s">
        <v>782</v>
      </c>
      <c r="K6" s="63">
        <f t="shared" si="14"/>
        <v>45818</v>
      </c>
      <c r="L6" s="55">
        <f t="shared" si="15"/>
        <v>0.04</v>
      </c>
      <c r="M6" s="76">
        <v>0.22500000000000001</v>
      </c>
      <c r="N6" s="62">
        <v>45818</v>
      </c>
      <c r="O6" s="62">
        <v>46182</v>
      </c>
      <c r="P6" s="63"/>
      <c r="Q6" s="63"/>
      <c r="R6" s="82">
        <v>48</v>
      </c>
      <c r="S6" s="63" t="str">
        <f>VLOOKUP(R6,SA!$B$5:$C$11,2,1)</f>
        <v>46-55</v>
      </c>
      <c r="T6" s="38" t="s">
        <v>96</v>
      </c>
      <c r="U6" s="24" t="s">
        <v>56</v>
      </c>
      <c r="V6" s="24">
        <v>300000</v>
      </c>
      <c r="W6" s="39">
        <f t="shared" si="16"/>
        <v>300000</v>
      </c>
      <c r="X6" s="29">
        <f t="shared" si="17"/>
        <v>1</v>
      </c>
      <c r="Y6" s="40">
        <f t="shared" si="18"/>
        <v>365</v>
      </c>
      <c r="Z6" s="38">
        <f t="shared" si="5"/>
        <v>46081</v>
      </c>
      <c r="AA6" s="41">
        <f t="shared" si="19"/>
        <v>264</v>
      </c>
      <c r="AB6" s="24" t="s">
        <v>125</v>
      </c>
      <c r="AC6" s="41">
        <f t="shared" si="20"/>
        <v>9586.9925999999996</v>
      </c>
      <c r="AD6" s="41">
        <v>1</v>
      </c>
      <c r="AE6" s="72">
        <f>IFERROR(INDEX(SA!$C$4:$E$11,MATCH(Details!S6,SA!$C$4:$C$11,0),MATCH(Details!V6,SA!$C$4:$E$4,0)),0)*Y6/(F6-E6+1)</f>
        <v>8124.57</v>
      </c>
      <c r="AF6" s="41">
        <f t="shared" si="21"/>
        <v>0</v>
      </c>
      <c r="AG6" s="41">
        <f t="shared" si="22"/>
        <v>0</v>
      </c>
      <c r="AH6" s="41">
        <f t="shared" si="23"/>
        <v>1462.4225999999999</v>
      </c>
      <c r="AI6" s="60">
        <f t="shared" si="24"/>
        <v>324.9828</v>
      </c>
      <c r="AJ6" s="60">
        <f t="shared" si="25"/>
        <v>1828.0282500000001</v>
      </c>
      <c r="AK6" s="60">
        <f t="shared" si="26"/>
        <v>5876.4013150684932</v>
      </c>
      <c r="AL6" s="60">
        <f t="shared" si="27"/>
        <v>4319.1549665753428</v>
      </c>
      <c r="AM6" s="41">
        <f t="shared" si="28"/>
        <v>1652.4039834246571</v>
      </c>
      <c r="AN6" s="42">
        <f t="shared" si="29"/>
        <v>45715</v>
      </c>
      <c r="AO6" s="43">
        <f t="shared" si="30"/>
        <v>8124.57</v>
      </c>
    </row>
    <row r="7" spans="1:42" s="24" customFormat="1" ht="15.75" customHeight="1" x14ac:dyDescent="0.35">
      <c r="A7" s="36" t="s">
        <v>27</v>
      </c>
      <c r="B7" s="36">
        <v>202506</v>
      </c>
      <c r="C7" s="24" t="s">
        <v>128</v>
      </c>
      <c r="D7" s="24" t="s">
        <v>129</v>
      </c>
      <c r="E7" s="62">
        <v>45818</v>
      </c>
      <c r="F7" s="62">
        <v>46182</v>
      </c>
      <c r="G7" s="37" t="s">
        <v>135</v>
      </c>
      <c r="H7" s="36">
        <v>1004</v>
      </c>
      <c r="I7" s="63">
        <v>38297</v>
      </c>
      <c r="J7" s="24" t="s">
        <v>783</v>
      </c>
      <c r="K7" s="63">
        <f t="shared" si="14"/>
        <v>45818</v>
      </c>
      <c r="L7" s="55">
        <f t="shared" si="15"/>
        <v>0.04</v>
      </c>
      <c r="M7" s="76">
        <v>0.22500000000000001</v>
      </c>
      <c r="N7" s="62">
        <v>45818</v>
      </c>
      <c r="O7" s="62">
        <v>46182</v>
      </c>
      <c r="P7" s="63"/>
      <c r="Q7" s="63"/>
      <c r="R7" s="82">
        <v>20</v>
      </c>
      <c r="S7" s="63" t="str">
        <f>VLOOKUP(R7,SA!$B$5:$C$11,2,1)</f>
        <v>0-35</v>
      </c>
      <c r="T7" s="38" t="s">
        <v>96</v>
      </c>
      <c r="U7" s="24" t="s">
        <v>114</v>
      </c>
      <c r="V7" s="24">
        <v>300000</v>
      </c>
      <c r="W7" s="39">
        <f t="shared" si="16"/>
        <v>0</v>
      </c>
      <c r="X7" s="29">
        <f t="shared" si="17"/>
        <v>0</v>
      </c>
      <c r="Y7" s="40">
        <f t="shared" si="18"/>
        <v>365</v>
      </c>
      <c r="Z7" s="38">
        <f t="shared" si="5"/>
        <v>46081</v>
      </c>
      <c r="AA7" s="41">
        <f t="shared" si="19"/>
        <v>264</v>
      </c>
      <c r="AB7" s="24" t="s">
        <v>125</v>
      </c>
      <c r="AC7" s="41">
        <f t="shared" si="20"/>
        <v>3874.2114000000001</v>
      </c>
      <c r="AD7" s="41">
        <v>1</v>
      </c>
      <c r="AE7" s="72">
        <f>IFERROR(INDEX(SA!$C$4:$E$11,MATCH(Details!S7,SA!$C$4:$C$11,0),MATCH(Details!V7,SA!$C$4:$E$4,0)),0)*Y7/(F7-E7+1)</f>
        <v>3283.23</v>
      </c>
      <c r="AF7" s="41">
        <f t="shared" si="21"/>
        <v>0</v>
      </c>
      <c r="AG7" s="41">
        <f t="shared" si="22"/>
        <v>0</v>
      </c>
      <c r="AH7" s="41">
        <f t="shared" si="23"/>
        <v>590.98140000000001</v>
      </c>
      <c r="AI7" s="60">
        <f t="shared" si="24"/>
        <v>131.32920000000001</v>
      </c>
      <c r="AJ7" s="60">
        <f t="shared" si="25"/>
        <v>738.72675000000004</v>
      </c>
      <c r="AK7" s="60">
        <f t="shared" si="26"/>
        <v>2374.7197808219175</v>
      </c>
      <c r="AL7" s="60">
        <f t="shared" si="27"/>
        <v>1745.4190389041094</v>
      </c>
      <c r="AM7" s="41">
        <f t="shared" si="28"/>
        <v>667.7550110958905</v>
      </c>
      <c r="AN7" s="42">
        <f t="shared" si="29"/>
        <v>45715</v>
      </c>
      <c r="AO7" s="43">
        <f t="shared" si="30"/>
        <v>3283.23</v>
      </c>
    </row>
    <row r="8" spans="1:42" s="24" customFormat="1" ht="15.75" customHeight="1" x14ac:dyDescent="0.35">
      <c r="A8" s="36" t="s">
        <v>27</v>
      </c>
      <c r="B8" s="36">
        <v>202506</v>
      </c>
      <c r="C8" s="24" t="s">
        <v>128</v>
      </c>
      <c r="D8" s="24" t="s">
        <v>129</v>
      </c>
      <c r="E8" s="62">
        <v>45818</v>
      </c>
      <c r="F8" s="62">
        <v>46182</v>
      </c>
      <c r="G8" s="37" t="s">
        <v>136</v>
      </c>
      <c r="H8" s="36">
        <v>1004</v>
      </c>
      <c r="I8" s="63">
        <v>39723</v>
      </c>
      <c r="J8" s="24" t="s">
        <v>784</v>
      </c>
      <c r="K8" s="63">
        <f t="shared" si="14"/>
        <v>45818</v>
      </c>
      <c r="L8" s="55">
        <f t="shared" si="15"/>
        <v>0.04</v>
      </c>
      <c r="M8" s="76">
        <v>0.22500000000000001</v>
      </c>
      <c r="N8" s="62">
        <v>45818</v>
      </c>
      <c r="O8" s="62">
        <v>46182</v>
      </c>
      <c r="P8" s="63"/>
      <c r="Q8" s="63"/>
      <c r="R8" s="82">
        <v>16</v>
      </c>
      <c r="S8" s="63" t="str">
        <f>VLOOKUP(R8,SA!$B$5:$C$11,2,1)</f>
        <v>0-35</v>
      </c>
      <c r="T8" s="38" t="s">
        <v>96</v>
      </c>
      <c r="U8" s="24" t="s">
        <v>114</v>
      </c>
      <c r="V8" s="24">
        <v>300000</v>
      </c>
      <c r="W8" s="39">
        <f t="shared" si="16"/>
        <v>0</v>
      </c>
      <c r="X8" s="29">
        <f t="shared" si="17"/>
        <v>0</v>
      </c>
      <c r="Y8" s="40">
        <f t="shared" si="18"/>
        <v>365</v>
      </c>
      <c r="Z8" s="38">
        <f t="shared" si="5"/>
        <v>46081</v>
      </c>
      <c r="AA8" s="41">
        <f t="shared" si="19"/>
        <v>264</v>
      </c>
      <c r="AB8" s="24" t="s">
        <v>125</v>
      </c>
      <c r="AC8" s="41">
        <f t="shared" si="20"/>
        <v>3874.2114000000001</v>
      </c>
      <c r="AD8" s="41">
        <v>1</v>
      </c>
      <c r="AE8" s="72">
        <f>IFERROR(INDEX(SA!$C$4:$E$11,MATCH(Details!S8,SA!$C$4:$C$11,0),MATCH(Details!V8,SA!$C$4:$E$4,0)),0)*Y8/(F8-E8+1)</f>
        <v>3283.23</v>
      </c>
      <c r="AF8" s="41">
        <f t="shared" si="21"/>
        <v>0</v>
      </c>
      <c r="AG8" s="41">
        <f t="shared" si="22"/>
        <v>0</v>
      </c>
      <c r="AH8" s="41">
        <f t="shared" si="23"/>
        <v>590.98140000000001</v>
      </c>
      <c r="AI8" s="60">
        <f t="shared" si="24"/>
        <v>131.32920000000001</v>
      </c>
      <c r="AJ8" s="60">
        <f t="shared" si="25"/>
        <v>738.72675000000004</v>
      </c>
      <c r="AK8" s="60">
        <f t="shared" si="26"/>
        <v>2374.7197808219175</v>
      </c>
      <c r="AL8" s="60">
        <f t="shared" si="27"/>
        <v>1745.4190389041094</v>
      </c>
      <c r="AM8" s="41">
        <f t="shared" si="28"/>
        <v>667.7550110958905</v>
      </c>
      <c r="AN8" s="42">
        <f t="shared" si="29"/>
        <v>45715</v>
      </c>
      <c r="AO8" s="43">
        <f t="shared" si="30"/>
        <v>3283.23</v>
      </c>
    </row>
    <row r="9" spans="1:42" s="24" customFormat="1" ht="15.75" customHeight="1" x14ac:dyDescent="0.35">
      <c r="A9" s="36" t="s">
        <v>27</v>
      </c>
      <c r="B9" s="36">
        <v>202506</v>
      </c>
      <c r="C9" s="24" t="s">
        <v>128</v>
      </c>
      <c r="D9" s="24" t="s">
        <v>129</v>
      </c>
      <c r="E9" s="62">
        <v>45818</v>
      </c>
      <c r="F9" s="62">
        <v>46182</v>
      </c>
      <c r="G9" s="37" t="s">
        <v>137</v>
      </c>
      <c r="H9" s="36">
        <v>1004</v>
      </c>
      <c r="I9" s="63">
        <v>31215</v>
      </c>
      <c r="J9" s="24" t="s">
        <v>785</v>
      </c>
      <c r="K9" s="63">
        <f t="shared" si="14"/>
        <v>45818</v>
      </c>
      <c r="L9" s="55">
        <f t="shared" si="15"/>
        <v>0.04</v>
      </c>
      <c r="M9" s="76">
        <v>0.22500000000000001</v>
      </c>
      <c r="N9" s="62">
        <v>45818</v>
      </c>
      <c r="O9" s="62">
        <v>46182</v>
      </c>
      <c r="P9" s="63"/>
      <c r="Q9" s="63"/>
      <c r="R9" s="82">
        <v>39</v>
      </c>
      <c r="S9" s="63" t="str">
        <f>VLOOKUP(R9,SA!$B$5:$C$11,2,1)</f>
        <v>36-45</v>
      </c>
      <c r="T9" s="38" t="s">
        <v>97</v>
      </c>
      <c r="U9" s="24" t="s">
        <v>115</v>
      </c>
      <c r="V9" s="24">
        <v>300000</v>
      </c>
      <c r="W9" s="39">
        <f t="shared" si="16"/>
        <v>0</v>
      </c>
      <c r="X9" s="29">
        <f t="shared" si="17"/>
        <v>0</v>
      </c>
      <c r="Y9" s="40">
        <f t="shared" si="18"/>
        <v>365</v>
      </c>
      <c r="Z9" s="38">
        <f t="shared" si="5"/>
        <v>46081</v>
      </c>
      <c r="AA9" s="41">
        <f t="shared" si="19"/>
        <v>264</v>
      </c>
      <c r="AB9" s="24" t="s">
        <v>125</v>
      </c>
      <c r="AC9" s="41">
        <f t="shared" si="20"/>
        <v>5017.3245999999999</v>
      </c>
      <c r="AD9" s="41">
        <v>1</v>
      </c>
      <c r="AE9" s="72">
        <f>IFERROR(INDEX(SA!$C$4:$E$11,MATCH(Details!S9,SA!$C$4:$C$11,0),MATCH(Details!V9,SA!$C$4:$E$4,0)),0)*Y9/(F9-E9+1)</f>
        <v>4251.97</v>
      </c>
      <c r="AF9" s="41">
        <f t="shared" si="21"/>
        <v>0</v>
      </c>
      <c r="AG9" s="41">
        <f t="shared" si="22"/>
        <v>0</v>
      </c>
      <c r="AH9" s="41">
        <f t="shared" si="23"/>
        <v>765.3546</v>
      </c>
      <c r="AI9" s="60">
        <f t="shared" si="24"/>
        <v>170.0788</v>
      </c>
      <c r="AJ9" s="60">
        <f t="shared" si="25"/>
        <v>956.69325000000003</v>
      </c>
      <c r="AK9" s="60">
        <f t="shared" si="26"/>
        <v>3075.397479452055</v>
      </c>
      <c r="AL9" s="60">
        <f t="shared" si="27"/>
        <v>2260.4171473972606</v>
      </c>
      <c r="AM9" s="41">
        <f t="shared" si="28"/>
        <v>864.78080260273941</v>
      </c>
      <c r="AN9" s="42">
        <f t="shared" si="29"/>
        <v>45715</v>
      </c>
      <c r="AO9" s="43">
        <f t="shared" si="30"/>
        <v>4251.97</v>
      </c>
    </row>
    <row r="10" spans="1:42" s="24" customFormat="1" ht="15.75" customHeight="1" x14ac:dyDescent="0.35">
      <c r="A10" s="36" t="s">
        <v>27</v>
      </c>
      <c r="B10" s="36">
        <v>202506</v>
      </c>
      <c r="C10" s="24" t="s">
        <v>128</v>
      </c>
      <c r="D10" s="24" t="s">
        <v>129</v>
      </c>
      <c r="E10" s="62">
        <v>45818</v>
      </c>
      <c r="F10" s="62">
        <v>46182</v>
      </c>
      <c r="G10" s="37" t="s">
        <v>138</v>
      </c>
      <c r="H10" s="36">
        <v>1005</v>
      </c>
      <c r="I10" s="63">
        <v>27820</v>
      </c>
      <c r="J10" s="24" t="s">
        <v>786</v>
      </c>
      <c r="K10" s="63">
        <f t="shared" si="14"/>
        <v>45818</v>
      </c>
      <c r="L10" s="55">
        <f t="shared" si="15"/>
        <v>0.04</v>
      </c>
      <c r="M10" s="76">
        <v>0.22500000000000001</v>
      </c>
      <c r="N10" s="62">
        <v>45818</v>
      </c>
      <c r="O10" s="62">
        <v>46182</v>
      </c>
      <c r="P10" s="63"/>
      <c r="Q10" s="63"/>
      <c r="R10" s="82">
        <v>49</v>
      </c>
      <c r="S10" s="63" t="str">
        <f>VLOOKUP(R10,SA!$B$5:$C$11,2,1)</f>
        <v>46-55</v>
      </c>
      <c r="T10" s="38" t="s">
        <v>96</v>
      </c>
      <c r="U10" s="24" t="s">
        <v>56</v>
      </c>
      <c r="V10" s="24">
        <v>300000</v>
      </c>
      <c r="W10" s="39">
        <f t="shared" si="16"/>
        <v>300000</v>
      </c>
      <c r="X10" s="29">
        <f t="shared" si="17"/>
        <v>1</v>
      </c>
      <c r="Y10" s="40">
        <f t="shared" si="18"/>
        <v>365</v>
      </c>
      <c r="Z10" s="38">
        <f t="shared" si="5"/>
        <v>46081</v>
      </c>
      <c r="AA10" s="41">
        <f t="shared" si="19"/>
        <v>264</v>
      </c>
      <c r="AB10" s="24" t="s">
        <v>125</v>
      </c>
      <c r="AC10" s="41">
        <f t="shared" si="20"/>
        <v>9586.9925999999996</v>
      </c>
      <c r="AD10" s="41">
        <v>1</v>
      </c>
      <c r="AE10" s="72">
        <f>IFERROR(INDEX(SA!$C$4:$E$11,MATCH(Details!S10,SA!$C$4:$C$11,0),MATCH(Details!V10,SA!$C$4:$E$4,0)),0)*Y10/(F10-E10+1)</f>
        <v>8124.57</v>
      </c>
      <c r="AF10" s="41">
        <f t="shared" si="21"/>
        <v>0</v>
      </c>
      <c r="AG10" s="41">
        <f t="shared" si="22"/>
        <v>0</v>
      </c>
      <c r="AH10" s="41">
        <f t="shared" si="23"/>
        <v>1462.4225999999999</v>
      </c>
      <c r="AI10" s="60">
        <f t="shared" si="24"/>
        <v>324.9828</v>
      </c>
      <c r="AJ10" s="60">
        <f t="shared" si="25"/>
        <v>1828.0282500000001</v>
      </c>
      <c r="AK10" s="60">
        <f t="shared" si="26"/>
        <v>5876.4013150684932</v>
      </c>
      <c r="AL10" s="60">
        <f t="shared" si="27"/>
        <v>4319.1549665753428</v>
      </c>
      <c r="AM10" s="41">
        <f t="shared" si="28"/>
        <v>1652.4039834246571</v>
      </c>
      <c r="AN10" s="42">
        <f t="shared" si="29"/>
        <v>45715</v>
      </c>
      <c r="AO10" s="43">
        <f t="shared" si="30"/>
        <v>8124.57</v>
      </c>
    </row>
    <row r="11" spans="1:42" s="24" customFormat="1" ht="15.75" customHeight="1" x14ac:dyDescent="0.35">
      <c r="A11" s="36" t="s">
        <v>27</v>
      </c>
      <c r="B11" s="36">
        <v>202506</v>
      </c>
      <c r="C11" s="24" t="s">
        <v>128</v>
      </c>
      <c r="D11" s="24" t="s">
        <v>129</v>
      </c>
      <c r="E11" s="62">
        <v>45818</v>
      </c>
      <c r="F11" s="62">
        <v>46182</v>
      </c>
      <c r="G11" s="37" t="s">
        <v>139</v>
      </c>
      <c r="H11" s="36">
        <v>1005</v>
      </c>
      <c r="I11" s="63">
        <v>30722</v>
      </c>
      <c r="J11" s="24" t="s">
        <v>787</v>
      </c>
      <c r="K11" s="63">
        <f t="shared" si="14"/>
        <v>45818</v>
      </c>
      <c r="L11" s="55">
        <f t="shared" si="15"/>
        <v>0.04</v>
      </c>
      <c r="M11" s="76">
        <v>0.22500000000000001</v>
      </c>
      <c r="N11" s="62">
        <v>45818</v>
      </c>
      <c r="O11" s="62">
        <v>46182</v>
      </c>
      <c r="P11" s="63"/>
      <c r="Q11" s="63"/>
      <c r="R11" s="82">
        <v>41</v>
      </c>
      <c r="S11" s="63" t="str">
        <f>VLOOKUP(R11,SA!$B$5:$C$11,2,1)</f>
        <v>36-45</v>
      </c>
      <c r="T11" s="38" t="s">
        <v>97</v>
      </c>
      <c r="U11" s="24" t="s">
        <v>115</v>
      </c>
      <c r="V11" s="24">
        <v>300000</v>
      </c>
      <c r="W11" s="39">
        <f t="shared" si="16"/>
        <v>0</v>
      </c>
      <c r="X11" s="29">
        <f t="shared" si="17"/>
        <v>0</v>
      </c>
      <c r="Y11" s="40">
        <f t="shared" si="18"/>
        <v>365</v>
      </c>
      <c r="Z11" s="38">
        <f t="shared" si="5"/>
        <v>46081</v>
      </c>
      <c r="AA11" s="41">
        <f t="shared" si="19"/>
        <v>264</v>
      </c>
      <c r="AB11" s="24" t="s">
        <v>125</v>
      </c>
      <c r="AC11" s="41">
        <f t="shared" si="20"/>
        <v>5017.3245999999999</v>
      </c>
      <c r="AD11" s="41">
        <v>1</v>
      </c>
      <c r="AE11" s="72">
        <f>IFERROR(INDEX(SA!$C$4:$E$11,MATCH(Details!S11,SA!$C$4:$C$11,0),MATCH(Details!V11,SA!$C$4:$E$4,0)),0)*Y11/(F11-E11+1)</f>
        <v>4251.97</v>
      </c>
      <c r="AF11" s="41">
        <f t="shared" si="21"/>
        <v>0</v>
      </c>
      <c r="AG11" s="41">
        <f t="shared" si="22"/>
        <v>0</v>
      </c>
      <c r="AH11" s="41">
        <f t="shared" si="23"/>
        <v>765.3546</v>
      </c>
      <c r="AI11" s="60">
        <f t="shared" si="24"/>
        <v>170.0788</v>
      </c>
      <c r="AJ11" s="60">
        <f t="shared" si="25"/>
        <v>956.69325000000003</v>
      </c>
      <c r="AK11" s="60">
        <f t="shared" si="26"/>
        <v>3075.397479452055</v>
      </c>
      <c r="AL11" s="60">
        <f t="shared" si="27"/>
        <v>2260.4171473972606</v>
      </c>
      <c r="AM11" s="41">
        <f t="shared" si="28"/>
        <v>864.78080260273941</v>
      </c>
      <c r="AN11" s="42">
        <f t="shared" si="29"/>
        <v>45715</v>
      </c>
      <c r="AO11" s="43">
        <f t="shared" si="30"/>
        <v>4251.97</v>
      </c>
    </row>
    <row r="12" spans="1:42" s="24" customFormat="1" ht="15.75" customHeight="1" x14ac:dyDescent="0.35">
      <c r="A12" s="36" t="s">
        <v>27</v>
      </c>
      <c r="B12" s="36">
        <v>202506</v>
      </c>
      <c r="C12" s="24" t="s">
        <v>128</v>
      </c>
      <c r="D12" s="24" t="s">
        <v>129</v>
      </c>
      <c r="E12" s="62">
        <v>45818</v>
      </c>
      <c r="F12" s="62">
        <v>46182</v>
      </c>
      <c r="G12" s="37" t="s">
        <v>140</v>
      </c>
      <c r="H12" s="36">
        <v>1005</v>
      </c>
      <c r="I12" s="63">
        <v>38757</v>
      </c>
      <c r="J12" s="24" t="s">
        <v>788</v>
      </c>
      <c r="K12" s="63">
        <f t="shared" si="14"/>
        <v>45818</v>
      </c>
      <c r="L12" s="55">
        <f t="shared" si="15"/>
        <v>0.04</v>
      </c>
      <c r="M12" s="76">
        <v>0.22500000000000001</v>
      </c>
      <c r="N12" s="62">
        <v>45818</v>
      </c>
      <c r="O12" s="62">
        <v>46182</v>
      </c>
      <c r="P12" s="63"/>
      <c r="Q12" s="63"/>
      <c r="R12" s="82">
        <v>19</v>
      </c>
      <c r="S12" s="63" t="str">
        <f>VLOOKUP(R12,SA!$B$5:$C$11,2,1)</f>
        <v>0-35</v>
      </c>
      <c r="T12" s="38" t="s">
        <v>97</v>
      </c>
      <c r="U12" s="24" t="s">
        <v>113</v>
      </c>
      <c r="V12" s="24">
        <v>300000</v>
      </c>
      <c r="W12" s="39">
        <f t="shared" si="16"/>
        <v>0</v>
      </c>
      <c r="X12" s="29">
        <f t="shared" si="17"/>
        <v>0</v>
      </c>
      <c r="Y12" s="40">
        <f t="shared" si="18"/>
        <v>365</v>
      </c>
      <c r="Z12" s="38">
        <f t="shared" si="5"/>
        <v>46081</v>
      </c>
      <c r="AA12" s="41">
        <f t="shared" si="19"/>
        <v>264</v>
      </c>
      <c r="AB12" s="24" t="s">
        <v>125</v>
      </c>
      <c r="AC12" s="41">
        <f t="shared" si="20"/>
        <v>3874.2114000000001</v>
      </c>
      <c r="AD12" s="41">
        <v>1</v>
      </c>
      <c r="AE12" s="72">
        <f>IFERROR(INDEX(SA!$C$4:$E$11,MATCH(Details!S12,SA!$C$4:$C$11,0),MATCH(Details!V12,SA!$C$4:$E$4,0)),0)*Y12/(F12-E12+1)</f>
        <v>3283.23</v>
      </c>
      <c r="AF12" s="41">
        <f t="shared" si="21"/>
        <v>0</v>
      </c>
      <c r="AG12" s="41">
        <f t="shared" si="22"/>
        <v>0</v>
      </c>
      <c r="AH12" s="41">
        <f t="shared" si="23"/>
        <v>590.98140000000001</v>
      </c>
      <c r="AI12" s="60">
        <f t="shared" si="24"/>
        <v>131.32920000000001</v>
      </c>
      <c r="AJ12" s="60">
        <f t="shared" si="25"/>
        <v>738.72675000000004</v>
      </c>
      <c r="AK12" s="60">
        <f t="shared" si="26"/>
        <v>2374.7197808219175</v>
      </c>
      <c r="AL12" s="60">
        <f t="shared" si="27"/>
        <v>1745.4190389041094</v>
      </c>
      <c r="AM12" s="41">
        <f t="shared" si="28"/>
        <v>667.7550110958905</v>
      </c>
      <c r="AN12" s="42">
        <f t="shared" si="29"/>
        <v>45715</v>
      </c>
      <c r="AO12" s="43">
        <f t="shared" si="30"/>
        <v>3283.23</v>
      </c>
    </row>
    <row r="13" spans="1:42" s="24" customFormat="1" ht="15.75" customHeight="1" x14ac:dyDescent="0.35">
      <c r="A13" s="36" t="s">
        <v>27</v>
      </c>
      <c r="B13" s="36">
        <v>202506</v>
      </c>
      <c r="C13" s="24" t="s">
        <v>128</v>
      </c>
      <c r="D13" s="24" t="s">
        <v>129</v>
      </c>
      <c r="E13" s="62">
        <v>45818</v>
      </c>
      <c r="F13" s="62">
        <v>46182</v>
      </c>
      <c r="G13" s="37" t="s">
        <v>141</v>
      </c>
      <c r="H13" s="36">
        <v>1005</v>
      </c>
      <c r="I13" s="63">
        <v>39150</v>
      </c>
      <c r="J13" s="24" t="s">
        <v>789</v>
      </c>
      <c r="K13" s="63">
        <f t="shared" si="14"/>
        <v>45818</v>
      </c>
      <c r="L13" s="55">
        <f t="shared" si="15"/>
        <v>0.04</v>
      </c>
      <c r="M13" s="76">
        <v>0.22500000000000001</v>
      </c>
      <c r="N13" s="62">
        <v>45818</v>
      </c>
      <c r="O13" s="62">
        <v>46182</v>
      </c>
      <c r="P13" s="63"/>
      <c r="Q13" s="63"/>
      <c r="R13" s="82">
        <v>18</v>
      </c>
      <c r="S13" s="63" t="str">
        <f>VLOOKUP(R13,SA!$B$5:$C$11,2,1)</f>
        <v>0-35</v>
      </c>
      <c r="T13" s="38" t="s">
        <v>96</v>
      </c>
      <c r="U13" s="24" t="s">
        <v>114</v>
      </c>
      <c r="V13" s="24">
        <v>300000</v>
      </c>
      <c r="W13" s="39">
        <f t="shared" si="16"/>
        <v>0</v>
      </c>
      <c r="X13" s="29">
        <f t="shared" si="17"/>
        <v>0</v>
      </c>
      <c r="Y13" s="40">
        <f t="shared" si="18"/>
        <v>365</v>
      </c>
      <c r="Z13" s="38">
        <f t="shared" si="5"/>
        <v>46081</v>
      </c>
      <c r="AA13" s="41">
        <f t="shared" si="19"/>
        <v>264</v>
      </c>
      <c r="AB13" s="24" t="s">
        <v>125</v>
      </c>
      <c r="AC13" s="41">
        <f t="shared" si="20"/>
        <v>3874.2114000000001</v>
      </c>
      <c r="AD13" s="41">
        <v>1</v>
      </c>
      <c r="AE13" s="72">
        <f>IFERROR(INDEX(SA!$C$4:$E$11,MATCH(Details!S13,SA!$C$4:$C$11,0),MATCH(Details!V13,SA!$C$4:$E$4,0)),0)*Y13/(F13-E13+1)</f>
        <v>3283.23</v>
      </c>
      <c r="AF13" s="41">
        <f t="shared" si="21"/>
        <v>0</v>
      </c>
      <c r="AG13" s="41">
        <f t="shared" si="22"/>
        <v>0</v>
      </c>
      <c r="AH13" s="41">
        <f t="shared" si="23"/>
        <v>590.98140000000001</v>
      </c>
      <c r="AI13" s="60">
        <f t="shared" si="24"/>
        <v>131.32920000000001</v>
      </c>
      <c r="AJ13" s="60">
        <f t="shared" si="25"/>
        <v>738.72675000000004</v>
      </c>
      <c r="AK13" s="60">
        <f t="shared" si="26"/>
        <v>2374.7197808219175</v>
      </c>
      <c r="AL13" s="60">
        <f t="shared" si="27"/>
        <v>1745.4190389041094</v>
      </c>
      <c r="AM13" s="41">
        <f t="shared" si="28"/>
        <v>667.7550110958905</v>
      </c>
      <c r="AN13" s="42">
        <f t="shared" si="29"/>
        <v>45715</v>
      </c>
      <c r="AO13" s="43">
        <f t="shared" si="30"/>
        <v>3283.23</v>
      </c>
    </row>
    <row r="14" spans="1:42" s="24" customFormat="1" ht="15.75" customHeight="1" x14ac:dyDescent="0.35">
      <c r="A14" s="36" t="s">
        <v>27</v>
      </c>
      <c r="B14" s="36">
        <v>202506</v>
      </c>
      <c r="C14" s="24" t="s">
        <v>128</v>
      </c>
      <c r="D14" s="24" t="s">
        <v>129</v>
      </c>
      <c r="E14" s="62">
        <v>45818</v>
      </c>
      <c r="F14" s="62">
        <v>46182</v>
      </c>
      <c r="G14" s="37" t="s">
        <v>142</v>
      </c>
      <c r="H14" s="36">
        <v>1006</v>
      </c>
      <c r="I14" s="63">
        <v>25363</v>
      </c>
      <c r="J14" s="24" t="s">
        <v>790</v>
      </c>
      <c r="K14" s="63">
        <f t="shared" si="14"/>
        <v>45818</v>
      </c>
      <c r="L14" s="55">
        <f t="shared" si="15"/>
        <v>0.04</v>
      </c>
      <c r="M14" s="76">
        <v>0.22500000000000001</v>
      </c>
      <c r="N14" s="62">
        <v>45818</v>
      </c>
      <c r="O14" s="62">
        <v>46182</v>
      </c>
      <c r="P14" s="63"/>
      <c r="Q14" s="63"/>
      <c r="R14" s="82">
        <v>56</v>
      </c>
      <c r="S14" s="63" t="str">
        <f>VLOOKUP(R14,SA!$B$5:$C$11,2,1)</f>
        <v>56-65</v>
      </c>
      <c r="T14" s="38" t="s">
        <v>97</v>
      </c>
      <c r="U14" s="24" t="s">
        <v>56</v>
      </c>
      <c r="V14" s="24">
        <v>300000</v>
      </c>
      <c r="W14" s="39">
        <f t="shared" si="16"/>
        <v>300000</v>
      </c>
      <c r="X14" s="29">
        <f t="shared" si="17"/>
        <v>1</v>
      </c>
      <c r="Y14" s="40">
        <f t="shared" si="18"/>
        <v>365</v>
      </c>
      <c r="Z14" s="38">
        <f t="shared" si="5"/>
        <v>46081</v>
      </c>
      <c r="AA14" s="41">
        <f t="shared" si="19"/>
        <v>264</v>
      </c>
      <c r="AB14" s="24" t="s">
        <v>125</v>
      </c>
      <c r="AC14" s="41">
        <f t="shared" si="20"/>
        <v>16811.448199999999</v>
      </c>
      <c r="AD14" s="41">
        <v>1</v>
      </c>
      <c r="AE14" s="72">
        <f>IFERROR(INDEX(SA!$C$4:$E$11,MATCH(Details!S14,SA!$C$4:$C$11,0),MATCH(Details!V14,SA!$C$4:$E$4,0)),0)*Y14/(F14-E14+1)</f>
        <v>14246.99</v>
      </c>
      <c r="AF14" s="41">
        <f t="shared" si="21"/>
        <v>0</v>
      </c>
      <c r="AG14" s="41">
        <f t="shared" si="22"/>
        <v>0</v>
      </c>
      <c r="AH14" s="41">
        <f t="shared" si="23"/>
        <v>2564.4582</v>
      </c>
      <c r="AI14" s="60">
        <f t="shared" si="24"/>
        <v>569.87959999999998</v>
      </c>
      <c r="AJ14" s="60">
        <f t="shared" si="25"/>
        <v>3205.5727499999998</v>
      </c>
      <c r="AK14" s="60">
        <f t="shared" si="26"/>
        <v>10304.672219178083</v>
      </c>
      <c r="AL14" s="60">
        <f t="shared" si="27"/>
        <v>7573.9340810958911</v>
      </c>
      <c r="AM14" s="41">
        <f t="shared" si="28"/>
        <v>2897.6035689041087</v>
      </c>
      <c r="AN14" s="42">
        <f t="shared" si="29"/>
        <v>45715</v>
      </c>
      <c r="AO14" s="43">
        <f t="shared" si="30"/>
        <v>14246.99</v>
      </c>
    </row>
    <row r="15" spans="1:42" s="24" customFormat="1" ht="15.75" customHeight="1" x14ac:dyDescent="0.35">
      <c r="A15" s="36" t="s">
        <v>27</v>
      </c>
      <c r="B15" s="36">
        <v>202506</v>
      </c>
      <c r="C15" s="24" t="s">
        <v>128</v>
      </c>
      <c r="D15" s="24" t="s">
        <v>129</v>
      </c>
      <c r="E15" s="62">
        <v>45818</v>
      </c>
      <c r="F15" s="62">
        <v>46182</v>
      </c>
      <c r="G15" s="37" t="s">
        <v>143</v>
      </c>
      <c r="H15" s="36">
        <v>1006</v>
      </c>
      <c r="I15" s="63">
        <v>23178</v>
      </c>
      <c r="J15" s="24" t="s">
        <v>791</v>
      </c>
      <c r="K15" s="63">
        <f t="shared" si="14"/>
        <v>45818</v>
      </c>
      <c r="L15" s="55">
        <f t="shared" si="15"/>
        <v>0.04</v>
      </c>
      <c r="M15" s="76">
        <v>0.22500000000000001</v>
      </c>
      <c r="N15" s="62">
        <v>45818</v>
      </c>
      <c r="O15" s="62">
        <v>46182</v>
      </c>
      <c r="P15" s="63"/>
      <c r="Q15" s="63"/>
      <c r="R15" s="82">
        <v>61</v>
      </c>
      <c r="S15" s="63" t="str">
        <f>VLOOKUP(R15,SA!$B$5:$C$11,2,1)</f>
        <v>56-65</v>
      </c>
      <c r="T15" s="38" t="s">
        <v>96</v>
      </c>
      <c r="U15" s="24" t="s">
        <v>115</v>
      </c>
      <c r="V15" s="24">
        <v>300000</v>
      </c>
      <c r="W15" s="39">
        <f t="shared" si="16"/>
        <v>0</v>
      </c>
      <c r="X15" s="29">
        <f t="shared" si="17"/>
        <v>0</v>
      </c>
      <c r="Y15" s="40">
        <f t="shared" si="18"/>
        <v>365</v>
      </c>
      <c r="Z15" s="38">
        <f t="shared" si="5"/>
        <v>46081</v>
      </c>
      <c r="AA15" s="41">
        <f t="shared" si="19"/>
        <v>264</v>
      </c>
      <c r="AB15" s="24" t="s">
        <v>125</v>
      </c>
      <c r="AC15" s="41">
        <f t="shared" si="20"/>
        <v>16811.448199999999</v>
      </c>
      <c r="AD15" s="41">
        <v>1</v>
      </c>
      <c r="AE15" s="72">
        <f>IFERROR(INDEX(SA!$C$4:$E$11,MATCH(Details!S15,SA!$C$4:$C$11,0),MATCH(Details!V15,SA!$C$4:$E$4,0)),0)*Y15/(F15-E15+1)</f>
        <v>14246.99</v>
      </c>
      <c r="AF15" s="41">
        <f t="shared" si="21"/>
        <v>0</v>
      </c>
      <c r="AG15" s="41">
        <f t="shared" si="22"/>
        <v>0</v>
      </c>
      <c r="AH15" s="41">
        <f t="shared" si="23"/>
        <v>2564.4582</v>
      </c>
      <c r="AI15" s="60">
        <f t="shared" si="24"/>
        <v>569.87959999999998</v>
      </c>
      <c r="AJ15" s="60">
        <f t="shared" si="25"/>
        <v>3205.5727499999998</v>
      </c>
      <c r="AK15" s="60">
        <f t="shared" si="26"/>
        <v>10304.672219178083</v>
      </c>
      <c r="AL15" s="60">
        <f t="shared" si="27"/>
        <v>7573.9340810958911</v>
      </c>
      <c r="AM15" s="41">
        <f t="shared" si="28"/>
        <v>2897.6035689041087</v>
      </c>
      <c r="AN15" s="42">
        <f t="shared" si="29"/>
        <v>45715</v>
      </c>
      <c r="AO15" s="43">
        <f t="shared" si="30"/>
        <v>14246.99</v>
      </c>
    </row>
    <row r="16" spans="1:42" s="24" customFormat="1" ht="15.75" customHeight="1" x14ac:dyDescent="0.35">
      <c r="A16" s="36" t="s">
        <v>27</v>
      </c>
      <c r="B16" s="36">
        <v>202506</v>
      </c>
      <c r="C16" s="24" t="s">
        <v>128</v>
      </c>
      <c r="D16" s="24" t="s">
        <v>129</v>
      </c>
      <c r="E16" s="62">
        <v>45818</v>
      </c>
      <c r="F16" s="62">
        <v>46182</v>
      </c>
      <c r="G16" s="37" t="s">
        <v>144</v>
      </c>
      <c r="H16" s="36">
        <v>1006</v>
      </c>
      <c r="I16" s="63">
        <v>37227</v>
      </c>
      <c r="J16" s="24" t="s">
        <v>792</v>
      </c>
      <c r="K16" s="63">
        <f t="shared" si="14"/>
        <v>45818</v>
      </c>
      <c r="L16" s="55">
        <f t="shared" si="15"/>
        <v>0.04</v>
      </c>
      <c r="M16" s="76">
        <v>0.22500000000000001</v>
      </c>
      <c r="N16" s="62">
        <v>45818</v>
      </c>
      <c r="O16" s="62">
        <v>46182</v>
      </c>
      <c r="P16" s="63"/>
      <c r="Q16" s="63"/>
      <c r="R16" s="82">
        <v>23</v>
      </c>
      <c r="S16" s="63" t="str">
        <f>VLOOKUP(R16,SA!$B$5:$C$11,2,1)</f>
        <v>0-35</v>
      </c>
      <c r="T16" s="38" t="s">
        <v>96</v>
      </c>
      <c r="U16" s="24" t="s">
        <v>114</v>
      </c>
      <c r="V16" s="24">
        <v>300000</v>
      </c>
      <c r="W16" s="39">
        <f t="shared" si="16"/>
        <v>0</v>
      </c>
      <c r="X16" s="29">
        <f t="shared" si="17"/>
        <v>0</v>
      </c>
      <c r="Y16" s="40">
        <f t="shared" si="18"/>
        <v>365</v>
      </c>
      <c r="Z16" s="38">
        <f t="shared" si="5"/>
        <v>46081</v>
      </c>
      <c r="AA16" s="41">
        <f t="shared" si="19"/>
        <v>264</v>
      </c>
      <c r="AB16" s="24" t="s">
        <v>125</v>
      </c>
      <c r="AC16" s="41">
        <f t="shared" si="20"/>
        <v>3874.2114000000001</v>
      </c>
      <c r="AD16" s="41">
        <v>1</v>
      </c>
      <c r="AE16" s="72">
        <f>IFERROR(INDEX(SA!$C$4:$E$11,MATCH(Details!S16,SA!$C$4:$C$11,0),MATCH(Details!V16,SA!$C$4:$E$4,0)),0)*Y16/(F16-E16+1)</f>
        <v>3283.23</v>
      </c>
      <c r="AF16" s="41">
        <f t="shared" si="21"/>
        <v>0</v>
      </c>
      <c r="AG16" s="41">
        <f t="shared" si="22"/>
        <v>0</v>
      </c>
      <c r="AH16" s="41">
        <f t="shared" si="23"/>
        <v>590.98140000000001</v>
      </c>
      <c r="AI16" s="60">
        <f t="shared" si="24"/>
        <v>131.32920000000001</v>
      </c>
      <c r="AJ16" s="60">
        <f t="shared" si="25"/>
        <v>738.72675000000004</v>
      </c>
      <c r="AK16" s="60">
        <f t="shared" si="26"/>
        <v>2374.7197808219175</v>
      </c>
      <c r="AL16" s="60">
        <f t="shared" si="27"/>
        <v>1745.4190389041094</v>
      </c>
      <c r="AM16" s="41">
        <f t="shared" si="28"/>
        <v>667.7550110958905</v>
      </c>
      <c r="AN16" s="42">
        <f t="shared" si="29"/>
        <v>45715</v>
      </c>
      <c r="AO16" s="43">
        <f t="shared" si="30"/>
        <v>3283.23</v>
      </c>
    </row>
    <row r="17" spans="1:41" s="24" customFormat="1" ht="15.75" customHeight="1" x14ac:dyDescent="0.35">
      <c r="A17" s="36" t="s">
        <v>27</v>
      </c>
      <c r="B17" s="36">
        <v>202506</v>
      </c>
      <c r="C17" s="24" t="s">
        <v>128</v>
      </c>
      <c r="D17" s="24" t="s">
        <v>129</v>
      </c>
      <c r="E17" s="62">
        <v>45818</v>
      </c>
      <c r="F17" s="62">
        <v>46182</v>
      </c>
      <c r="G17" s="37" t="s">
        <v>145</v>
      </c>
      <c r="H17" s="36">
        <v>1007</v>
      </c>
      <c r="I17" s="63">
        <v>27282</v>
      </c>
      <c r="J17" s="24" t="s">
        <v>793</v>
      </c>
      <c r="K17" s="63">
        <f t="shared" si="14"/>
        <v>45818</v>
      </c>
      <c r="L17" s="55">
        <f t="shared" si="15"/>
        <v>0.04</v>
      </c>
      <c r="M17" s="76">
        <v>0.22500000000000001</v>
      </c>
      <c r="N17" s="62">
        <v>45818</v>
      </c>
      <c r="O17" s="62">
        <v>46182</v>
      </c>
      <c r="P17" s="63"/>
      <c r="Q17" s="63"/>
      <c r="R17" s="82">
        <v>50</v>
      </c>
      <c r="S17" s="63" t="str">
        <f>VLOOKUP(R17,SA!$B$5:$C$11,2,1)</f>
        <v>46-55</v>
      </c>
      <c r="T17" s="38" t="s">
        <v>96</v>
      </c>
      <c r="U17" s="24" t="s">
        <v>56</v>
      </c>
      <c r="V17" s="24">
        <v>300000</v>
      </c>
      <c r="W17" s="39">
        <f t="shared" si="16"/>
        <v>300000</v>
      </c>
      <c r="X17" s="29">
        <f t="shared" si="17"/>
        <v>1</v>
      </c>
      <c r="Y17" s="40">
        <f t="shared" si="18"/>
        <v>365</v>
      </c>
      <c r="Z17" s="38">
        <f t="shared" si="5"/>
        <v>46081</v>
      </c>
      <c r="AA17" s="41">
        <f t="shared" si="19"/>
        <v>264</v>
      </c>
      <c r="AB17" s="24" t="s">
        <v>125</v>
      </c>
      <c r="AC17" s="41">
        <f t="shared" si="20"/>
        <v>9586.9925999999996</v>
      </c>
      <c r="AD17" s="41">
        <v>1</v>
      </c>
      <c r="AE17" s="72">
        <f>IFERROR(INDEX(SA!$C$4:$E$11,MATCH(Details!S17,SA!$C$4:$C$11,0),MATCH(Details!V17,SA!$C$4:$E$4,0)),0)*Y17/(F17-E17+1)</f>
        <v>8124.57</v>
      </c>
      <c r="AF17" s="41">
        <f t="shared" si="21"/>
        <v>0</v>
      </c>
      <c r="AG17" s="41">
        <f t="shared" si="22"/>
        <v>0</v>
      </c>
      <c r="AH17" s="41">
        <f t="shared" si="23"/>
        <v>1462.4225999999999</v>
      </c>
      <c r="AI17" s="60">
        <f t="shared" si="24"/>
        <v>324.9828</v>
      </c>
      <c r="AJ17" s="60">
        <f t="shared" si="25"/>
        <v>1828.0282500000001</v>
      </c>
      <c r="AK17" s="60">
        <f t="shared" si="26"/>
        <v>5876.4013150684932</v>
      </c>
      <c r="AL17" s="60">
        <f t="shared" si="27"/>
        <v>4319.1549665753428</v>
      </c>
      <c r="AM17" s="41">
        <f t="shared" si="28"/>
        <v>1652.4039834246571</v>
      </c>
      <c r="AN17" s="42">
        <f t="shared" si="29"/>
        <v>45715</v>
      </c>
      <c r="AO17" s="43">
        <f t="shared" si="30"/>
        <v>8124.57</v>
      </c>
    </row>
    <row r="18" spans="1:41" s="24" customFormat="1" ht="15.75" customHeight="1" x14ac:dyDescent="0.35">
      <c r="A18" s="36" t="s">
        <v>27</v>
      </c>
      <c r="B18" s="36">
        <v>202506</v>
      </c>
      <c r="C18" s="24" t="s">
        <v>128</v>
      </c>
      <c r="D18" s="24" t="s">
        <v>129</v>
      </c>
      <c r="E18" s="62">
        <v>45818</v>
      </c>
      <c r="F18" s="62">
        <v>46182</v>
      </c>
      <c r="G18" s="37" t="s">
        <v>146</v>
      </c>
      <c r="H18" s="36">
        <v>1007</v>
      </c>
      <c r="I18" s="63">
        <v>38480</v>
      </c>
      <c r="J18" s="24" t="s">
        <v>794</v>
      </c>
      <c r="K18" s="63">
        <f t="shared" si="14"/>
        <v>45818</v>
      </c>
      <c r="L18" s="55">
        <f t="shared" si="15"/>
        <v>0.04</v>
      </c>
      <c r="M18" s="76">
        <v>0.22500000000000001</v>
      </c>
      <c r="N18" s="62">
        <v>45818</v>
      </c>
      <c r="O18" s="62">
        <v>46182</v>
      </c>
      <c r="P18" s="63"/>
      <c r="Q18" s="63"/>
      <c r="R18" s="82">
        <v>20</v>
      </c>
      <c r="S18" s="63" t="str">
        <f>VLOOKUP(R18,SA!$B$5:$C$11,2,1)</f>
        <v>0-35</v>
      </c>
      <c r="T18" s="38" t="s">
        <v>97</v>
      </c>
      <c r="U18" s="24" t="s">
        <v>113</v>
      </c>
      <c r="V18" s="24">
        <v>300000</v>
      </c>
      <c r="W18" s="39">
        <f t="shared" si="16"/>
        <v>0</v>
      </c>
      <c r="X18" s="29">
        <f t="shared" si="17"/>
        <v>0</v>
      </c>
      <c r="Y18" s="40">
        <f t="shared" si="18"/>
        <v>365</v>
      </c>
      <c r="Z18" s="38">
        <f t="shared" si="5"/>
        <v>46081</v>
      </c>
      <c r="AA18" s="41">
        <f t="shared" si="19"/>
        <v>264</v>
      </c>
      <c r="AB18" s="24" t="s">
        <v>125</v>
      </c>
      <c r="AC18" s="41">
        <f t="shared" si="20"/>
        <v>3874.2114000000001</v>
      </c>
      <c r="AD18" s="41">
        <v>1</v>
      </c>
      <c r="AE18" s="72">
        <f>IFERROR(INDEX(SA!$C$4:$E$11,MATCH(Details!S18,SA!$C$4:$C$11,0),MATCH(Details!V18,SA!$C$4:$E$4,0)),0)*Y18/(F18-E18+1)</f>
        <v>3283.23</v>
      </c>
      <c r="AF18" s="41">
        <f t="shared" si="21"/>
        <v>0</v>
      </c>
      <c r="AG18" s="41">
        <f t="shared" si="22"/>
        <v>0</v>
      </c>
      <c r="AH18" s="41">
        <f t="shared" si="23"/>
        <v>590.98140000000001</v>
      </c>
      <c r="AI18" s="60">
        <f t="shared" si="24"/>
        <v>131.32920000000001</v>
      </c>
      <c r="AJ18" s="60">
        <f t="shared" si="25"/>
        <v>738.72675000000004</v>
      </c>
      <c r="AK18" s="60">
        <f t="shared" si="26"/>
        <v>2374.7197808219175</v>
      </c>
      <c r="AL18" s="60">
        <f t="shared" si="27"/>
        <v>1745.4190389041094</v>
      </c>
      <c r="AM18" s="41">
        <f t="shared" si="28"/>
        <v>667.7550110958905</v>
      </c>
      <c r="AN18" s="42">
        <f t="shared" si="29"/>
        <v>45715</v>
      </c>
      <c r="AO18" s="43">
        <f t="shared" si="30"/>
        <v>3283.23</v>
      </c>
    </row>
    <row r="19" spans="1:41" s="24" customFormat="1" ht="15.75" customHeight="1" x14ac:dyDescent="0.35">
      <c r="A19" s="36" t="s">
        <v>27</v>
      </c>
      <c r="B19" s="36">
        <v>202506</v>
      </c>
      <c r="C19" s="24" t="s">
        <v>128</v>
      </c>
      <c r="D19" s="24" t="s">
        <v>129</v>
      </c>
      <c r="E19" s="62">
        <v>45818</v>
      </c>
      <c r="F19" s="62">
        <v>46182</v>
      </c>
      <c r="G19" s="37" t="s">
        <v>147</v>
      </c>
      <c r="H19" s="36">
        <v>1007</v>
      </c>
      <c r="I19" s="63">
        <v>30935</v>
      </c>
      <c r="J19" s="24" t="s">
        <v>795</v>
      </c>
      <c r="K19" s="63">
        <f t="shared" si="14"/>
        <v>45818</v>
      </c>
      <c r="L19" s="55">
        <f t="shared" si="15"/>
        <v>0.04</v>
      </c>
      <c r="M19" s="76">
        <v>0.22500000000000001</v>
      </c>
      <c r="N19" s="62">
        <v>45818</v>
      </c>
      <c r="O19" s="62">
        <v>46182</v>
      </c>
      <c r="P19" s="63"/>
      <c r="Q19" s="63"/>
      <c r="R19" s="82">
        <v>40</v>
      </c>
      <c r="S19" s="63" t="str">
        <f>VLOOKUP(R19,SA!$B$5:$C$11,2,1)</f>
        <v>36-45</v>
      </c>
      <c r="T19" s="38" t="s">
        <v>97</v>
      </c>
      <c r="U19" s="24" t="s">
        <v>115</v>
      </c>
      <c r="V19" s="24">
        <v>300000</v>
      </c>
      <c r="W19" s="39">
        <f t="shared" si="16"/>
        <v>0</v>
      </c>
      <c r="X19" s="29">
        <f t="shared" si="17"/>
        <v>0</v>
      </c>
      <c r="Y19" s="40">
        <f t="shared" si="18"/>
        <v>365</v>
      </c>
      <c r="Z19" s="38">
        <f t="shared" si="5"/>
        <v>46081</v>
      </c>
      <c r="AA19" s="41">
        <f t="shared" si="19"/>
        <v>264</v>
      </c>
      <c r="AB19" s="24" t="s">
        <v>125</v>
      </c>
      <c r="AC19" s="41">
        <f t="shared" si="20"/>
        <v>5017.3245999999999</v>
      </c>
      <c r="AD19" s="41">
        <v>1</v>
      </c>
      <c r="AE19" s="72">
        <f>IFERROR(INDEX(SA!$C$4:$E$11,MATCH(Details!S19,SA!$C$4:$C$11,0),MATCH(Details!V19,SA!$C$4:$E$4,0)),0)*Y19/(F19-E19+1)</f>
        <v>4251.97</v>
      </c>
      <c r="AF19" s="41">
        <f t="shared" si="21"/>
        <v>0</v>
      </c>
      <c r="AG19" s="41">
        <f t="shared" si="22"/>
        <v>0</v>
      </c>
      <c r="AH19" s="41">
        <f t="shared" si="23"/>
        <v>765.3546</v>
      </c>
      <c r="AI19" s="60">
        <f t="shared" si="24"/>
        <v>170.0788</v>
      </c>
      <c r="AJ19" s="60">
        <f t="shared" si="25"/>
        <v>956.69325000000003</v>
      </c>
      <c r="AK19" s="60">
        <f t="shared" si="26"/>
        <v>3075.397479452055</v>
      </c>
      <c r="AL19" s="60">
        <f t="shared" si="27"/>
        <v>2260.4171473972606</v>
      </c>
      <c r="AM19" s="41">
        <f t="shared" si="28"/>
        <v>864.78080260273941</v>
      </c>
      <c r="AN19" s="42">
        <f t="shared" si="29"/>
        <v>45715</v>
      </c>
      <c r="AO19" s="43">
        <f t="shared" si="30"/>
        <v>4251.97</v>
      </c>
    </row>
    <row r="20" spans="1:41" s="24" customFormat="1" ht="15.75" customHeight="1" x14ac:dyDescent="0.35">
      <c r="A20" s="36" t="s">
        <v>27</v>
      </c>
      <c r="B20" s="36">
        <v>202506</v>
      </c>
      <c r="C20" s="24" t="s">
        <v>128</v>
      </c>
      <c r="D20" s="24" t="s">
        <v>129</v>
      </c>
      <c r="E20" s="62">
        <v>45818</v>
      </c>
      <c r="F20" s="62">
        <v>46182</v>
      </c>
      <c r="G20" s="37" t="s">
        <v>148</v>
      </c>
      <c r="H20" s="36">
        <v>1007</v>
      </c>
      <c r="I20" s="63">
        <v>39369</v>
      </c>
      <c r="J20" s="24" t="s">
        <v>796</v>
      </c>
      <c r="K20" s="63">
        <f t="shared" si="14"/>
        <v>45818</v>
      </c>
      <c r="L20" s="55">
        <f t="shared" si="15"/>
        <v>0.04</v>
      </c>
      <c r="M20" s="76">
        <v>0.22500000000000001</v>
      </c>
      <c r="N20" s="62">
        <v>45818</v>
      </c>
      <c r="O20" s="62">
        <v>46182</v>
      </c>
      <c r="P20" s="63"/>
      <c r="Q20" s="63"/>
      <c r="R20" s="82">
        <v>17</v>
      </c>
      <c r="S20" s="63" t="str">
        <f>VLOOKUP(R20,SA!$B$5:$C$11,2,1)</f>
        <v>0-35</v>
      </c>
      <c r="T20" s="38" t="s">
        <v>96</v>
      </c>
      <c r="U20" s="24" t="s">
        <v>114</v>
      </c>
      <c r="V20" s="24">
        <v>300000</v>
      </c>
      <c r="W20" s="39">
        <f t="shared" si="16"/>
        <v>0</v>
      </c>
      <c r="X20" s="29">
        <f t="shared" si="17"/>
        <v>0</v>
      </c>
      <c r="Y20" s="40">
        <f t="shared" si="18"/>
        <v>365</v>
      </c>
      <c r="Z20" s="38">
        <f t="shared" si="5"/>
        <v>46081</v>
      </c>
      <c r="AA20" s="41">
        <f t="shared" si="19"/>
        <v>264</v>
      </c>
      <c r="AB20" s="24" t="s">
        <v>125</v>
      </c>
      <c r="AC20" s="41">
        <f t="shared" si="20"/>
        <v>3874.2114000000001</v>
      </c>
      <c r="AD20" s="41">
        <v>1</v>
      </c>
      <c r="AE20" s="72">
        <f>IFERROR(INDEX(SA!$C$4:$E$11,MATCH(Details!S20,SA!$C$4:$C$11,0),MATCH(Details!V20,SA!$C$4:$E$4,0)),0)*Y20/(F20-E20+1)</f>
        <v>3283.23</v>
      </c>
      <c r="AF20" s="41">
        <f t="shared" si="21"/>
        <v>0</v>
      </c>
      <c r="AG20" s="41">
        <f t="shared" si="22"/>
        <v>0</v>
      </c>
      <c r="AH20" s="41">
        <f t="shared" si="23"/>
        <v>590.98140000000001</v>
      </c>
      <c r="AI20" s="60">
        <f t="shared" si="24"/>
        <v>131.32920000000001</v>
      </c>
      <c r="AJ20" s="60">
        <f t="shared" si="25"/>
        <v>738.72675000000004</v>
      </c>
      <c r="AK20" s="60">
        <f t="shared" si="26"/>
        <v>2374.7197808219175</v>
      </c>
      <c r="AL20" s="60">
        <f t="shared" si="27"/>
        <v>1745.4190389041094</v>
      </c>
      <c r="AM20" s="41">
        <f t="shared" si="28"/>
        <v>667.7550110958905</v>
      </c>
      <c r="AN20" s="42">
        <f t="shared" si="29"/>
        <v>45715</v>
      </c>
      <c r="AO20" s="43">
        <f t="shared" si="30"/>
        <v>3283.23</v>
      </c>
    </row>
    <row r="21" spans="1:41" s="24" customFormat="1" ht="15.75" customHeight="1" x14ac:dyDescent="0.35">
      <c r="A21" s="36" t="s">
        <v>27</v>
      </c>
      <c r="B21" s="36">
        <v>202506</v>
      </c>
      <c r="C21" s="24" t="s">
        <v>128</v>
      </c>
      <c r="D21" s="24" t="s">
        <v>129</v>
      </c>
      <c r="E21" s="62">
        <v>45818</v>
      </c>
      <c r="F21" s="62">
        <v>46182</v>
      </c>
      <c r="G21" s="37" t="s">
        <v>149</v>
      </c>
      <c r="H21" s="36">
        <v>1008</v>
      </c>
      <c r="I21" s="63">
        <v>25676</v>
      </c>
      <c r="J21" s="24" t="s">
        <v>797</v>
      </c>
      <c r="K21" s="63">
        <f t="shared" si="14"/>
        <v>45818</v>
      </c>
      <c r="L21" s="55">
        <f t="shared" si="15"/>
        <v>0.04</v>
      </c>
      <c r="M21" s="76">
        <v>0.22500000000000001</v>
      </c>
      <c r="N21" s="62">
        <v>45818</v>
      </c>
      <c r="O21" s="62">
        <v>46182</v>
      </c>
      <c r="P21" s="63"/>
      <c r="Q21" s="63"/>
      <c r="R21" s="82">
        <v>55</v>
      </c>
      <c r="S21" s="63" t="str">
        <f>VLOOKUP(R21,SA!$B$5:$C$11,2,1)</f>
        <v>46-55</v>
      </c>
      <c r="T21" s="38" t="s">
        <v>96</v>
      </c>
      <c r="U21" s="24" t="s">
        <v>56</v>
      </c>
      <c r="V21" s="24">
        <v>300000</v>
      </c>
      <c r="W21" s="39">
        <f t="shared" si="16"/>
        <v>300000</v>
      </c>
      <c r="X21" s="29">
        <f t="shared" si="17"/>
        <v>1</v>
      </c>
      <c r="Y21" s="40">
        <f t="shared" si="18"/>
        <v>365</v>
      </c>
      <c r="Z21" s="38">
        <f t="shared" si="5"/>
        <v>46081</v>
      </c>
      <c r="AA21" s="41">
        <f t="shared" si="19"/>
        <v>264</v>
      </c>
      <c r="AB21" s="24" t="s">
        <v>125</v>
      </c>
      <c r="AC21" s="41">
        <f t="shared" si="20"/>
        <v>9586.9925999999996</v>
      </c>
      <c r="AD21" s="41">
        <v>1</v>
      </c>
      <c r="AE21" s="72">
        <f>IFERROR(INDEX(SA!$C$4:$E$11,MATCH(Details!S21,SA!$C$4:$C$11,0),MATCH(Details!V21,SA!$C$4:$E$4,0)),0)*Y21/(F21-E21+1)</f>
        <v>8124.57</v>
      </c>
      <c r="AF21" s="41">
        <f t="shared" si="21"/>
        <v>0</v>
      </c>
      <c r="AG21" s="41">
        <f t="shared" si="22"/>
        <v>0</v>
      </c>
      <c r="AH21" s="41">
        <f t="shared" si="23"/>
        <v>1462.4225999999999</v>
      </c>
      <c r="AI21" s="60">
        <f t="shared" si="24"/>
        <v>324.9828</v>
      </c>
      <c r="AJ21" s="60">
        <f t="shared" si="25"/>
        <v>1828.0282500000001</v>
      </c>
      <c r="AK21" s="60">
        <f t="shared" si="26"/>
        <v>5876.4013150684932</v>
      </c>
      <c r="AL21" s="60">
        <f t="shared" si="27"/>
        <v>4319.1549665753428</v>
      </c>
      <c r="AM21" s="41">
        <f t="shared" si="28"/>
        <v>1652.4039834246571</v>
      </c>
      <c r="AN21" s="42">
        <f t="shared" si="29"/>
        <v>45715</v>
      </c>
      <c r="AO21" s="43">
        <f t="shared" si="30"/>
        <v>8124.57</v>
      </c>
    </row>
    <row r="22" spans="1:41" s="24" customFormat="1" ht="15.75" customHeight="1" x14ac:dyDescent="0.35">
      <c r="A22" s="36" t="s">
        <v>27</v>
      </c>
      <c r="B22" s="36">
        <v>202506</v>
      </c>
      <c r="C22" s="24" t="s">
        <v>128</v>
      </c>
      <c r="D22" s="24" t="s">
        <v>129</v>
      </c>
      <c r="E22" s="62">
        <v>45818</v>
      </c>
      <c r="F22" s="62">
        <v>46182</v>
      </c>
      <c r="G22" s="37" t="s">
        <v>150</v>
      </c>
      <c r="H22" s="36">
        <v>1008</v>
      </c>
      <c r="I22" s="63">
        <v>28141</v>
      </c>
      <c r="J22" s="24" t="s">
        <v>798</v>
      </c>
      <c r="K22" s="63">
        <f t="shared" si="14"/>
        <v>45818</v>
      </c>
      <c r="L22" s="55">
        <f t="shared" si="15"/>
        <v>0.04</v>
      </c>
      <c r="M22" s="76">
        <v>0.22500000000000001</v>
      </c>
      <c r="N22" s="62">
        <v>45818</v>
      </c>
      <c r="O22" s="62">
        <v>46182</v>
      </c>
      <c r="P22" s="63"/>
      <c r="Q22" s="63"/>
      <c r="R22" s="82">
        <v>48</v>
      </c>
      <c r="S22" s="63" t="str">
        <f>VLOOKUP(R22,SA!$B$5:$C$11,2,1)</f>
        <v>46-55</v>
      </c>
      <c r="T22" s="38" t="s">
        <v>97</v>
      </c>
      <c r="U22" s="24" t="s">
        <v>115</v>
      </c>
      <c r="V22" s="24">
        <v>300000</v>
      </c>
      <c r="W22" s="39">
        <f t="shared" si="16"/>
        <v>0</v>
      </c>
      <c r="X22" s="29">
        <f t="shared" si="17"/>
        <v>0</v>
      </c>
      <c r="Y22" s="40">
        <f t="shared" si="18"/>
        <v>365</v>
      </c>
      <c r="Z22" s="38">
        <f t="shared" si="5"/>
        <v>46081</v>
      </c>
      <c r="AA22" s="41">
        <f t="shared" si="19"/>
        <v>264</v>
      </c>
      <c r="AB22" s="24" t="s">
        <v>125</v>
      </c>
      <c r="AC22" s="41">
        <f t="shared" si="20"/>
        <v>9586.9925999999996</v>
      </c>
      <c r="AD22" s="41">
        <v>1</v>
      </c>
      <c r="AE22" s="72">
        <f>IFERROR(INDEX(SA!$C$4:$E$11,MATCH(Details!S22,SA!$C$4:$C$11,0),MATCH(Details!V22,SA!$C$4:$E$4,0)),0)*Y22/(F22-E22+1)</f>
        <v>8124.57</v>
      </c>
      <c r="AF22" s="41">
        <f t="shared" si="21"/>
        <v>0</v>
      </c>
      <c r="AG22" s="41">
        <f t="shared" si="22"/>
        <v>0</v>
      </c>
      <c r="AH22" s="41">
        <f t="shared" si="23"/>
        <v>1462.4225999999999</v>
      </c>
      <c r="AI22" s="60">
        <f t="shared" si="24"/>
        <v>324.9828</v>
      </c>
      <c r="AJ22" s="60">
        <f t="shared" si="25"/>
        <v>1828.0282500000001</v>
      </c>
      <c r="AK22" s="60">
        <f t="shared" si="26"/>
        <v>5876.4013150684932</v>
      </c>
      <c r="AL22" s="60">
        <f t="shared" si="27"/>
        <v>4319.1549665753428</v>
      </c>
      <c r="AM22" s="41">
        <f t="shared" si="28"/>
        <v>1652.4039834246571</v>
      </c>
      <c r="AN22" s="42">
        <f t="shared" si="29"/>
        <v>45715</v>
      </c>
      <c r="AO22" s="43">
        <f t="shared" si="30"/>
        <v>8124.57</v>
      </c>
    </row>
    <row r="23" spans="1:41" s="24" customFormat="1" ht="15.75" customHeight="1" x14ac:dyDescent="0.35">
      <c r="A23" s="36" t="s">
        <v>27</v>
      </c>
      <c r="B23" s="36">
        <v>202506</v>
      </c>
      <c r="C23" s="24" t="s">
        <v>128</v>
      </c>
      <c r="D23" s="24" t="s">
        <v>129</v>
      </c>
      <c r="E23" s="62">
        <v>45818</v>
      </c>
      <c r="F23" s="62">
        <v>46182</v>
      </c>
      <c r="G23" s="37" t="s">
        <v>151</v>
      </c>
      <c r="H23" s="36">
        <v>1008</v>
      </c>
      <c r="I23" s="63">
        <v>37053</v>
      </c>
      <c r="J23" s="24" t="s">
        <v>799</v>
      </c>
      <c r="K23" s="63">
        <f t="shared" si="14"/>
        <v>45818</v>
      </c>
      <c r="L23" s="55">
        <f t="shared" si="15"/>
        <v>0.04</v>
      </c>
      <c r="M23" s="76">
        <v>0.22500000000000001</v>
      </c>
      <c r="N23" s="62">
        <v>45818</v>
      </c>
      <c r="O23" s="62">
        <v>46182</v>
      </c>
      <c r="P23" s="63"/>
      <c r="Q23" s="63"/>
      <c r="R23" s="82">
        <v>23</v>
      </c>
      <c r="S23" s="63" t="str">
        <f>VLOOKUP(R23,SA!$B$5:$C$11,2,1)</f>
        <v>0-35</v>
      </c>
      <c r="T23" s="38" t="s">
        <v>97</v>
      </c>
      <c r="U23" s="24" t="s">
        <v>113</v>
      </c>
      <c r="V23" s="24">
        <v>300000</v>
      </c>
      <c r="W23" s="39">
        <f t="shared" si="16"/>
        <v>0</v>
      </c>
      <c r="X23" s="29">
        <f t="shared" si="17"/>
        <v>0</v>
      </c>
      <c r="Y23" s="40">
        <f t="shared" si="18"/>
        <v>365</v>
      </c>
      <c r="Z23" s="38">
        <f t="shared" si="5"/>
        <v>46081</v>
      </c>
      <c r="AA23" s="41">
        <f t="shared" si="19"/>
        <v>264</v>
      </c>
      <c r="AB23" s="24" t="s">
        <v>125</v>
      </c>
      <c r="AC23" s="41">
        <f t="shared" si="20"/>
        <v>3874.2114000000001</v>
      </c>
      <c r="AD23" s="41">
        <v>1</v>
      </c>
      <c r="AE23" s="72">
        <f>IFERROR(INDEX(SA!$C$4:$E$11,MATCH(Details!S23,SA!$C$4:$C$11,0),MATCH(Details!V23,SA!$C$4:$E$4,0)),0)*Y23/(F23-E23+1)</f>
        <v>3283.23</v>
      </c>
      <c r="AF23" s="41">
        <f t="shared" si="21"/>
        <v>0</v>
      </c>
      <c r="AG23" s="41">
        <f t="shared" si="22"/>
        <v>0</v>
      </c>
      <c r="AH23" s="41">
        <f t="shared" si="23"/>
        <v>590.98140000000001</v>
      </c>
      <c r="AI23" s="60">
        <f t="shared" si="24"/>
        <v>131.32920000000001</v>
      </c>
      <c r="AJ23" s="60">
        <f t="shared" si="25"/>
        <v>738.72675000000004</v>
      </c>
      <c r="AK23" s="60">
        <f t="shared" si="26"/>
        <v>2374.7197808219175</v>
      </c>
      <c r="AL23" s="60">
        <f t="shared" si="27"/>
        <v>1745.4190389041094</v>
      </c>
      <c r="AM23" s="41">
        <f t="shared" si="28"/>
        <v>667.7550110958905</v>
      </c>
      <c r="AN23" s="42">
        <f t="shared" si="29"/>
        <v>45715</v>
      </c>
      <c r="AO23" s="43">
        <f t="shared" si="30"/>
        <v>3283.23</v>
      </c>
    </row>
    <row r="24" spans="1:41" s="24" customFormat="1" ht="15.75" customHeight="1" x14ac:dyDescent="0.35">
      <c r="A24" s="36" t="s">
        <v>27</v>
      </c>
      <c r="B24" s="36">
        <v>202506</v>
      </c>
      <c r="C24" s="24" t="s">
        <v>128</v>
      </c>
      <c r="D24" s="24" t="s">
        <v>129</v>
      </c>
      <c r="E24" s="62">
        <v>45818</v>
      </c>
      <c r="F24" s="62">
        <v>46182</v>
      </c>
      <c r="G24" s="37" t="s">
        <v>152</v>
      </c>
      <c r="H24" s="36">
        <v>1016</v>
      </c>
      <c r="I24" s="63">
        <v>26459</v>
      </c>
      <c r="J24" s="24" t="s">
        <v>800</v>
      </c>
      <c r="K24" s="63">
        <f t="shared" si="14"/>
        <v>45818</v>
      </c>
      <c r="L24" s="55">
        <f t="shared" si="15"/>
        <v>0.04</v>
      </c>
      <c r="M24" s="76">
        <v>0.22500000000000001</v>
      </c>
      <c r="N24" s="62">
        <v>45818</v>
      </c>
      <c r="O24" s="62">
        <v>46182</v>
      </c>
      <c r="P24" s="63"/>
      <c r="Q24" s="63"/>
      <c r="R24" s="82">
        <v>53</v>
      </c>
      <c r="S24" s="63" t="str">
        <f>VLOOKUP(R24,SA!$B$5:$C$11,2,1)</f>
        <v>46-55</v>
      </c>
      <c r="T24" s="38" t="s">
        <v>96</v>
      </c>
      <c r="U24" s="24" t="s">
        <v>56</v>
      </c>
      <c r="V24" s="24">
        <v>300000</v>
      </c>
      <c r="W24" s="39">
        <f t="shared" si="16"/>
        <v>300000</v>
      </c>
      <c r="X24" s="29">
        <f t="shared" si="17"/>
        <v>1</v>
      </c>
      <c r="Y24" s="40">
        <f t="shared" si="18"/>
        <v>365</v>
      </c>
      <c r="Z24" s="38">
        <f t="shared" si="5"/>
        <v>46081</v>
      </c>
      <c r="AA24" s="41">
        <f t="shared" si="19"/>
        <v>264</v>
      </c>
      <c r="AB24" s="24" t="s">
        <v>125</v>
      </c>
      <c r="AC24" s="41">
        <f t="shared" si="20"/>
        <v>9586.9925999999996</v>
      </c>
      <c r="AD24" s="41">
        <v>1</v>
      </c>
      <c r="AE24" s="72">
        <f>IFERROR(INDEX(SA!$C$4:$E$11,MATCH(Details!S24,SA!$C$4:$C$11,0),MATCH(Details!V24,SA!$C$4:$E$4,0)),0)*Y24/(F24-E24+1)</f>
        <v>8124.57</v>
      </c>
      <c r="AF24" s="41">
        <f t="shared" si="21"/>
        <v>0</v>
      </c>
      <c r="AG24" s="41">
        <f t="shared" si="22"/>
        <v>0</v>
      </c>
      <c r="AH24" s="41">
        <f t="shared" si="23"/>
        <v>1462.4225999999999</v>
      </c>
      <c r="AI24" s="60">
        <f t="shared" si="24"/>
        <v>324.9828</v>
      </c>
      <c r="AJ24" s="60">
        <f t="shared" si="25"/>
        <v>1828.0282500000001</v>
      </c>
      <c r="AK24" s="60">
        <f t="shared" si="26"/>
        <v>5876.4013150684932</v>
      </c>
      <c r="AL24" s="60">
        <f t="shared" si="27"/>
        <v>4319.1549665753428</v>
      </c>
      <c r="AM24" s="41">
        <f t="shared" si="28"/>
        <v>1652.4039834246571</v>
      </c>
      <c r="AN24" s="42">
        <f t="shared" si="29"/>
        <v>45715</v>
      </c>
      <c r="AO24" s="43">
        <f t="shared" si="30"/>
        <v>8124.57</v>
      </c>
    </row>
    <row r="25" spans="1:41" s="24" customFormat="1" ht="15.75" customHeight="1" x14ac:dyDescent="0.35">
      <c r="A25" s="36" t="s">
        <v>27</v>
      </c>
      <c r="B25" s="36">
        <v>202506</v>
      </c>
      <c r="C25" s="24" t="s">
        <v>128</v>
      </c>
      <c r="D25" s="24" t="s">
        <v>129</v>
      </c>
      <c r="E25" s="62">
        <v>45818</v>
      </c>
      <c r="F25" s="62">
        <v>46182</v>
      </c>
      <c r="G25" s="37" t="s">
        <v>153</v>
      </c>
      <c r="H25" s="36">
        <v>1016</v>
      </c>
      <c r="I25" s="63">
        <v>26963</v>
      </c>
      <c r="J25" s="24" t="s">
        <v>801</v>
      </c>
      <c r="K25" s="63">
        <f t="shared" si="14"/>
        <v>45818</v>
      </c>
      <c r="L25" s="55">
        <f t="shared" si="15"/>
        <v>0.04</v>
      </c>
      <c r="M25" s="76">
        <v>0.22500000000000001</v>
      </c>
      <c r="N25" s="62">
        <v>45818</v>
      </c>
      <c r="O25" s="62">
        <v>46182</v>
      </c>
      <c r="P25" s="63"/>
      <c r="Q25" s="63"/>
      <c r="R25" s="82">
        <v>51</v>
      </c>
      <c r="S25" s="63" t="str">
        <f>VLOOKUP(R25,SA!$B$5:$C$11,2,1)</f>
        <v>46-55</v>
      </c>
      <c r="T25" s="38" t="s">
        <v>97</v>
      </c>
      <c r="U25" s="24" t="s">
        <v>115</v>
      </c>
      <c r="V25" s="24">
        <v>300000</v>
      </c>
      <c r="W25" s="39">
        <f t="shared" si="16"/>
        <v>0</v>
      </c>
      <c r="X25" s="29">
        <f t="shared" si="17"/>
        <v>0</v>
      </c>
      <c r="Y25" s="40">
        <f t="shared" si="18"/>
        <v>365</v>
      </c>
      <c r="Z25" s="38">
        <f t="shared" si="5"/>
        <v>46081</v>
      </c>
      <c r="AA25" s="41">
        <f t="shared" si="19"/>
        <v>264</v>
      </c>
      <c r="AB25" s="24" t="s">
        <v>125</v>
      </c>
      <c r="AC25" s="41">
        <f t="shared" si="20"/>
        <v>9586.9925999999996</v>
      </c>
      <c r="AD25" s="41">
        <v>1</v>
      </c>
      <c r="AE25" s="72">
        <f>IFERROR(INDEX(SA!$C$4:$E$11,MATCH(Details!S25,SA!$C$4:$C$11,0),MATCH(Details!V25,SA!$C$4:$E$4,0)),0)*Y25/(F25-E25+1)</f>
        <v>8124.57</v>
      </c>
      <c r="AF25" s="41">
        <f t="shared" si="21"/>
        <v>0</v>
      </c>
      <c r="AG25" s="41">
        <f t="shared" si="22"/>
        <v>0</v>
      </c>
      <c r="AH25" s="41">
        <f t="shared" si="23"/>
        <v>1462.4225999999999</v>
      </c>
      <c r="AI25" s="60">
        <f t="shared" si="24"/>
        <v>324.9828</v>
      </c>
      <c r="AJ25" s="60">
        <f t="shared" si="25"/>
        <v>1828.0282500000001</v>
      </c>
      <c r="AK25" s="60">
        <f t="shared" si="26"/>
        <v>5876.4013150684932</v>
      </c>
      <c r="AL25" s="60">
        <f t="shared" si="27"/>
        <v>4319.1549665753428</v>
      </c>
      <c r="AM25" s="41">
        <f t="shared" si="28"/>
        <v>1652.4039834246571</v>
      </c>
      <c r="AN25" s="42">
        <f t="shared" si="29"/>
        <v>45715</v>
      </c>
      <c r="AO25" s="43">
        <f t="shared" si="30"/>
        <v>8124.57</v>
      </c>
    </row>
    <row r="26" spans="1:41" s="24" customFormat="1" ht="15.75" customHeight="1" x14ac:dyDescent="0.35">
      <c r="A26" s="36" t="s">
        <v>27</v>
      </c>
      <c r="B26" s="36">
        <v>202506</v>
      </c>
      <c r="C26" s="24" t="s">
        <v>128</v>
      </c>
      <c r="D26" s="24" t="s">
        <v>129</v>
      </c>
      <c r="E26" s="62">
        <v>45818</v>
      </c>
      <c r="F26" s="62">
        <v>46182</v>
      </c>
      <c r="G26" s="37" t="s">
        <v>154</v>
      </c>
      <c r="H26" s="36">
        <v>1016</v>
      </c>
      <c r="I26" s="63">
        <v>37627</v>
      </c>
      <c r="J26" s="24" t="s">
        <v>802</v>
      </c>
      <c r="K26" s="63">
        <f t="shared" si="14"/>
        <v>45818</v>
      </c>
      <c r="L26" s="55">
        <f t="shared" si="15"/>
        <v>0.04</v>
      </c>
      <c r="M26" s="76">
        <v>0.22500000000000001</v>
      </c>
      <c r="N26" s="62">
        <v>45818</v>
      </c>
      <c r="O26" s="62">
        <v>46182</v>
      </c>
      <c r="P26" s="63"/>
      <c r="Q26" s="63"/>
      <c r="R26" s="82">
        <v>22</v>
      </c>
      <c r="S26" s="63" t="str">
        <f>VLOOKUP(R26,SA!$B$5:$C$11,2,1)</f>
        <v>0-35</v>
      </c>
      <c r="T26" s="38" t="s">
        <v>96</v>
      </c>
      <c r="U26" s="24" t="s">
        <v>114</v>
      </c>
      <c r="V26" s="24">
        <v>300000</v>
      </c>
      <c r="W26" s="39">
        <f t="shared" si="16"/>
        <v>0</v>
      </c>
      <c r="X26" s="29">
        <f t="shared" si="17"/>
        <v>0</v>
      </c>
      <c r="Y26" s="40">
        <f t="shared" si="18"/>
        <v>365</v>
      </c>
      <c r="Z26" s="38">
        <f t="shared" si="5"/>
        <v>46081</v>
      </c>
      <c r="AA26" s="41">
        <f t="shared" si="19"/>
        <v>264</v>
      </c>
      <c r="AB26" s="24" t="s">
        <v>125</v>
      </c>
      <c r="AC26" s="41">
        <f t="shared" si="20"/>
        <v>3874.2114000000001</v>
      </c>
      <c r="AD26" s="41">
        <v>1</v>
      </c>
      <c r="AE26" s="72">
        <f>IFERROR(INDEX(SA!$C$4:$E$11,MATCH(Details!S26,SA!$C$4:$C$11,0),MATCH(Details!V26,SA!$C$4:$E$4,0)),0)*Y26/(F26-E26+1)</f>
        <v>3283.23</v>
      </c>
      <c r="AF26" s="41">
        <f t="shared" si="21"/>
        <v>0</v>
      </c>
      <c r="AG26" s="41">
        <f t="shared" si="22"/>
        <v>0</v>
      </c>
      <c r="AH26" s="41">
        <f t="shared" si="23"/>
        <v>590.98140000000001</v>
      </c>
      <c r="AI26" s="60">
        <f t="shared" si="24"/>
        <v>131.32920000000001</v>
      </c>
      <c r="AJ26" s="60">
        <f t="shared" si="25"/>
        <v>738.72675000000004</v>
      </c>
      <c r="AK26" s="60">
        <f t="shared" si="26"/>
        <v>2374.7197808219175</v>
      </c>
      <c r="AL26" s="60">
        <f t="shared" si="27"/>
        <v>1745.4190389041094</v>
      </c>
      <c r="AM26" s="41">
        <f t="shared" si="28"/>
        <v>667.7550110958905</v>
      </c>
      <c r="AN26" s="42">
        <f t="shared" si="29"/>
        <v>45715</v>
      </c>
      <c r="AO26" s="43">
        <f t="shared" si="30"/>
        <v>3283.23</v>
      </c>
    </row>
    <row r="27" spans="1:41" s="24" customFormat="1" ht="15.75" customHeight="1" x14ac:dyDescent="0.35">
      <c r="A27" s="36" t="s">
        <v>27</v>
      </c>
      <c r="B27" s="36">
        <v>202506</v>
      </c>
      <c r="C27" s="24" t="s">
        <v>128</v>
      </c>
      <c r="D27" s="24" t="s">
        <v>129</v>
      </c>
      <c r="E27" s="62">
        <v>45818</v>
      </c>
      <c r="F27" s="62">
        <v>46182</v>
      </c>
      <c r="G27" s="37" t="s">
        <v>155</v>
      </c>
      <c r="H27" s="36">
        <v>1017</v>
      </c>
      <c r="I27" s="63">
        <v>25727</v>
      </c>
      <c r="J27" s="24" t="s">
        <v>803</v>
      </c>
      <c r="K27" s="63">
        <f t="shared" si="14"/>
        <v>45818</v>
      </c>
      <c r="L27" s="55">
        <f t="shared" si="15"/>
        <v>0.04</v>
      </c>
      <c r="M27" s="76">
        <v>0.22500000000000001</v>
      </c>
      <c r="N27" s="62">
        <v>45818</v>
      </c>
      <c r="O27" s="62">
        <v>46182</v>
      </c>
      <c r="P27" s="63"/>
      <c r="Q27" s="63"/>
      <c r="R27" s="82">
        <v>55</v>
      </c>
      <c r="S27" s="63" t="str">
        <f>VLOOKUP(R27,SA!$B$5:$C$11,2,1)</f>
        <v>46-55</v>
      </c>
      <c r="T27" s="38" t="s">
        <v>96</v>
      </c>
      <c r="U27" s="24" t="s">
        <v>56</v>
      </c>
      <c r="V27" s="24">
        <v>300000</v>
      </c>
      <c r="W27" s="39">
        <f t="shared" si="16"/>
        <v>300000</v>
      </c>
      <c r="X27" s="29">
        <f t="shared" si="17"/>
        <v>1</v>
      </c>
      <c r="Y27" s="40">
        <f t="shared" si="18"/>
        <v>365</v>
      </c>
      <c r="Z27" s="38">
        <f t="shared" si="5"/>
        <v>46081</v>
      </c>
      <c r="AA27" s="41">
        <f t="shared" si="19"/>
        <v>264</v>
      </c>
      <c r="AB27" s="24" t="s">
        <v>125</v>
      </c>
      <c r="AC27" s="41">
        <f t="shared" si="20"/>
        <v>9586.9925999999996</v>
      </c>
      <c r="AD27" s="41">
        <v>1</v>
      </c>
      <c r="AE27" s="72">
        <f>IFERROR(INDEX(SA!$C$4:$E$11,MATCH(Details!S27,SA!$C$4:$C$11,0),MATCH(Details!V27,SA!$C$4:$E$4,0)),0)*Y27/(F27-E27+1)</f>
        <v>8124.57</v>
      </c>
      <c r="AF27" s="41">
        <f t="shared" si="21"/>
        <v>0</v>
      </c>
      <c r="AG27" s="41">
        <f t="shared" si="22"/>
        <v>0</v>
      </c>
      <c r="AH27" s="41">
        <f t="shared" si="23"/>
        <v>1462.4225999999999</v>
      </c>
      <c r="AI27" s="60">
        <f t="shared" si="24"/>
        <v>324.9828</v>
      </c>
      <c r="AJ27" s="60">
        <f t="shared" si="25"/>
        <v>1828.0282500000001</v>
      </c>
      <c r="AK27" s="60">
        <f t="shared" si="26"/>
        <v>5876.4013150684932</v>
      </c>
      <c r="AL27" s="60">
        <f t="shared" si="27"/>
        <v>4319.1549665753428</v>
      </c>
      <c r="AM27" s="41">
        <f t="shared" si="28"/>
        <v>1652.4039834246571</v>
      </c>
      <c r="AN27" s="42">
        <f t="shared" si="29"/>
        <v>45715</v>
      </c>
      <c r="AO27" s="43">
        <f t="shared" si="30"/>
        <v>8124.57</v>
      </c>
    </row>
    <row r="28" spans="1:41" s="24" customFormat="1" ht="15.75" customHeight="1" x14ac:dyDescent="0.35">
      <c r="A28" s="36" t="s">
        <v>27</v>
      </c>
      <c r="B28" s="36">
        <v>202506</v>
      </c>
      <c r="C28" s="24" t="s">
        <v>128</v>
      </c>
      <c r="D28" s="24" t="s">
        <v>129</v>
      </c>
      <c r="E28" s="62">
        <v>45818</v>
      </c>
      <c r="F28" s="62">
        <v>46182</v>
      </c>
      <c r="G28" s="37" t="s">
        <v>156</v>
      </c>
      <c r="H28" s="36">
        <v>1017</v>
      </c>
      <c r="I28" s="63">
        <v>26129</v>
      </c>
      <c r="J28" s="24" t="s">
        <v>804</v>
      </c>
      <c r="K28" s="63">
        <f t="shared" si="14"/>
        <v>45818</v>
      </c>
      <c r="L28" s="55">
        <f t="shared" si="15"/>
        <v>0.04</v>
      </c>
      <c r="M28" s="76">
        <v>0.22500000000000001</v>
      </c>
      <c r="N28" s="62">
        <v>45818</v>
      </c>
      <c r="O28" s="62">
        <v>46182</v>
      </c>
      <c r="P28" s="63"/>
      <c r="Q28" s="63"/>
      <c r="R28" s="82">
        <v>53</v>
      </c>
      <c r="S28" s="63" t="str">
        <f>VLOOKUP(R28,SA!$B$5:$C$11,2,1)</f>
        <v>46-55</v>
      </c>
      <c r="T28" s="38" t="s">
        <v>97</v>
      </c>
      <c r="U28" s="24" t="s">
        <v>115</v>
      </c>
      <c r="V28" s="24">
        <v>300000</v>
      </c>
      <c r="W28" s="39">
        <f t="shared" si="16"/>
        <v>0</v>
      </c>
      <c r="X28" s="29">
        <f t="shared" si="17"/>
        <v>0</v>
      </c>
      <c r="Y28" s="40">
        <f t="shared" si="18"/>
        <v>365</v>
      </c>
      <c r="Z28" s="38">
        <f t="shared" si="5"/>
        <v>46081</v>
      </c>
      <c r="AA28" s="41">
        <f t="shared" si="19"/>
        <v>264</v>
      </c>
      <c r="AB28" s="24" t="s">
        <v>125</v>
      </c>
      <c r="AC28" s="41">
        <f t="shared" si="20"/>
        <v>9586.9925999999996</v>
      </c>
      <c r="AD28" s="41">
        <v>1</v>
      </c>
      <c r="AE28" s="72">
        <f>IFERROR(INDEX(SA!$C$4:$E$11,MATCH(Details!S28,SA!$C$4:$C$11,0),MATCH(Details!V28,SA!$C$4:$E$4,0)),0)*Y28/(F28-E28+1)</f>
        <v>8124.57</v>
      </c>
      <c r="AF28" s="41">
        <f t="shared" si="21"/>
        <v>0</v>
      </c>
      <c r="AG28" s="41">
        <f t="shared" si="22"/>
        <v>0</v>
      </c>
      <c r="AH28" s="41">
        <f t="shared" si="23"/>
        <v>1462.4225999999999</v>
      </c>
      <c r="AI28" s="60">
        <f t="shared" si="24"/>
        <v>324.9828</v>
      </c>
      <c r="AJ28" s="60">
        <f t="shared" si="25"/>
        <v>1828.0282500000001</v>
      </c>
      <c r="AK28" s="60">
        <f t="shared" si="26"/>
        <v>5876.4013150684932</v>
      </c>
      <c r="AL28" s="60">
        <f t="shared" si="27"/>
        <v>4319.1549665753428</v>
      </c>
      <c r="AM28" s="41">
        <f t="shared" si="28"/>
        <v>1652.4039834246571</v>
      </c>
      <c r="AN28" s="42">
        <f t="shared" si="29"/>
        <v>45715</v>
      </c>
      <c r="AO28" s="43">
        <f t="shared" si="30"/>
        <v>8124.57</v>
      </c>
    </row>
    <row r="29" spans="1:41" s="24" customFormat="1" ht="15.75" customHeight="1" x14ac:dyDescent="0.35">
      <c r="A29" s="36" t="s">
        <v>27</v>
      </c>
      <c r="B29" s="36">
        <v>202506</v>
      </c>
      <c r="C29" s="24" t="s">
        <v>128</v>
      </c>
      <c r="D29" s="24" t="s">
        <v>129</v>
      </c>
      <c r="E29" s="62">
        <v>45818</v>
      </c>
      <c r="F29" s="62">
        <v>46182</v>
      </c>
      <c r="G29" s="37" t="s">
        <v>157</v>
      </c>
      <c r="H29" s="36">
        <v>1019</v>
      </c>
      <c r="I29" s="63">
        <v>27973</v>
      </c>
      <c r="J29" s="24" t="s">
        <v>805</v>
      </c>
      <c r="K29" s="63">
        <f t="shared" si="14"/>
        <v>45818</v>
      </c>
      <c r="L29" s="55">
        <f t="shared" si="15"/>
        <v>0.04</v>
      </c>
      <c r="M29" s="76">
        <v>0.22500000000000001</v>
      </c>
      <c r="N29" s="62">
        <v>45818</v>
      </c>
      <c r="O29" s="62">
        <v>46182</v>
      </c>
      <c r="P29" s="63"/>
      <c r="Q29" s="63"/>
      <c r="R29" s="82">
        <v>48</v>
      </c>
      <c r="S29" s="63" t="str">
        <f>VLOOKUP(R29,SA!$B$5:$C$11,2,1)</f>
        <v>46-55</v>
      </c>
      <c r="T29" s="38" t="s">
        <v>96</v>
      </c>
      <c r="U29" s="24" t="s">
        <v>56</v>
      </c>
      <c r="V29" s="24">
        <v>300000</v>
      </c>
      <c r="W29" s="39">
        <f t="shared" si="16"/>
        <v>300000</v>
      </c>
      <c r="X29" s="29">
        <f t="shared" si="17"/>
        <v>1</v>
      </c>
      <c r="Y29" s="40">
        <f t="shared" si="18"/>
        <v>365</v>
      </c>
      <c r="Z29" s="38">
        <f t="shared" si="5"/>
        <v>46081</v>
      </c>
      <c r="AA29" s="41">
        <f t="shared" si="19"/>
        <v>264</v>
      </c>
      <c r="AB29" s="24" t="s">
        <v>125</v>
      </c>
      <c r="AC29" s="41">
        <f t="shared" si="20"/>
        <v>9586.9925999999996</v>
      </c>
      <c r="AD29" s="41">
        <v>1</v>
      </c>
      <c r="AE29" s="72">
        <f>IFERROR(INDEX(SA!$C$4:$E$11,MATCH(Details!S29,SA!$C$4:$C$11,0),MATCH(Details!V29,SA!$C$4:$E$4,0)),0)*Y29/(F29-E29+1)</f>
        <v>8124.57</v>
      </c>
      <c r="AF29" s="41">
        <f t="shared" si="21"/>
        <v>0</v>
      </c>
      <c r="AG29" s="41">
        <f t="shared" si="22"/>
        <v>0</v>
      </c>
      <c r="AH29" s="41">
        <f t="shared" si="23"/>
        <v>1462.4225999999999</v>
      </c>
      <c r="AI29" s="60">
        <f t="shared" si="24"/>
        <v>324.9828</v>
      </c>
      <c r="AJ29" s="60">
        <f t="shared" si="25"/>
        <v>1828.0282500000001</v>
      </c>
      <c r="AK29" s="60">
        <f t="shared" si="26"/>
        <v>5876.4013150684932</v>
      </c>
      <c r="AL29" s="60">
        <f t="shared" si="27"/>
        <v>4319.1549665753428</v>
      </c>
      <c r="AM29" s="41">
        <f t="shared" si="28"/>
        <v>1652.4039834246571</v>
      </c>
      <c r="AN29" s="42">
        <f t="shared" si="29"/>
        <v>45715</v>
      </c>
      <c r="AO29" s="43">
        <f t="shared" si="30"/>
        <v>8124.57</v>
      </c>
    </row>
    <row r="30" spans="1:41" s="24" customFormat="1" ht="15.75" customHeight="1" x14ac:dyDescent="0.35">
      <c r="A30" s="36" t="s">
        <v>27</v>
      </c>
      <c r="B30" s="36">
        <v>202506</v>
      </c>
      <c r="C30" s="24" t="s">
        <v>128</v>
      </c>
      <c r="D30" s="24" t="s">
        <v>129</v>
      </c>
      <c r="E30" s="62">
        <v>45818</v>
      </c>
      <c r="F30" s="62">
        <v>46182</v>
      </c>
      <c r="G30" s="37" t="s">
        <v>158</v>
      </c>
      <c r="H30" s="36">
        <v>1019</v>
      </c>
      <c r="I30" s="63">
        <v>38424</v>
      </c>
      <c r="J30" s="24" t="s">
        <v>806</v>
      </c>
      <c r="K30" s="63">
        <f t="shared" si="14"/>
        <v>45818</v>
      </c>
      <c r="L30" s="55">
        <f t="shared" si="15"/>
        <v>0.04</v>
      </c>
      <c r="M30" s="76">
        <v>0.22500000000000001</v>
      </c>
      <c r="N30" s="62">
        <v>45818</v>
      </c>
      <c r="O30" s="62">
        <v>46182</v>
      </c>
      <c r="P30" s="63"/>
      <c r="Q30" s="63"/>
      <c r="R30" s="82">
        <v>20</v>
      </c>
      <c r="S30" s="63" t="str">
        <f>VLOOKUP(R30,SA!$B$5:$C$11,2,1)</f>
        <v>0-35</v>
      </c>
      <c r="T30" s="38" t="s">
        <v>97</v>
      </c>
      <c r="U30" s="24" t="s">
        <v>113</v>
      </c>
      <c r="V30" s="24">
        <v>300000</v>
      </c>
      <c r="W30" s="39">
        <f t="shared" si="16"/>
        <v>0</v>
      </c>
      <c r="X30" s="29">
        <f t="shared" si="17"/>
        <v>0</v>
      </c>
      <c r="Y30" s="40">
        <f t="shared" si="18"/>
        <v>365</v>
      </c>
      <c r="Z30" s="38">
        <f t="shared" si="5"/>
        <v>46081</v>
      </c>
      <c r="AA30" s="41">
        <f t="shared" si="19"/>
        <v>264</v>
      </c>
      <c r="AB30" s="24" t="s">
        <v>125</v>
      </c>
      <c r="AC30" s="41">
        <f t="shared" si="20"/>
        <v>3874.2114000000001</v>
      </c>
      <c r="AD30" s="41">
        <v>1</v>
      </c>
      <c r="AE30" s="72">
        <f>IFERROR(INDEX(SA!$C$4:$E$11,MATCH(Details!S30,SA!$C$4:$C$11,0),MATCH(Details!V30,SA!$C$4:$E$4,0)),0)*Y30/(F30-E30+1)</f>
        <v>3283.23</v>
      </c>
      <c r="AF30" s="41">
        <f t="shared" si="21"/>
        <v>0</v>
      </c>
      <c r="AG30" s="41">
        <f t="shared" si="22"/>
        <v>0</v>
      </c>
      <c r="AH30" s="41">
        <f t="shared" si="23"/>
        <v>590.98140000000001</v>
      </c>
      <c r="AI30" s="60">
        <f t="shared" si="24"/>
        <v>131.32920000000001</v>
      </c>
      <c r="AJ30" s="60">
        <f t="shared" si="25"/>
        <v>738.72675000000004</v>
      </c>
      <c r="AK30" s="60">
        <f t="shared" si="26"/>
        <v>2374.7197808219175</v>
      </c>
      <c r="AL30" s="60">
        <f t="shared" si="27"/>
        <v>1745.4190389041094</v>
      </c>
      <c r="AM30" s="41">
        <f t="shared" si="28"/>
        <v>667.7550110958905</v>
      </c>
      <c r="AN30" s="42">
        <f t="shared" si="29"/>
        <v>45715</v>
      </c>
      <c r="AO30" s="43">
        <f t="shared" si="30"/>
        <v>3283.23</v>
      </c>
    </row>
    <row r="31" spans="1:41" s="24" customFormat="1" ht="15.75" customHeight="1" x14ac:dyDescent="0.35">
      <c r="A31" s="36" t="s">
        <v>27</v>
      </c>
      <c r="B31" s="36">
        <v>202506</v>
      </c>
      <c r="C31" s="24" t="s">
        <v>128</v>
      </c>
      <c r="D31" s="24" t="s">
        <v>129</v>
      </c>
      <c r="E31" s="62">
        <v>45818</v>
      </c>
      <c r="F31" s="62">
        <v>46182</v>
      </c>
      <c r="G31" s="37" t="s">
        <v>159</v>
      </c>
      <c r="H31" s="36">
        <v>1019</v>
      </c>
      <c r="I31" s="63">
        <v>39032</v>
      </c>
      <c r="J31" s="24" t="s">
        <v>807</v>
      </c>
      <c r="K31" s="63">
        <f t="shared" si="14"/>
        <v>45818</v>
      </c>
      <c r="L31" s="55">
        <f t="shared" si="15"/>
        <v>0.04</v>
      </c>
      <c r="M31" s="76">
        <v>0.22500000000000001</v>
      </c>
      <c r="N31" s="62">
        <v>45818</v>
      </c>
      <c r="O31" s="62">
        <v>46182</v>
      </c>
      <c r="P31" s="63"/>
      <c r="Q31" s="63"/>
      <c r="R31" s="82">
        <v>18</v>
      </c>
      <c r="S31" s="63" t="str">
        <f>VLOOKUP(R31,SA!$B$5:$C$11,2,1)</f>
        <v>0-35</v>
      </c>
      <c r="T31" s="38" t="s">
        <v>97</v>
      </c>
      <c r="U31" s="24" t="s">
        <v>113</v>
      </c>
      <c r="V31" s="24">
        <v>300000</v>
      </c>
      <c r="W31" s="39">
        <f t="shared" si="16"/>
        <v>0</v>
      </c>
      <c r="X31" s="29">
        <f t="shared" si="17"/>
        <v>0</v>
      </c>
      <c r="Y31" s="40">
        <f t="shared" si="18"/>
        <v>365</v>
      </c>
      <c r="Z31" s="38">
        <f t="shared" si="5"/>
        <v>46081</v>
      </c>
      <c r="AA31" s="41">
        <f t="shared" si="19"/>
        <v>264</v>
      </c>
      <c r="AB31" s="24" t="s">
        <v>125</v>
      </c>
      <c r="AC31" s="41">
        <f t="shared" si="20"/>
        <v>3874.2114000000001</v>
      </c>
      <c r="AD31" s="41">
        <v>1</v>
      </c>
      <c r="AE31" s="72">
        <f>IFERROR(INDEX(SA!$C$4:$E$11,MATCH(Details!S31,SA!$C$4:$C$11,0),MATCH(Details!V31,SA!$C$4:$E$4,0)),0)*Y31/(F31-E31+1)</f>
        <v>3283.23</v>
      </c>
      <c r="AF31" s="41">
        <f t="shared" si="21"/>
        <v>0</v>
      </c>
      <c r="AG31" s="41">
        <f t="shared" si="22"/>
        <v>0</v>
      </c>
      <c r="AH31" s="41">
        <f t="shared" si="23"/>
        <v>590.98140000000001</v>
      </c>
      <c r="AI31" s="60">
        <f t="shared" si="24"/>
        <v>131.32920000000001</v>
      </c>
      <c r="AJ31" s="60">
        <f t="shared" si="25"/>
        <v>738.72675000000004</v>
      </c>
      <c r="AK31" s="60">
        <f t="shared" si="26"/>
        <v>2374.7197808219175</v>
      </c>
      <c r="AL31" s="60">
        <f t="shared" si="27"/>
        <v>1745.4190389041094</v>
      </c>
      <c r="AM31" s="41">
        <f t="shared" si="28"/>
        <v>667.7550110958905</v>
      </c>
      <c r="AN31" s="42">
        <f t="shared" si="29"/>
        <v>45715</v>
      </c>
      <c r="AO31" s="43">
        <f t="shared" si="30"/>
        <v>3283.23</v>
      </c>
    </row>
    <row r="32" spans="1:41" s="24" customFormat="1" ht="15.75" customHeight="1" x14ac:dyDescent="0.35">
      <c r="A32" s="36" t="s">
        <v>27</v>
      </c>
      <c r="B32" s="36">
        <v>202506</v>
      </c>
      <c r="C32" s="24" t="s">
        <v>128</v>
      </c>
      <c r="D32" s="24" t="s">
        <v>129</v>
      </c>
      <c r="E32" s="62">
        <v>45818</v>
      </c>
      <c r="F32" s="62">
        <v>46182</v>
      </c>
      <c r="G32" s="37" t="s">
        <v>160</v>
      </c>
      <c r="H32" s="36">
        <v>1019</v>
      </c>
      <c r="I32" s="63">
        <v>28399</v>
      </c>
      <c r="J32" s="24" t="s">
        <v>808</v>
      </c>
      <c r="K32" s="63">
        <f t="shared" si="14"/>
        <v>45818</v>
      </c>
      <c r="L32" s="55">
        <f t="shared" si="15"/>
        <v>0.04</v>
      </c>
      <c r="M32" s="76">
        <v>0.22500000000000001</v>
      </c>
      <c r="N32" s="62">
        <v>45818</v>
      </c>
      <c r="O32" s="62">
        <v>46182</v>
      </c>
      <c r="P32" s="63"/>
      <c r="Q32" s="63"/>
      <c r="R32" s="82">
        <v>47</v>
      </c>
      <c r="S32" s="63" t="str">
        <f>VLOOKUP(R32,SA!$B$5:$C$11,2,1)</f>
        <v>46-55</v>
      </c>
      <c r="T32" s="38" t="s">
        <v>97</v>
      </c>
      <c r="U32" s="24" t="s">
        <v>115</v>
      </c>
      <c r="V32" s="24">
        <v>300000</v>
      </c>
      <c r="W32" s="39">
        <f t="shared" si="16"/>
        <v>0</v>
      </c>
      <c r="X32" s="29">
        <f t="shared" si="17"/>
        <v>0</v>
      </c>
      <c r="Y32" s="40">
        <f t="shared" si="18"/>
        <v>365</v>
      </c>
      <c r="Z32" s="38">
        <f t="shared" si="5"/>
        <v>46081</v>
      </c>
      <c r="AA32" s="41">
        <f t="shared" si="19"/>
        <v>264</v>
      </c>
      <c r="AB32" s="24" t="s">
        <v>125</v>
      </c>
      <c r="AC32" s="41">
        <f t="shared" si="20"/>
        <v>9586.9925999999996</v>
      </c>
      <c r="AD32" s="41">
        <v>1</v>
      </c>
      <c r="AE32" s="72">
        <f>IFERROR(INDEX(SA!$C$4:$E$11,MATCH(Details!S32,SA!$C$4:$C$11,0),MATCH(Details!V32,SA!$C$4:$E$4,0)),0)*Y32/(F32-E32+1)</f>
        <v>8124.57</v>
      </c>
      <c r="AF32" s="41">
        <f t="shared" si="21"/>
        <v>0</v>
      </c>
      <c r="AG32" s="41">
        <f t="shared" si="22"/>
        <v>0</v>
      </c>
      <c r="AH32" s="41">
        <f t="shared" si="23"/>
        <v>1462.4225999999999</v>
      </c>
      <c r="AI32" s="60">
        <f t="shared" si="24"/>
        <v>324.9828</v>
      </c>
      <c r="AJ32" s="60">
        <f t="shared" si="25"/>
        <v>1828.0282500000001</v>
      </c>
      <c r="AK32" s="60">
        <f t="shared" si="26"/>
        <v>5876.4013150684932</v>
      </c>
      <c r="AL32" s="60">
        <f t="shared" si="27"/>
        <v>4319.1549665753428</v>
      </c>
      <c r="AM32" s="41">
        <f t="shared" si="28"/>
        <v>1652.4039834246571</v>
      </c>
      <c r="AN32" s="42">
        <f t="shared" si="29"/>
        <v>45715</v>
      </c>
      <c r="AO32" s="43">
        <f t="shared" si="30"/>
        <v>8124.57</v>
      </c>
    </row>
    <row r="33" spans="1:41" s="24" customFormat="1" ht="15.75" customHeight="1" x14ac:dyDescent="0.35">
      <c r="A33" s="36" t="s">
        <v>27</v>
      </c>
      <c r="B33" s="36">
        <v>202506</v>
      </c>
      <c r="C33" s="24" t="s">
        <v>128</v>
      </c>
      <c r="D33" s="24" t="s">
        <v>129</v>
      </c>
      <c r="E33" s="62">
        <v>45818</v>
      </c>
      <c r="F33" s="62">
        <v>46182</v>
      </c>
      <c r="G33" s="37" t="s">
        <v>161</v>
      </c>
      <c r="H33" s="36">
        <v>1022</v>
      </c>
      <c r="I33" s="63">
        <v>23862</v>
      </c>
      <c r="J33" s="24" t="s">
        <v>809</v>
      </c>
      <c r="K33" s="63">
        <f t="shared" si="14"/>
        <v>45818</v>
      </c>
      <c r="L33" s="55">
        <f t="shared" si="15"/>
        <v>0.04</v>
      </c>
      <c r="M33" s="76">
        <v>0.22500000000000001</v>
      </c>
      <c r="N33" s="62">
        <v>45818</v>
      </c>
      <c r="O33" s="62">
        <v>46182</v>
      </c>
      <c r="P33" s="63"/>
      <c r="Q33" s="63"/>
      <c r="R33" s="82">
        <v>60</v>
      </c>
      <c r="S33" s="63" t="str">
        <f>VLOOKUP(R33,SA!$B$5:$C$11,2,1)</f>
        <v>56-65</v>
      </c>
      <c r="T33" s="38" t="s">
        <v>96</v>
      </c>
      <c r="U33" s="24" t="s">
        <v>56</v>
      </c>
      <c r="V33" s="24">
        <v>300000</v>
      </c>
      <c r="W33" s="39">
        <f t="shared" si="16"/>
        <v>300000</v>
      </c>
      <c r="X33" s="29">
        <f t="shared" si="17"/>
        <v>1</v>
      </c>
      <c r="Y33" s="40">
        <f t="shared" si="18"/>
        <v>365</v>
      </c>
      <c r="Z33" s="38">
        <f t="shared" si="5"/>
        <v>46081</v>
      </c>
      <c r="AA33" s="41">
        <f t="shared" si="19"/>
        <v>264</v>
      </c>
      <c r="AB33" s="24" t="s">
        <v>125</v>
      </c>
      <c r="AC33" s="41">
        <f t="shared" si="20"/>
        <v>16811.448199999999</v>
      </c>
      <c r="AD33" s="41">
        <v>1</v>
      </c>
      <c r="AE33" s="72">
        <f>IFERROR(INDEX(SA!$C$4:$E$11,MATCH(Details!S33,SA!$C$4:$C$11,0),MATCH(Details!V33,SA!$C$4:$E$4,0)),0)*Y33/(F33-E33+1)</f>
        <v>14246.99</v>
      </c>
      <c r="AF33" s="41">
        <f t="shared" si="21"/>
        <v>0</v>
      </c>
      <c r="AG33" s="41">
        <f t="shared" si="22"/>
        <v>0</v>
      </c>
      <c r="AH33" s="41">
        <f t="shared" si="23"/>
        <v>2564.4582</v>
      </c>
      <c r="AI33" s="60">
        <f t="shared" si="24"/>
        <v>569.87959999999998</v>
      </c>
      <c r="AJ33" s="60">
        <f t="shared" si="25"/>
        <v>3205.5727499999998</v>
      </c>
      <c r="AK33" s="60">
        <f t="shared" si="26"/>
        <v>10304.672219178083</v>
      </c>
      <c r="AL33" s="60">
        <f t="shared" si="27"/>
        <v>7573.9340810958911</v>
      </c>
      <c r="AM33" s="41">
        <f t="shared" si="28"/>
        <v>2897.6035689041087</v>
      </c>
      <c r="AN33" s="42">
        <f t="shared" si="29"/>
        <v>45715</v>
      </c>
      <c r="AO33" s="43">
        <f t="shared" si="30"/>
        <v>14246.99</v>
      </c>
    </row>
    <row r="34" spans="1:41" s="24" customFormat="1" ht="15.75" customHeight="1" x14ac:dyDescent="0.35">
      <c r="A34" s="36" t="s">
        <v>27</v>
      </c>
      <c r="B34" s="36">
        <v>202506</v>
      </c>
      <c r="C34" s="24" t="s">
        <v>128</v>
      </c>
      <c r="D34" s="24" t="s">
        <v>129</v>
      </c>
      <c r="E34" s="62">
        <v>45818</v>
      </c>
      <c r="F34" s="62">
        <v>46182</v>
      </c>
      <c r="G34" s="37" t="s">
        <v>162</v>
      </c>
      <c r="H34" s="36">
        <v>1022</v>
      </c>
      <c r="I34" s="63">
        <v>27458</v>
      </c>
      <c r="J34" s="24" t="s">
        <v>810</v>
      </c>
      <c r="K34" s="63">
        <f t="shared" si="14"/>
        <v>45818</v>
      </c>
      <c r="L34" s="55">
        <f t="shared" si="15"/>
        <v>0.04</v>
      </c>
      <c r="M34" s="76">
        <v>0.22500000000000001</v>
      </c>
      <c r="N34" s="62">
        <v>45818</v>
      </c>
      <c r="O34" s="62">
        <v>46182</v>
      </c>
      <c r="P34" s="63"/>
      <c r="Q34" s="63"/>
      <c r="R34" s="82">
        <v>50</v>
      </c>
      <c r="S34" s="63" t="str">
        <f>VLOOKUP(R34,SA!$B$5:$C$11,2,1)</f>
        <v>46-55</v>
      </c>
      <c r="T34" s="38" t="s">
        <v>97</v>
      </c>
      <c r="U34" s="24" t="s">
        <v>115</v>
      </c>
      <c r="V34" s="24">
        <v>300000</v>
      </c>
      <c r="W34" s="39">
        <f t="shared" si="16"/>
        <v>0</v>
      </c>
      <c r="X34" s="29">
        <f t="shared" si="17"/>
        <v>0</v>
      </c>
      <c r="Y34" s="40">
        <f t="shared" si="18"/>
        <v>365</v>
      </c>
      <c r="Z34" s="38">
        <f t="shared" si="5"/>
        <v>46081</v>
      </c>
      <c r="AA34" s="41">
        <f t="shared" si="19"/>
        <v>264</v>
      </c>
      <c r="AB34" s="24" t="s">
        <v>125</v>
      </c>
      <c r="AC34" s="41">
        <f t="shared" si="20"/>
        <v>9586.9925999999996</v>
      </c>
      <c r="AD34" s="41">
        <v>1</v>
      </c>
      <c r="AE34" s="72">
        <f>IFERROR(INDEX(SA!$C$4:$E$11,MATCH(Details!S34,SA!$C$4:$C$11,0),MATCH(Details!V34,SA!$C$4:$E$4,0)),0)*Y34/(F34-E34+1)</f>
        <v>8124.57</v>
      </c>
      <c r="AF34" s="41">
        <f t="shared" si="21"/>
        <v>0</v>
      </c>
      <c r="AG34" s="41">
        <f t="shared" si="22"/>
        <v>0</v>
      </c>
      <c r="AH34" s="41">
        <f t="shared" si="23"/>
        <v>1462.4225999999999</v>
      </c>
      <c r="AI34" s="60">
        <f t="shared" si="24"/>
        <v>324.9828</v>
      </c>
      <c r="AJ34" s="60">
        <f t="shared" si="25"/>
        <v>1828.0282500000001</v>
      </c>
      <c r="AK34" s="60">
        <f t="shared" si="26"/>
        <v>5876.4013150684932</v>
      </c>
      <c r="AL34" s="60">
        <f t="shared" si="27"/>
        <v>4319.1549665753428</v>
      </c>
      <c r="AM34" s="41">
        <f t="shared" si="28"/>
        <v>1652.4039834246571</v>
      </c>
      <c r="AN34" s="42">
        <f t="shared" si="29"/>
        <v>45715</v>
      </c>
      <c r="AO34" s="43">
        <f t="shared" si="30"/>
        <v>8124.57</v>
      </c>
    </row>
    <row r="35" spans="1:41" s="24" customFormat="1" ht="15.75" customHeight="1" x14ac:dyDescent="0.35">
      <c r="A35" s="36" t="s">
        <v>27</v>
      </c>
      <c r="B35" s="36">
        <v>202506</v>
      </c>
      <c r="C35" s="24" t="s">
        <v>128</v>
      </c>
      <c r="D35" s="24" t="s">
        <v>129</v>
      </c>
      <c r="E35" s="62">
        <v>45818</v>
      </c>
      <c r="F35" s="62">
        <v>46182</v>
      </c>
      <c r="G35" s="37" t="s">
        <v>163</v>
      </c>
      <c r="H35" s="36">
        <v>1023</v>
      </c>
      <c r="I35" s="63">
        <v>24681</v>
      </c>
      <c r="J35" s="24" t="s">
        <v>811</v>
      </c>
      <c r="K35" s="63">
        <f t="shared" si="14"/>
        <v>45818</v>
      </c>
      <c r="L35" s="55">
        <f t="shared" si="15"/>
        <v>0.04</v>
      </c>
      <c r="M35" s="76">
        <v>0.22500000000000001</v>
      </c>
      <c r="N35" s="62">
        <v>45818</v>
      </c>
      <c r="O35" s="62">
        <v>46182</v>
      </c>
      <c r="P35" s="63"/>
      <c r="Q35" s="63"/>
      <c r="R35" s="82">
        <v>57</v>
      </c>
      <c r="S35" s="63" t="str">
        <f>VLOOKUP(R35,SA!$B$5:$C$11,2,1)</f>
        <v>56-65</v>
      </c>
      <c r="T35" s="38" t="s">
        <v>96</v>
      </c>
      <c r="U35" s="24" t="s">
        <v>56</v>
      </c>
      <c r="V35" s="24">
        <v>300000</v>
      </c>
      <c r="W35" s="39">
        <f t="shared" si="16"/>
        <v>300000</v>
      </c>
      <c r="X35" s="29">
        <f t="shared" si="17"/>
        <v>1</v>
      </c>
      <c r="Y35" s="40">
        <f t="shared" si="18"/>
        <v>365</v>
      </c>
      <c r="Z35" s="38">
        <f t="shared" si="5"/>
        <v>46081</v>
      </c>
      <c r="AA35" s="41">
        <f t="shared" si="19"/>
        <v>264</v>
      </c>
      <c r="AB35" s="24" t="s">
        <v>125</v>
      </c>
      <c r="AC35" s="41">
        <f t="shared" si="20"/>
        <v>16811.448199999999</v>
      </c>
      <c r="AD35" s="41">
        <v>1</v>
      </c>
      <c r="AE35" s="72">
        <f>IFERROR(INDEX(SA!$C$4:$E$11,MATCH(Details!S35,SA!$C$4:$C$11,0),MATCH(Details!V35,SA!$C$4:$E$4,0)),0)*Y35/(F35-E35+1)</f>
        <v>14246.99</v>
      </c>
      <c r="AF35" s="41">
        <f t="shared" si="21"/>
        <v>0</v>
      </c>
      <c r="AG35" s="41">
        <f t="shared" si="22"/>
        <v>0</v>
      </c>
      <c r="AH35" s="41">
        <f t="shared" si="23"/>
        <v>2564.4582</v>
      </c>
      <c r="AI35" s="60">
        <f t="shared" si="24"/>
        <v>569.87959999999998</v>
      </c>
      <c r="AJ35" s="60">
        <f t="shared" si="25"/>
        <v>3205.5727499999998</v>
      </c>
      <c r="AK35" s="60">
        <f t="shared" si="26"/>
        <v>10304.672219178083</v>
      </c>
      <c r="AL35" s="60">
        <f t="shared" si="27"/>
        <v>7573.9340810958911</v>
      </c>
      <c r="AM35" s="41">
        <f t="shared" si="28"/>
        <v>2897.6035689041087</v>
      </c>
      <c r="AN35" s="42">
        <f t="shared" si="29"/>
        <v>45715</v>
      </c>
      <c r="AO35" s="43">
        <f t="shared" si="30"/>
        <v>14246.99</v>
      </c>
    </row>
    <row r="36" spans="1:41" s="24" customFormat="1" ht="15.75" customHeight="1" x14ac:dyDescent="0.35">
      <c r="A36" s="36" t="s">
        <v>27</v>
      </c>
      <c r="B36" s="36">
        <v>202506</v>
      </c>
      <c r="C36" s="24" t="s">
        <v>128</v>
      </c>
      <c r="D36" s="24" t="s">
        <v>129</v>
      </c>
      <c r="E36" s="62">
        <v>45818</v>
      </c>
      <c r="F36" s="62">
        <v>46182</v>
      </c>
      <c r="G36" s="37" t="s">
        <v>164</v>
      </c>
      <c r="H36" s="36">
        <v>1023</v>
      </c>
      <c r="I36" s="63">
        <v>37415</v>
      </c>
      <c r="J36" s="24" t="s">
        <v>812</v>
      </c>
      <c r="K36" s="63">
        <f t="shared" si="14"/>
        <v>45818</v>
      </c>
      <c r="L36" s="55">
        <f t="shared" si="15"/>
        <v>0.04</v>
      </c>
      <c r="M36" s="76">
        <v>0.22500000000000001</v>
      </c>
      <c r="N36" s="62">
        <v>45818</v>
      </c>
      <c r="O36" s="62">
        <v>46182</v>
      </c>
      <c r="P36" s="63"/>
      <c r="Q36" s="63"/>
      <c r="R36" s="82">
        <v>23</v>
      </c>
      <c r="S36" s="63" t="str">
        <f>VLOOKUP(R36,SA!$B$5:$C$11,2,1)</f>
        <v>0-35</v>
      </c>
      <c r="T36" s="38" t="s">
        <v>97</v>
      </c>
      <c r="U36" s="24" t="s">
        <v>113</v>
      </c>
      <c r="V36" s="24">
        <v>300000</v>
      </c>
      <c r="W36" s="39">
        <f t="shared" si="16"/>
        <v>0</v>
      </c>
      <c r="X36" s="29">
        <f t="shared" si="17"/>
        <v>0</v>
      </c>
      <c r="Y36" s="40">
        <f t="shared" si="18"/>
        <v>365</v>
      </c>
      <c r="Z36" s="38">
        <f t="shared" si="5"/>
        <v>46081</v>
      </c>
      <c r="AA36" s="41">
        <f t="shared" si="19"/>
        <v>264</v>
      </c>
      <c r="AB36" s="24" t="s">
        <v>125</v>
      </c>
      <c r="AC36" s="41">
        <f t="shared" si="20"/>
        <v>3874.2114000000001</v>
      </c>
      <c r="AD36" s="41">
        <v>1</v>
      </c>
      <c r="AE36" s="72">
        <f>IFERROR(INDEX(SA!$C$4:$E$11,MATCH(Details!S36,SA!$C$4:$C$11,0),MATCH(Details!V36,SA!$C$4:$E$4,0)),0)*Y36/(F36-E36+1)</f>
        <v>3283.23</v>
      </c>
      <c r="AF36" s="41">
        <f t="shared" si="21"/>
        <v>0</v>
      </c>
      <c r="AG36" s="41">
        <f t="shared" si="22"/>
        <v>0</v>
      </c>
      <c r="AH36" s="41">
        <f t="shared" si="23"/>
        <v>590.98140000000001</v>
      </c>
      <c r="AI36" s="60">
        <f t="shared" si="24"/>
        <v>131.32920000000001</v>
      </c>
      <c r="AJ36" s="60">
        <f t="shared" si="25"/>
        <v>738.72675000000004</v>
      </c>
      <c r="AK36" s="60">
        <f t="shared" si="26"/>
        <v>2374.7197808219175</v>
      </c>
      <c r="AL36" s="60">
        <f t="shared" si="27"/>
        <v>1745.4190389041094</v>
      </c>
      <c r="AM36" s="41">
        <f t="shared" si="28"/>
        <v>667.7550110958905</v>
      </c>
      <c r="AN36" s="42">
        <f t="shared" si="29"/>
        <v>45715</v>
      </c>
      <c r="AO36" s="43">
        <f t="shared" si="30"/>
        <v>3283.23</v>
      </c>
    </row>
    <row r="37" spans="1:41" s="24" customFormat="1" ht="15.75" customHeight="1" x14ac:dyDescent="0.35">
      <c r="A37" s="36" t="s">
        <v>27</v>
      </c>
      <c r="B37" s="36">
        <v>202506</v>
      </c>
      <c r="C37" s="24" t="s">
        <v>128</v>
      </c>
      <c r="D37" s="24" t="s">
        <v>129</v>
      </c>
      <c r="E37" s="62">
        <v>45818</v>
      </c>
      <c r="F37" s="62">
        <v>46182</v>
      </c>
      <c r="G37" s="37" t="s">
        <v>165</v>
      </c>
      <c r="H37" s="36">
        <v>1023</v>
      </c>
      <c r="I37" s="63">
        <v>25996</v>
      </c>
      <c r="J37" s="24" t="s">
        <v>813</v>
      </c>
      <c r="K37" s="63">
        <f t="shared" si="14"/>
        <v>45818</v>
      </c>
      <c r="L37" s="55">
        <f t="shared" si="15"/>
        <v>0.04</v>
      </c>
      <c r="M37" s="76">
        <v>0.22500000000000001</v>
      </c>
      <c r="N37" s="62">
        <v>45818</v>
      </c>
      <c r="O37" s="62">
        <v>46182</v>
      </c>
      <c r="P37" s="63"/>
      <c r="Q37" s="63"/>
      <c r="R37" s="82">
        <v>54</v>
      </c>
      <c r="S37" s="63" t="str">
        <f>VLOOKUP(R37,SA!$B$5:$C$11,2,1)</f>
        <v>46-55</v>
      </c>
      <c r="T37" s="38" t="s">
        <v>97</v>
      </c>
      <c r="U37" s="24" t="s">
        <v>115</v>
      </c>
      <c r="V37" s="24">
        <v>300000</v>
      </c>
      <c r="W37" s="39">
        <f t="shared" si="16"/>
        <v>0</v>
      </c>
      <c r="X37" s="29">
        <f t="shared" si="17"/>
        <v>0</v>
      </c>
      <c r="Y37" s="40">
        <f t="shared" si="18"/>
        <v>365</v>
      </c>
      <c r="Z37" s="38">
        <f t="shared" si="5"/>
        <v>46081</v>
      </c>
      <c r="AA37" s="41">
        <f t="shared" si="19"/>
        <v>264</v>
      </c>
      <c r="AB37" s="24" t="s">
        <v>125</v>
      </c>
      <c r="AC37" s="41">
        <f t="shared" si="20"/>
        <v>9586.9925999999996</v>
      </c>
      <c r="AD37" s="41">
        <v>1</v>
      </c>
      <c r="AE37" s="72">
        <f>IFERROR(INDEX(SA!$C$4:$E$11,MATCH(Details!S37,SA!$C$4:$C$11,0),MATCH(Details!V37,SA!$C$4:$E$4,0)),0)*Y37/(F37-E37+1)</f>
        <v>8124.57</v>
      </c>
      <c r="AF37" s="41">
        <f t="shared" si="21"/>
        <v>0</v>
      </c>
      <c r="AG37" s="41">
        <f t="shared" si="22"/>
        <v>0</v>
      </c>
      <c r="AH37" s="41">
        <f t="shared" si="23"/>
        <v>1462.4225999999999</v>
      </c>
      <c r="AI37" s="60">
        <f t="shared" si="24"/>
        <v>324.9828</v>
      </c>
      <c r="AJ37" s="60">
        <f t="shared" si="25"/>
        <v>1828.0282500000001</v>
      </c>
      <c r="AK37" s="60">
        <f t="shared" si="26"/>
        <v>5876.4013150684932</v>
      </c>
      <c r="AL37" s="60">
        <f t="shared" si="27"/>
        <v>4319.1549665753428</v>
      </c>
      <c r="AM37" s="41">
        <f t="shared" si="28"/>
        <v>1652.4039834246571</v>
      </c>
      <c r="AN37" s="42">
        <f t="shared" si="29"/>
        <v>45715</v>
      </c>
      <c r="AO37" s="43">
        <f t="shared" si="30"/>
        <v>8124.57</v>
      </c>
    </row>
    <row r="38" spans="1:41" s="24" customFormat="1" ht="15.75" customHeight="1" x14ac:dyDescent="0.35">
      <c r="A38" s="36" t="s">
        <v>27</v>
      </c>
      <c r="B38" s="36">
        <v>202506</v>
      </c>
      <c r="C38" s="24" t="s">
        <v>128</v>
      </c>
      <c r="D38" s="24" t="s">
        <v>129</v>
      </c>
      <c r="E38" s="62">
        <v>45818</v>
      </c>
      <c r="F38" s="62">
        <v>46182</v>
      </c>
      <c r="G38" s="37" t="s">
        <v>166</v>
      </c>
      <c r="H38" s="36">
        <v>1024</v>
      </c>
      <c r="I38" s="63">
        <v>26061</v>
      </c>
      <c r="J38" s="24" t="s">
        <v>814</v>
      </c>
      <c r="K38" s="63">
        <f t="shared" si="14"/>
        <v>45818</v>
      </c>
      <c r="L38" s="55">
        <f t="shared" si="15"/>
        <v>0.04</v>
      </c>
      <c r="M38" s="76">
        <v>0.22500000000000001</v>
      </c>
      <c r="N38" s="62">
        <v>45818</v>
      </c>
      <c r="O38" s="62">
        <v>46182</v>
      </c>
      <c r="P38" s="63"/>
      <c r="Q38" s="63"/>
      <c r="R38" s="82">
        <v>54</v>
      </c>
      <c r="S38" s="63" t="str">
        <f>VLOOKUP(R38,SA!$B$5:$C$11,2,1)</f>
        <v>46-55</v>
      </c>
      <c r="T38" s="38" t="s">
        <v>96</v>
      </c>
      <c r="U38" s="24" t="s">
        <v>56</v>
      </c>
      <c r="V38" s="24">
        <v>300000</v>
      </c>
      <c r="W38" s="39">
        <f t="shared" si="16"/>
        <v>300000</v>
      </c>
      <c r="X38" s="29">
        <f t="shared" si="17"/>
        <v>1</v>
      </c>
      <c r="Y38" s="40">
        <f t="shared" si="18"/>
        <v>365</v>
      </c>
      <c r="Z38" s="38">
        <f t="shared" si="5"/>
        <v>46081</v>
      </c>
      <c r="AA38" s="41">
        <f t="shared" si="19"/>
        <v>264</v>
      </c>
      <c r="AB38" s="24" t="s">
        <v>125</v>
      </c>
      <c r="AC38" s="41">
        <f t="shared" si="20"/>
        <v>9586.9925999999996</v>
      </c>
      <c r="AD38" s="41">
        <v>1</v>
      </c>
      <c r="AE38" s="72">
        <f>IFERROR(INDEX(SA!$C$4:$E$11,MATCH(Details!S38,SA!$C$4:$C$11,0),MATCH(Details!V38,SA!$C$4:$E$4,0)),0)*Y38/(F38-E38+1)</f>
        <v>8124.57</v>
      </c>
      <c r="AF38" s="41">
        <f t="shared" si="21"/>
        <v>0</v>
      </c>
      <c r="AG38" s="41">
        <f t="shared" si="22"/>
        <v>0</v>
      </c>
      <c r="AH38" s="41">
        <f t="shared" si="23"/>
        <v>1462.4225999999999</v>
      </c>
      <c r="AI38" s="60">
        <f t="shared" si="24"/>
        <v>324.9828</v>
      </c>
      <c r="AJ38" s="60">
        <f t="shared" si="25"/>
        <v>1828.0282500000001</v>
      </c>
      <c r="AK38" s="60">
        <f t="shared" si="26"/>
        <v>5876.4013150684932</v>
      </c>
      <c r="AL38" s="60">
        <f t="shared" si="27"/>
        <v>4319.1549665753428</v>
      </c>
      <c r="AM38" s="41">
        <f t="shared" si="28"/>
        <v>1652.4039834246571</v>
      </c>
      <c r="AN38" s="42">
        <f t="shared" si="29"/>
        <v>45715</v>
      </c>
      <c r="AO38" s="43">
        <f t="shared" si="30"/>
        <v>8124.57</v>
      </c>
    </row>
    <row r="39" spans="1:41" s="24" customFormat="1" ht="15.75" customHeight="1" x14ac:dyDescent="0.35">
      <c r="A39" s="36" t="s">
        <v>27</v>
      </c>
      <c r="B39" s="36">
        <v>202506</v>
      </c>
      <c r="C39" s="24" t="s">
        <v>128</v>
      </c>
      <c r="D39" s="24" t="s">
        <v>129</v>
      </c>
      <c r="E39" s="62">
        <v>45818</v>
      </c>
      <c r="F39" s="62">
        <v>46182</v>
      </c>
      <c r="G39" s="37" t="s">
        <v>167</v>
      </c>
      <c r="H39" s="36">
        <v>1024</v>
      </c>
      <c r="I39" s="63">
        <v>28126</v>
      </c>
      <c r="J39" s="24" t="s">
        <v>815</v>
      </c>
      <c r="K39" s="63">
        <f t="shared" si="14"/>
        <v>45818</v>
      </c>
      <c r="L39" s="55">
        <f t="shared" si="15"/>
        <v>0.04</v>
      </c>
      <c r="M39" s="76">
        <v>0.22500000000000001</v>
      </c>
      <c r="N39" s="62">
        <v>45818</v>
      </c>
      <c r="O39" s="62">
        <v>46182</v>
      </c>
      <c r="P39" s="63"/>
      <c r="Q39" s="63"/>
      <c r="R39" s="82">
        <v>48</v>
      </c>
      <c r="S39" s="63" t="str">
        <f>VLOOKUP(R39,SA!$B$5:$C$11,2,1)</f>
        <v>46-55</v>
      </c>
      <c r="T39" s="38" t="s">
        <v>97</v>
      </c>
      <c r="U39" s="24" t="s">
        <v>115</v>
      </c>
      <c r="V39" s="24">
        <v>300000</v>
      </c>
      <c r="W39" s="39">
        <f t="shared" si="16"/>
        <v>0</v>
      </c>
      <c r="X39" s="29">
        <f t="shared" si="17"/>
        <v>0</v>
      </c>
      <c r="Y39" s="40">
        <f t="shared" si="18"/>
        <v>365</v>
      </c>
      <c r="Z39" s="38">
        <f t="shared" si="5"/>
        <v>46081</v>
      </c>
      <c r="AA39" s="41">
        <f t="shared" si="19"/>
        <v>264</v>
      </c>
      <c r="AB39" s="24" t="s">
        <v>125</v>
      </c>
      <c r="AC39" s="41">
        <f t="shared" si="20"/>
        <v>9586.9925999999996</v>
      </c>
      <c r="AD39" s="41">
        <v>1</v>
      </c>
      <c r="AE39" s="72">
        <f>IFERROR(INDEX(SA!$C$4:$E$11,MATCH(Details!S39,SA!$C$4:$C$11,0),MATCH(Details!V39,SA!$C$4:$E$4,0)),0)*Y39/(F39-E39+1)</f>
        <v>8124.57</v>
      </c>
      <c r="AF39" s="41">
        <f t="shared" si="21"/>
        <v>0</v>
      </c>
      <c r="AG39" s="41">
        <f t="shared" si="22"/>
        <v>0</v>
      </c>
      <c r="AH39" s="41">
        <f t="shared" si="23"/>
        <v>1462.4225999999999</v>
      </c>
      <c r="AI39" s="60">
        <f t="shared" si="24"/>
        <v>324.9828</v>
      </c>
      <c r="AJ39" s="60">
        <f t="shared" si="25"/>
        <v>1828.0282500000001</v>
      </c>
      <c r="AK39" s="60">
        <f t="shared" si="26"/>
        <v>5876.4013150684932</v>
      </c>
      <c r="AL39" s="60">
        <f t="shared" si="27"/>
        <v>4319.1549665753428</v>
      </c>
      <c r="AM39" s="41">
        <f t="shared" si="28"/>
        <v>1652.4039834246571</v>
      </c>
      <c r="AN39" s="42">
        <f t="shared" si="29"/>
        <v>45715</v>
      </c>
      <c r="AO39" s="43">
        <f t="shared" si="30"/>
        <v>8124.57</v>
      </c>
    </row>
    <row r="40" spans="1:41" s="24" customFormat="1" ht="15.75" customHeight="1" x14ac:dyDescent="0.35">
      <c r="A40" s="36" t="s">
        <v>27</v>
      </c>
      <c r="B40" s="36">
        <v>202506</v>
      </c>
      <c r="C40" s="24" t="s">
        <v>128</v>
      </c>
      <c r="D40" s="24" t="s">
        <v>129</v>
      </c>
      <c r="E40" s="62">
        <v>45818</v>
      </c>
      <c r="F40" s="62">
        <v>46182</v>
      </c>
      <c r="G40" s="37" t="s">
        <v>168</v>
      </c>
      <c r="H40" s="36">
        <v>1024</v>
      </c>
      <c r="I40" s="63">
        <v>38152</v>
      </c>
      <c r="J40" s="24" t="s">
        <v>816</v>
      </c>
      <c r="K40" s="63">
        <f t="shared" si="14"/>
        <v>45818</v>
      </c>
      <c r="L40" s="55">
        <f t="shared" si="15"/>
        <v>0.04</v>
      </c>
      <c r="M40" s="76">
        <v>0.22500000000000001</v>
      </c>
      <c r="N40" s="62">
        <v>45818</v>
      </c>
      <c r="O40" s="62">
        <v>46182</v>
      </c>
      <c r="P40" s="63"/>
      <c r="Q40" s="63"/>
      <c r="R40" s="82">
        <v>20</v>
      </c>
      <c r="S40" s="63" t="str">
        <f>VLOOKUP(R40,SA!$B$5:$C$11,2,1)</f>
        <v>0-35</v>
      </c>
      <c r="T40" s="38" t="s">
        <v>97</v>
      </c>
      <c r="U40" s="24" t="s">
        <v>113</v>
      </c>
      <c r="V40" s="24">
        <v>300000</v>
      </c>
      <c r="W40" s="39">
        <f t="shared" si="16"/>
        <v>0</v>
      </c>
      <c r="X40" s="29">
        <f t="shared" si="17"/>
        <v>0</v>
      </c>
      <c r="Y40" s="40">
        <f t="shared" si="18"/>
        <v>365</v>
      </c>
      <c r="Z40" s="38">
        <f t="shared" si="5"/>
        <v>46081</v>
      </c>
      <c r="AA40" s="41">
        <f t="shared" si="19"/>
        <v>264</v>
      </c>
      <c r="AB40" s="24" t="s">
        <v>125</v>
      </c>
      <c r="AC40" s="41">
        <f t="shared" si="20"/>
        <v>3874.2114000000001</v>
      </c>
      <c r="AD40" s="41">
        <v>1</v>
      </c>
      <c r="AE40" s="72">
        <f>IFERROR(INDEX(SA!$C$4:$E$11,MATCH(Details!S40,SA!$C$4:$C$11,0),MATCH(Details!V40,SA!$C$4:$E$4,0)),0)*Y40/(F40-E40+1)</f>
        <v>3283.23</v>
      </c>
      <c r="AF40" s="41">
        <f t="shared" si="21"/>
        <v>0</v>
      </c>
      <c r="AG40" s="41">
        <f t="shared" si="22"/>
        <v>0</v>
      </c>
      <c r="AH40" s="41">
        <f t="shared" si="23"/>
        <v>590.98140000000001</v>
      </c>
      <c r="AI40" s="60">
        <f t="shared" si="24"/>
        <v>131.32920000000001</v>
      </c>
      <c r="AJ40" s="60">
        <f t="shared" si="25"/>
        <v>738.72675000000004</v>
      </c>
      <c r="AK40" s="60">
        <f t="shared" si="26"/>
        <v>2374.7197808219175</v>
      </c>
      <c r="AL40" s="60">
        <f t="shared" si="27"/>
        <v>1745.4190389041094</v>
      </c>
      <c r="AM40" s="41">
        <f t="shared" si="28"/>
        <v>667.7550110958905</v>
      </c>
      <c r="AN40" s="42">
        <f t="shared" si="29"/>
        <v>45715</v>
      </c>
      <c r="AO40" s="43">
        <f t="shared" si="30"/>
        <v>3283.23</v>
      </c>
    </row>
    <row r="41" spans="1:41" s="24" customFormat="1" ht="15.75" customHeight="1" x14ac:dyDescent="0.35">
      <c r="A41" s="36" t="s">
        <v>27</v>
      </c>
      <c r="B41" s="36">
        <v>202506</v>
      </c>
      <c r="C41" s="24" t="s">
        <v>128</v>
      </c>
      <c r="D41" s="24" t="s">
        <v>129</v>
      </c>
      <c r="E41" s="62">
        <v>45818</v>
      </c>
      <c r="F41" s="62">
        <v>46182</v>
      </c>
      <c r="G41" s="37" t="s">
        <v>169</v>
      </c>
      <c r="H41" s="36">
        <v>1024</v>
      </c>
      <c r="I41" s="63">
        <v>39989</v>
      </c>
      <c r="J41" s="24" t="s">
        <v>817</v>
      </c>
      <c r="K41" s="63">
        <f t="shared" si="14"/>
        <v>45818</v>
      </c>
      <c r="L41" s="55">
        <f t="shared" si="15"/>
        <v>0.04</v>
      </c>
      <c r="M41" s="76">
        <v>0.22500000000000001</v>
      </c>
      <c r="N41" s="62">
        <v>45818</v>
      </c>
      <c r="O41" s="62">
        <v>46182</v>
      </c>
      <c r="P41" s="63"/>
      <c r="Q41" s="63"/>
      <c r="R41" s="82">
        <v>15</v>
      </c>
      <c r="S41" s="63" t="str">
        <f>VLOOKUP(R41,SA!$B$5:$C$11,2,1)</f>
        <v>0-35</v>
      </c>
      <c r="T41" s="38" t="s">
        <v>96</v>
      </c>
      <c r="U41" s="24" t="s">
        <v>114</v>
      </c>
      <c r="V41" s="24">
        <v>300000</v>
      </c>
      <c r="W41" s="39">
        <f t="shared" si="16"/>
        <v>0</v>
      </c>
      <c r="X41" s="29">
        <f t="shared" si="17"/>
        <v>0</v>
      </c>
      <c r="Y41" s="40">
        <f t="shared" si="18"/>
        <v>365</v>
      </c>
      <c r="Z41" s="38">
        <f t="shared" si="5"/>
        <v>46081</v>
      </c>
      <c r="AA41" s="41">
        <f t="shared" si="19"/>
        <v>264</v>
      </c>
      <c r="AB41" s="24" t="s">
        <v>125</v>
      </c>
      <c r="AC41" s="41">
        <f t="shared" si="20"/>
        <v>3874.2114000000001</v>
      </c>
      <c r="AD41" s="41">
        <v>1</v>
      </c>
      <c r="AE41" s="72">
        <f>IFERROR(INDEX(SA!$C$4:$E$11,MATCH(Details!S41,SA!$C$4:$C$11,0),MATCH(Details!V41,SA!$C$4:$E$4,0)),0)*Y41/(F41-E41+1)</f>
        <v>3283.23</v>
      </c>
      <c r="AF41" s="41">
        <f t="shared" si="21"/>
        <v>0</v>
      </c>
      <c r="AG41" s="41">
        <f t="shared" si="22"/>
        <v>0</v>
      </c>
      <c r="AH41" s="41">
        <f t="shared" si="23"/>
        <v>590.98140000000001</v>
      </c>
      <c r="AI41" s="60">
        <f t="shared" si="24"/>
        <v>131.32920000000001</v>
      </c>
      <c r="AJ41" s="60">
        <f t="shared" si="25"/>
        <v>738.72675000000004</v>
      </c>
      <c r="AK41" s="60">
        <f t="shared" si="26"/>
        <v>2374.7197808219175</v>
      </c>
      <c r="AL41" s="60">
        <f t="shared" si="27"/>
        <v>1745.4190389041094</v>
      </c>
      <c r="AM41" s="41">
        <f t="shared" si="28"/>
        <v>667.7550110958905</v>
      </c>
      <c r="AN41" s="42">
        <f t="shared" si="29"/>
        <v>45715</v>
      </c>
      <c r="AO41" s="43">
        <f t="shared" si="30"/>
        <v>3283.23</v>
      </c>
    </row>
    <row r="42" spans="1:41" s="24" customFormat="1" ht="15.75" customHeight="1" x14ac:dyDescent="0.35">
      <c r="A42" s="36" t="s">
        <v>27</v>
      </c>
      <c r="B42" s="36">
        <v>202506</v>
      </c>
      <c r="C42" s="24" t="s">
        <v>128</v>
      </c>
      <c r="D42" s="24" t="s">
        <v>129</v>
      </c>
      <c r="E42" s="62">
        <v>45818</v>
      </c>
      <c r="F42" s="62">
        <v>46182</v>
      </c>
      <c r="G42" s="37" t="s">
        <v>170</v>
      </c>
      <c r="H42" s="36">
        <v>1026</v>
      </c>
      <c r="I42" s="63">
        <v>29689</v>
      </c>
      <c r="J42" s="24" t="s">
        <v>818</v>
      </c>
      <c r="K42" s="63">
        <f t="shared" si="14"/>
        <v>45818</v>
      </c>
      <c r="L42" s="55">
        <f t="shared" si="15"/>
        <v>0.04</v>
      </c>
      <c r="M42" s="76">
        <v>0.22500000000000001</v>
      </c>
      <c r="N42" s="62">
        <v>45818</v>
      </c>
      <c r="O42" s="62">
        <v>46182</v>
      </c>
      <c r="P42" s="63"/>
      <c r="Q42" s="63"/>
      <c r="R42" s="82">
        <v>44</v>
      </c>
      <c r="S42" s="63" t="str">
        <f>VLOOKUP(R42,SA!$B$5:$C$11,2,1)</f>
        <v>36-45</v>
      </c>
      <c r="T42" s="38" t="s">
        <v>96</v>
      </c>
      <c r="U42" s="24" t="s">
        <v>56</v>
      </c>
      <c r="V42" s="24">
        <v>300000</v>
      </c>
      <c r="W42" s="39">
        <f t="shared" si="16"/>
        <v>300000</v>
      </c>
      <c r="X42" s="29">
        <f t="shared" si="17"/>
        <v>1</v>
      </c>
      <c r="Y42" s="40">
        <f t="shared" si="18"/>
        <v>365</v>
      </c>
      <c r="Z42" s="38">
        <f t="shared" si="5"/>
        <v>46081</v>
      </c>
      <c r="AA42" s="41">
        <f t="shared" si="19"/>
        <v>264</v>
      </c>
      <c r="AB42" s="24" t="s">
        <v>125</v>
      </c>
      <c r="AC42" s="41">
        <f t="shared" si="20"/>
        <v>5017.3245999999999</v>
      </c>
      <c r="AD42" s="41">
        <v>1</v>
      </c>
      <c r="AE42" s="72">
        <f>IFERROR(INDEX(SA!$C$4:$E$11,MATCH(Details!S42,SA!$C$4:$C$11,0),MATCH(Details!V42,SA!$C$4:$E$4,0)),0)*Y42/(F42-E42+1)</f>
        <v>4251.97</v>
      </c>
      <c r="AF42" s="41">
        <f t="shared" si="21"/>
        <v>0</v>
      </c>
      <c r="AG42" s="41">
        <f t="shared" si="22"/>
        <v>0</v>
      </c>
      <c r="AH42" s="41">
        <f t="shared" si="23"/>
        <v>765.3546</v>
      </c>
      <c r="AI42" s="60">
        <f t="shared" si="24"/>
        <v>170.0788</v>
      </c>
      <c r="AJ42" s="60">
        <f t="shared" si="25"/>
        <v>956.69325000000003</v>
      </c>
      <c r="AK42" s="60">
        <f t="shared" si="26"/>
        <v>3075.397479452055</v>
      </c>
      <c r="AL42" s="60">
        <f t="shared" si="27"/>
        <v>2260.4171473972606</v>
      </c>
      <c r="AM42" s="41">
        <f t="shared" si="28"/>
        <v>864.78080260273941</v>
      </c>
      <c r="AN42" s="42">
        <f t="shared" si="29"/>
        <v>45715</v>
      </c>
      <c r="AO42" s="43">
        <f t="shared" si="30"/>
        <v>4251.97</v>
      </c>
    </row>
    <row r="43" spans="1:41" s="24" customFormat="1" ht="15.75" customHeight="1" x14ac:dyDescent="0.35">
      <c r="A43" s="36" t="s">
        <v>27</v>
      </c>
      <c r="B43" s="36">
        <v>202506</v>
      </c>
      <c r="C43" s="24" t="s">
        <v>128</v>
      </c>
      <c r="D43" s="24" t="s">
        <v>129</v>
      </c>
      <c r="E43" s="62">
        <v>45818</v>
      </c>
      <c r="F43" s="62">
        <v>46182</v>
      </c>
      <c r="G43" s="37" t="s">
        <v>171</v>
      </c>
      <c r="H43" s="36">
        <v>1026</v>
      </c>
      <c r="I43" s="63">
        <v>32308</v>
      </c>
      <c r="J43" s="24" t="s">
        <v>819</v>
      </c>
      <c r="K43" s="63">
        <f t="shared" si="14"/>
        <v>45818</v>
      </c>
      <c r="L43" s="55">
        <f t="shared" si="15"/>
        <v>0.04</v>
      </c>
      <c r="M43" s="76">
        <v>0.22500000000000001</v>
      </c>
      <c r="N43" s="62">
        <v>45818</v>
      </c>
      <c r="O43" s="62">
        <v>46182</v>
      </c>
      <c r="P43" s="63"/>
      <c r="Q43" s="63"/>
      <c r="R43" s="82">
        <v>36</v>
      </c>
      <c r="S43" s="63" t="str">
        <f>VLOOKUP(R43,SA!$B$5:$C$11,2,1)</f>
        <v>36-45</v>
      </c>
      <c r="T43" s="38" t="s">
        <v>97</v>
      </c>
      <c r="U43" s="24" t="s">
        <v>115</v>
      </c>
      <c r="V43" s="24">
        <v>300000</v>
      </c>
      <c r="W43" s="39">
        <f t="shared" si="16"/>
        <v>0</v>
      </c>
      <c r="X43" s="29">
        <f t="shared" si="17"/>
        <v>0</v>
      </c>
      <c r="Y43" s="40">
        <f t="shared" si="18"/>
        <v>365</v>
      </c>
      <c r="Z43" s="38">
        <f t="shared" si="5"/>
        <v>46081</v>
      </c>
      <c r="AA43" s="41">
        <f t="shared" si="19"/>
        <v>264</v>
      </c>
      <c r="AB43" s="24" t="s">
        <v>125</v>
      </c>
      <c r="AC43" s="41">
        <f t="shared" si="20"/>
        <v>5017.3245999999999</v>
      </c>
      <c r="AD43" s="41">
        <v>1</v>
      </c>
      <c r="AE43" s="72">
        <f>IFERROR(INDEX(SA!$C$4:$E$11,MATCH(Details!S43,SA!$C$4:$C$11,0),MATCH(Details!V43,SA!$C$4:$E$4,0)),0)*Y43/(F43-E43+1)</f>
        <v>4251.97</v>
      </c>
      <c r="AF43" s="41">
        <f t="shared" si="21"/>
        <v>0</v>
      </c>
      <c r="AG43" s="41">
        <f t="shared" si="22"/>
        <v>0</v>
      </c>
      <c r="AH43" s="41">
        <f t="shared" si="23"/>
        <v>765.3546</v>
      </c>
      <c r="AI43" s="60">
        <f t="shared" si="24"/>
        <v>170.0788</v>
      </c>
      <c r="AJ43" s="60">
        <f t="shared" si="25"/>
        <v>956.69325000000003</v>
      </c>
      <c r="AK43" s="60">
        <f t="shared" si="26"/>
        <v>3075.397479452055</v>
      </c>
      <c r="AL43" s="60">
        <f t="shared" si="27"/>
        <v>2260.4171473972606</v>
      </c>
      <c r="AM43" s="41">
        <f t="shared" si="28"/>
        <v>864.78080260273941</v>
      </c>
      <c r="AN43" s="42">
        <f t="shared" si="29"/>
        <v>45715</v>
      </c>
      <c r="AO43" s="43">
        <f t="shared" si="30"/>
        <v>4251.97</v>
      </c>
    </row>
    <row r="44" spans="1:41" s="24" customFormat="1" ht="15.75" customHeight="1" x14ac:dyDescent="0.35">
      <c r="A44" s="36" t="s">
        <v>27</v>
      </c>
      <c r="B44" s="36">
        <v>202506</v>
      </c>
      <c r="C44" s="24" t="s">
        <v>128</v>
      </c>
      <c r="D44" s="24" t="s">
        <v>129</v>
      </c>
      <c r="E44" s="62">
        <v>45818</v>
      </c>
      <c r="F44" s="62">
        <v>46182</v>
      </c>
      <c r="G44" s="37" t="s">
        <v>172</v>
      </c>
      <c r="H44" s="36">
        <v>1026</v>
      </c>
      <c r="I44" s="63">
        <v>41867</v>
      </c>
      <c r="J44" s="24" t="s">
        <v>820</v>
      </c>
      <c r="K44" s="63">
        <f t="shared" si="14"/>
        <v>45818</v>
      </c>
      <c r="L44" s="55">
        <f t="shared" si="15"/>
        <v>0.04</v>
      </c>
      <c r="M44" s="76">
        <v>0.22500000000000001</v>
      </c>
      <c r="N44" s="62">
        <v>45818</v>
      </c>
      <c r="O44" s="62">
        <v>46182</v>
      </c>
      <c r="P44" s="63"/>
      <c r="Q44" s="63"/>
      <c r="R44" s="82">
        <v>10</v>
      </c>
      <c r="S44" s="63" t="str">
        <f>VLOOKUP(R44,SA!$B$5:$C$11,2,1)</f>
        <v>0-35</v>
      </c>
      <c r="T44" s="38" t="s">
        <v>97</v>
      </c>
      <c r="U44" s="24" t="s">
        <v>113</v>
      </c>
      <c r="V44" s="24">
        <v>300000</v>
      </c>
      <c r="W44" s="39">
        <f t="shared" si="16"/>
        <v>0</v>
      </c>
      <c r="X44" s="29">
        <f t="shared" si="17"/>
        <v>0</v>
      </c>
      <c r="Y44" s="40">
        <f t="shared" si="18"/>
        <v>365</v>
      </c>
      <c r="Z44" s="38">
        <f t="shared" si="5"/>
        <v>46081</v>
      </c>
      <c r="AA44" s="41">
        <f t="shared" si="19"/>
        <v>264</v>
      </c>
      <c r="AB44" s="24" t="s">
        <v>125</v>
      </c>
      <c r="AC44" s="41">
        <f t="shared" si="20"/>
        <v>3874.2114000000001</v>
      </c>
      <c r="AD44" s="41">
        <v>1</v>
      </c>
      <c r="AE44" s="72">
        <f>IFERROR(INDEX(SA!$C$4:$E$11,MATCH(Details!S44,SA!$C$4:$C$11,0),MATCH(Details!V44,SA!$C$4:$E$4,0)),0)*Y44/(F44-E44+1)</f>
        <v>3283.23</v>
      </c>
      <c r="AF44" s="41">
        <f t="shared" si="21"/>
        <v>0</v>
      </c>
      <c r="AG44" s="41">
        <f t="shared" si="22"/>
        <v>0</v>
      </c>
      <c r="AH44" s="41">
        <f t="shared" si="23"/>
        <v>590.98140000000001</v>
      </c>
      <c r="AI44" s="60">
        <f t="shared" si="24"/>
        <v>131.32920000000001</v>
      </c>
      <c r="AJ44" s="60">
        <f t="shared" si="25"/>
        <v>738.72675000000004</v>
      </c>
      <c r="AK44" s="60">
        <f t="shared" si="26"/>
        <v>2374.7197808219175</v>
      </c>
      <c r="AL44" s="60">
        <f t="shared" si="27"/>
        <v>1745.4190389041094</v>
      </c>
      <c r="AM44" s="41">
        <f t="shared" si="28"/>
        <v>667.7550110958905</v>
      </c>
      <c r="AN44" s="42">
        <f t="shared" si="29"/>
        <v>45715</v>
      </c>
      <c r="AO44" s="43">
        <f t="shared" si="30"/>
        <v>3283.23</v>
      </c>
    </row>
    <row r="45" spans="1:41" s="24" customFormat="1" ht="15.75" customHeight="1" x14ac:dyDescent="0.35">
      <c r="A45" s="36" t="s">
        <v>27</v>
      </c>
      <c r="B45" s="36">
        <v>202506</v>
      </c>
      <c r="C45" s="24" t="s">
        <v>128</v>
      </c>
      <c r="D45" s="24" t="s">
        <v>129</v>
      </c>
      <c r="E45" s="62">
        <v>45818</v>
      </c>
      <c r="F45" s="62">
        <v>46182</v>
      </c>
      <c r="G45" s="37" t="s">
        <v>173</v>
      </c>
      <c r="H45" s="36">
        <v>1026</v>
      </c>
      <c r="I45" s="63">
        <v>40147</v>
      </c>
      <c r="J45" s="24" t="s">
        <v>821</v>
      </c>
      <c r="K45" s="63">
        <f t="shared" si="14"/>
        <v>45818</v>
      </c>
      <c r="L45" s="55">
        <f t="shared" si="15"/>
        <v>0.04</v>
      </c>
      <c r="M45" s="76">
        <v>0.22500000000000001</v>
      </c>
      <c r="N45" s="62">
        <v>45818</v>
      </c>
      <c r="O45" s="62">
        <v>46182</v>
      </c>
      <c r="P45" s="63"/>
      <c r="Q45" s="63"/>
      <c r="R45" s="82">
        <v>15</v>
      </c>
      <c r="S45" s="63" t="str">
        <f>VLOOKUP(R45,SA!$B$5:$C$11,2,1)</f>
        <v>0-35</v>
      </c>
      <c r="T45" s="38" t="s">
        <v>96</v>
      </c>
      <c r="U45" s="24" t="s">
        <v>114</v>
      </c>
      <c r="V45" s="24">
        <v>300000</v>
      </c>
      <c r="W45" s="39">
        <f t="shared" si="16"/>
        <v>0</v>
      </c>
      <c r="X45" s="29">
        <f t="shared" si="17"/>
        <v>0</v>
      </c>
      <c r="Y45" s="40">
        <f t="shared" si="18"/>
        <v>365</v>
      </c>
      <c r="Z45" s="38">
        <f t="shared" si="5"/>
        <v>46081</v>
      </c>
      <c r="AA45" s="41">
        <f t="shared" si="19"/>
        <v>264</v>
      </c>
      <c r="AB45" s="24" t="s">
        <v>125</v>
      </c>
      <c r="AC45" s="41">
        <f t="shared" si="20"/>
        <v>3874.2114000000001</v>
      </c>
      <c r="AD45" s="41">
        <v>1</v>
      </c>
      <c r="AE45" s="72">
        <f>IFERROR(INDEX(SA!$C$4:$E$11,MATCH(Details!S45,SA!$C$4:$C$11,0),MATCH(Details!V45,SA!$C$4:$E$4,0)),0)*Y45/(F45-E45+1)</f>
        <v>3283.23</v>
      </c>
      <c r="AF45" s="41">
        <f t="shared" si="21"/>
        <v>0</v>
      </c>
      <c r="AG45" s="41">
        <f t="shared" si="22"/>
        <v>0</v>
      </c>
      <c r="AH45" s="41">
        <f t="shared" si="23"/>
        <v>590.98140000000001</v>
      </c>
      <c r="AI45" s="60">
        <f t="shared" si="24"/>
        <v>131.32920000000001</v>
      </c>
      <c r="AJ45" s="60">
        <f t="shared" si="25"/>
        <v>738.72675000000004</v>
      </c>
      <c r="AK45" s="60">
        <f t="shared" si="26"/>
        <v>2374.7197808219175</v>
      </c>
      <c r="AL45" s="60">
        <f t="shared" si="27"/>
        <v>1745.4190389041094</v>
      </c>
      <c r="AM45" s="41">
        <f t="shared" si="28"/>
        <v>667.7550110958905</v>
      </c>
      <c r="AN45" s="42">
        <f t="shared" si="29"/>
        <v>45715</v>
      </c>
      <c r="AO45" s="43">
        <f t="shared" si="30"/>
        <v>3283.23</v>
      </c>
    </row>
    <row r="46" spans="1:41" s="24" customFormat="1" ht="15.75" customHeight="1" x14ac:dyDescent="0.35">
      <c r="A46" s="36" t="s">
        <v>27</v>
      </c>
      <c r="B46" s="36">
        <v>202506</v>
      </c>
      <c r="C46" s="24" t="s">
        <v>128</v>
      </c>
      <c r="D46" s="24" t="s">
        <v>129</v>
      </c>
      <c r="E46" s="62">
        <v>45818</v>
      </c>
      <c r="F46" s="62">
        <v>46182</v>
      </c>
      <c r="G46" s="37" t="s">
        <v>174</v>
      </c>
      <c r="H46" s="36">
        <v>1027</v>
      </c>
      <c r="I46" s="63">
        <v>26269</v>
      </c>
      <c r="J46" s="24" t="s">
        <v>822</v>
      </c>
      <c r="K46" s="63">
        <f t="shared" si="14"/>
        <v>45818</v>
      </c>
      <c r="L46" s="55">
        <f t="shared" si="15"/>
        <v>0.04</v>
      </c>
      <c r="M46" s="76">
        <v>0.22500000000000001</v>
      </c>
      <c r="N46" s="62">
        <v>45818</v>
      </c>
      <c r="O46" s="62">
        <v>46182</v>
      </c>
      <c r="P46" s="63"/>
      <c r="Q46" s="63"/>
      <c r="R46" s="82">
        <v>53</v>
      </c>
      <c r="S46" s="63" t="str">
        <f>VLOOKUP(R46,SA!$B$5:$C$11,2,1)</f>
        <v>46-55</v>
      </c>
      <c r="T46" s="38" t="s">
        <v>96</v>
      </c>
      <c r="U46" s="24" t="s">
        <v>56</v>
      </c>
      <c r="V46" s="24">
        <v>300000</v>
      </c>
      <c r="W46" s="39">
        <f t="shared" si="16"/>
        <v>300000</v>
      </c>
      <c r="X46" s="29">
        <f t="shared" si="17"/>
        <v>1</v>
      </c>
      <c r="Y46" s="40">
        <f t="shared" si="18"/>
        <v>365</v>
      </c>
      <c r="Z46" s="38">
        <f t="shared" si="5"/>
        <v>46081</v>
      </c>
      <c r="AA46" s="41">
        <f t="shared" si="19"/>
        <v>264</v>
      </c>
      <c r="AB46" s="24" t="s">
        <v>125</v>
      </c>
      <c r="AC46" s="41">
        <f t="shared" si="20"/>
        <v>9586.9925999999996</v>
      </c>
      <c r="AD46" s="41">
        <v>1</v>
      </c>
      <c r="AE46" s="72">
        <f>IFERROR(INDEX(SA!$C$4:$E$11,MATCH(Details!S46,SA!$C$4:$C$11,0),MATCH(Details!V46,SA!$C$4:$E$4,0)),0)*Y46/(F46-E46+1)</f>
        <v>8124.57</v>
      </c>
      <c r="AF46" s="41">
        <f t="shared" si="21"/>
        <v>0</v>
      </c>
      <c r="AG46" s="41">
        <f t="shared" si="22"/>
        <v>0</v>
      </c>
      <c r="AH46" s="41">
        <f t="shared" si="23"/>
        <v>1462.4225999999999</v>
      </c>
      <c r="AI46" s="60">
        <f t="shared" si="24"/>
        <v>324.9828</v>
      </c>
      <c r="AJ46" s="60">
        <f t="shared" si="25"/>
        <v>1828.0282500000001</v>
      </c>
      <c r="AK46" s="60">
        <f t="shared" si="26"/>
        <v>5876.4013150684932</v>
      </c>
      <c r="AL46" s="60">
        <f t="shared" si="27"/>
        <v>4319.1549665753428</v>
      </c>
      <c r="AM46" s="41">
        <f t="shared" si="28"/>
        <v>1652.4039834246571</v>
      </c>
      <c r="AN46" s="42">
        <f t="shared" si="29"/>
        <v>45715</v>
      </c>
      <c r="AO46" s="43">
        <f t="shared" si="30"/>
        <v>8124.57</v>
      </c>
    </row>
    <row r="47" spans="1:41" s="24" customFormat="1" ht="15.75" customHeight="1" x14ac:dyDescent="0.35">
      <c r="A47" s="36" t="s">
        <v>27</v>
      </c>
      <c r="B47" s="36">
        <v>202506</v>
      </c>
      <c r="C47" s="24" t="s">
        <v>128</v>
      </c>
      <c r="D47" s="24" t="s">
        <v>129</v>
      </c>
      <c r="E47" s="62">
        <v>45818</v>
      </c>
      <c r="F47" s="62">
        <v>46182</v>
      </c>
      <c r="G47" s="37" t="s">
        <v>175</v>
      </c>
      <c r="H47" s="36">
        <v>1027</v>
      </c>
      <c r="I47" s="63">
        <v>27923</v>
      </c>
      <c r="J47" s="24" t="s">
        <v>823</v>
      </c>
      <c r="K47" s="63">
        <f t="shared" si="14"/>
        <v>45818</v>
      </c>
      <c r="L47" s="55">
        <f t="shared" si="15"/>
        <v>0.04</v>
      </c>
      <c r="M47" s="76">
        <v>0.22500000000000001</v>
      </c>
      <c r="N47" s="62">
        <v>45818</v>
      </c>
      <c r="O47" s="62">
        <v>46182</v>
      </c>
      <c r="P47" s="63"/>
      <c r="Q47" s="63"/>
      <c r="R47" s="82">
        <v>48</v>
      </c>
      <c r="S47" s="63" t="str">
        <f>VLOOKUP(R47,SA!$B$5:$C$11,2,1)</f>
        <v>46-55</v>
      </c>
      <c r="T47" s="38" t="s">
        <v>97</v>
      </c>
      <c r="U47" s="24" t="s">
        <v>115</v>
      </c>
      <c r="V47" s="24">
        <v>300000</v>
      </c>
      <c r="W47" s="39">
        <f t="shared" si="16"/>
        <v>0</v>
      </c>
      <c r="X47" s="29">
        <f t="shared" si="17"/>
        <v>0</v>
      </c>
      <c r="Y47" s="40">
        <f t="shared" si="18"/>
        <v>365</v>
      </c>
      <c r="Z47" s="38">
        <f t="shared" si="5"/>
        <v>46081</v>
      </c>
      <c r="AA47" s="41">
        <f t="shared" si="19"/>
        <v>264</v>
      </c>
      <c r="AB47" s="24" t="s">
        <v>125</v>
      </c>
      <c r="AC47" s="41">
        <f t="shared" si="20"/>
        <v>9586.9925999999996</v>
      </c>
      <c r="AD47" s="41">
        <v>1</v>
      </c>
      <c r="AE47" s="72">
        <f>IFERROR(INDEX(SA!$C$4:$E$11,MATCH(Details!S47,SA!$C$4:$C$11,0),MATCH(Details!V47,SA!$C$4:$E$4,0)),0)*Y47/(F47-E47+1)</f>
        <v>8124.57</v>
      </c>
      <c r="AF47" s="41">
        <f t="shared" si="21"/>
        <v>0</v>
      </c>
      <c r="AG47" s="41">
        <f t="shared" si="22"/>
        <v>0</v>
      </c>
      <c r="AH47" s="41">
        <f t="shared" si="23"/>
        <v>1462.4225999999999</v>
      </c>
      <c r="AI47" s="60">
        <f t="shared" si="24"/>
        <v>324.9828</v>
      </c>
      <c r="AJ47" s="60">
        <f t="shared" si="25"/>
        <v>1828.0282500000001</v>
      </c>
      <c r="AK47" s="60">
        <f t="shared" si="26"/>
        <v>5876.4013150684932</v>
      </c>
      <c r="AL47" s="60">
        <f t="shared" si="27"/>
        <v>4319.1549665753428</v>
      </c>
      <c r="AM47" s="41">
        <f t="shared" si="28"/>
        <v>1652.4039834246571</v>
      </c>
      <c r="AN47" s="42">
        <f t="shared" si="29"/>
        <v>45715</v>
      </c>
      <c r="AO47" s="43">
        <f t="shared" si="30"/>
        <v>8124.57</v>
      </c>
    </row>
    <row r="48" spans="1:41" s="24" customFormat="1" ht="15.75" customHeight="1" x14ac:dyDescent="0.35">
      <c r="A48" s="36" t="s">
        <v>27</v>
      </c>
      <c r="B48" s="36">
        <v>202506</v>
      </c>
      <c r="C48" s="24" t="s">
        <v>128</v>
      </c>
      <c r="D48" s="24" t="s">
        <v>129</v>
      </c>
      <c r="E48" s="62">
        <v>45818</v>
      </c>
      <c r="F48" s="62">
        <v>46182</v>
      </c>
      <c r="G48" s="37" t="s">
        <v>176</v>
      </c>
      <c r="H48" s="36">
        <v>1027</v>
      </c>
      <c r="I48" s="63">
        <v>38734</v>
      </c>
      <c r="J48" s="24" t="s">
        <v>824</v>
      </c>
      <c r="K48" s="63">
        <f t="shared" si="14"/>
        <v>45818</v>
      </c>
      <c r="L48" s="55">
        <f t="shared" si="15"/>
        <v>0.04</v>
      </c>
      <c r="M48" s="76">
        <v>0.22500000000000001</v>
      </c>
      <c r="N48" s="62">
        <v>45818</v>
      </c>
      <c r="O48" s="62">
        <v>46182</v>
      </c>
      <c r="P48" s="63"/>
      <c r="Q48" s="63"/>
      <c r="R48" s="82">
        <v>19</v>
      </c>
      <c r="S48" s="63" t="str">
        <f>VLOOKUP(R48,SA!$B$5:$C$11,2,1)</f>
        <v>0-35</v>
      </c>
      <c r="T48" s="38" t="s">
        <v>96</v>
      </c>
      <c r="U48" s="24" t="s">
        <v>114</v>
      </c>
      <c r="V48" s="24">
        <v>300000</v>
      </c>
      <c r="W48" s="39">
        <f t="shared" si="16"/>
        <v>0</v>
      </c>
      <c r="X48" s="29">
        <f t="shared" si="17"/>
        <v>0</v>
      </c>
      <c r="Y48" s="40">
        <f t="shared" si="18"/>
        <v>365</v>
      </c>
      <c r="Z48" s="38">
        <f t="shared" si="5"/>
        <v>46081</v>
      </c>
      <c r="AA48" s="41">
        <f t="shared" si="19"/>
        <v>264</v>
      </c>
      <c r="AB48" s="24" t="s">
        <v>125</v>
      </c>
      <c r="AC48" s="41">
        <f t="shared" si="20"/>
        <v>3874.2114000000001</v>
      </c>
      <c r="AD48" s="41">
        <v>1</v>
      </c>
      <c r="AE48" s="72">
        <f>IFERROR(INDEX(SA!$C$4:$E$11,MATCH(Details!S48,SA!$C$4:$C$11,0),MATCH(Details!V48,SA!$C$4:$E$4,0)),0)*Y48/(F48-E48+1)</f>
        <v>3283.23</v>
      </c>
      <c r="AF48" s="41">
        <f t="shared" si="21"/>
        <v>0</v>
      </c>
      <c r="AG48" s="41">
        <f t="shared" si="22"/>
        <v>0</v>
      </c>
      <c r="AH48" s="41">
        <f t="shared" si="23"/>
        <v>590.98140000000001</v>
      </c>
      <c r="AI48" s="60">
        <f t="shared" si="24"/>
        <v>131.32920000000001</v>
      </c>
      <c r="AJ48" s="60">
        <f t="shared" si="25"/>
        <v>738.72675000000004</v>
      </c>
      <c r="AK48" s="60">
        <f t="shared" si="26"/>
        <v>2374.7197808219175</v>
      </c>
      <c r="AL48" s="60">
        <f t="shared" si="27"/>
        <v>1745.4190389041094</v>
      </c>
      <c r="AM48" s="41">
        <f t="shared" si="28"/>
        <v>667.7550110958905</v>
      </c>
      <c r="AN48" s="42">
        <f t="shared" si="29"/>
        <v>45715</v>
      </c>
      <c r="AO48" s="43">
        <f t="shared" si="30"/>
        <v>3283.23</v>
      </c>
    </row>
    <row r="49" spans="1:41" s="24" customFormat="1" ht="15.75" customHeight="1" x14ac:dyDescent="0.35">
      <c r="A49" s="36" t="s">
        <v>27</v>
      </c>
      <c r="B49" s="36">
        <v>202506</v>
      </c>
      <c r="C49" s="24" t="s">
        <v>128</v>
      </c>
      <c r="D49" s="24" t="s">
        <v>129</v>
      </c>
      <c r="E49" s="62">
        <v>45818</v>
      </c>
      <c r="F49" s="62">
        <v>46182</v>
      </c>
      <c r="G49" s="37" t="s">
        <v>177</v>
      </c>
      <c r="H49" s="36">
        <v>1027</v>
      </c>
      <c r="I49" s="63">
        <v>37773</v>
      </c>
      <c r="J49" s="24" t="s">
        <v>825</v>
      </c>
      <c r="K49" s="63">
        <f t="shared" si="14"/>
        <v>45818</v>
      </c>
      <c r="L49" s="55">
        <f t="shared" si="15"/>
        <v>0.04</v>
      </c>
      <c r="M49" s="76">
        <v>0.22500000000000001</v>
      </c>
      <c r="N49" s="62">
        <v>45818</v>
      </c>
      <c r="O49" s="62">
        <v>46182</v>
      </c>
      <c r="P49" s="63"/>
      <c r="Q49" s="63"/>
      <c r="R49" s="82">
        <v>22</v>
      </c>
      <c r="S49" s="63" t="str">
        <f>VLOOKUP(R49,SA!$B$5:$C$11,2,1)</f>
        <v>0-35</v>
      </c>
      <c r="T49" s="38" t="s">
        <v>97</v>
      </c>
      <c r="U49" s="24" t="s">
        <v>113</v>
      </c>
      <c r="V49" s="24">
        <v>300000</v>
      </c>
      <c r="W49" s="39">
        <f t="shared" si="16"/>
        <v>0</v>
      </c>
      <c r="X49" s="29">
        <f t="shared" si="17"/>
        <v>0</v>
      </c>
      <c r="Y49" s="40">
        <f t="shared" si="18"/>
        <v>365</v>
      </c>
      <c r="Z49" s="38">
        <f t="shared" si="5"/>
        <v>46081</v>
      </c>
      <c r="AA49" s="41">
        <f t="shared" si="19"/>
        <v>264</v>
      </c>
      <c r="AB49" s="24" t="s">
        <v>125</v>
      </c>
      <c r="AC49" s="41">
        <f t="shared" si="20"/>
        <v>3874.2114000000001</v>
      </c>
      <c r="AD49" s="41">
        <v>1</v>
      </c>
      <c r="AE49" s="72">
        <f>IFERROR(INDEX(SA!$C$4:$E$11,MATCH(Details!S49,SA!$C$4:$C$11,0),MATCH(Details!V49,SA!$C$4:$E$4,0)),0)*Y49/(F49-E49+1)</f>
        <v>3283.23</v>
      </c>
      <c r="AF49" s="41">
        <f t="shared" si="21"/>
        <v>0</v>
      </c>
      <c r="AG49" s="41">
        <f t="shared" si="22"/>
        <v>0</v>
      </c>
      <c r="AH49" s="41">
        <f t="shared" si="23"/>
        <v>590.98140000000001</v>
      </c>
      <c r="AI49" s="60">
        <f t="shared" si="24"/>
        <v>131.32920000000001</v>
      </c>
      <c r="AJ49" s="60">
        <f t="shared" si="25"/>
        <v>738.72675000000004</v>
      </c>
      <c r="AK49" s="60">
        <f t="shared" si="26"/>
        <v>2374.7197808219175</v>
      </c>
      <c r="AL49" s="60">
        <f t="shared" si="27"/>
        <v>1745.4190389041094</v>
      </c>
      <c r="AM49" s="41">
        <f t="shared" si="28"/>
        <v>667.7550110958905</v>
      </c>
      <c r="AN49" s="42">
        <f t="shared" si="29"/>
        <v>45715</v>
      </c>
      <c r="AO49" s="43">
        <f t="shared" si="30"/>
        <v>3283.23</v>
      </c>
    </row>
    <row r="50" spans="1:41" s="24" customFormat="1" ht="15.75" customHeight="1" x14ac:dyDescent="0.35">
      <c r="A50" s="36" t="s">
        <v>27</v>
      </c>
      <c r="B50" s="36">
        <v>202506</v>
      </c>
      <c r="C50" s="24" t="s">
        <v>128</v>
      </c>
      <c r="D50" s="24" t="s">
        <v>129</v>
      </c>
      <c r="E50" s="62">
        <v>45818</v>
      </c>
      <c r="F50" s="62">
        <v>46182</v>
      </c>
      <c r="G50" s="37" t="s">
        <v>178</v>
      </c>
      <c r="H50" s="36">
        <v>1028</v>
      </c>
      <c r="I50" s="63">
        <v>27304</v>
      </c>
      <c r="J50" s="24" t="s">
        <v>826</v>
      </c>
      <c r="K50" s="63">
        <f t="shared" si="14"/>
        <v>45818</v>
      </c>
      <c r="L50" s="55">
        <f t="shared" si="15"/>
        <v>0.04</v>
      </c>
      <c r="M50" s="76">
        <v>0.22500000000000001</v>
      </c>
      <c r="N50" s="62">
        <v>45818</v>
      </c>
      <c r="O50" s="62">
        <v>46182</v>
      </c>
      <c r="P50" s="63"/>
      <c r="Q50" s="63"/>
      <c r="R50" s="82">
        <v>50</v>
      </c>
      <c r="S50" s="63" t="str">
        <f>VLOOKUP(R50,SA!$B$5:$C$11,2,1)</f>
        <v>46-55</v>
      </c>
      <c r="T50" s="38" t="s">
        <v>96</v>
      </c>
      <c r="U50" s="24" t="s">
        <v>56</v>
      </c>
      <c r="V50" s="24">
        <v>300000</v>
      </c>
      <c r="W50" s="39">
        <f t="shared" si="16"/>
        <v>300000</v>
      </c>
      <c r="X50" s="29">
        <f t="shared" si="17"/>
        <v>1</v>
      </c>
      <c r="Y50" s="40">
        <f t="shared" si="18"/>
        <v>365</v>
      </c>
      <c r="Z50" s="38">
        <f t="shared" si="5"/>
        <v>46081</v>
      </c>
      <c r="AA50" s="41">
        <f t="shared" si="19"/>
        <v>264</v>
      </c>
      <c r="AB50" s="24" t="s">
        <v>125</v>
      </c>
      <c r="AC50" s="41">
        <f t="shared" si="20"/>
        <v>9586.9925999999996</v>
      </c>
      <c r="AD50" s="41">
        <v>1</v>
      </c>
      <c r="AE50" s="72">
        <f>IFERROR(INDEX(SA!$C$4:$E$11,MATCH(Details!S50,SA!$C$4:$C$11,0),MATCH(Details!V50,SA!$C$4:$E$4,0)),0)*Y50/(F50-E50+1)</f>
        <v>8124.57</v>
      </c>
      <c r="AF50" s="41">
        <f t="shared" si="21"/>
        <v>0</v>
      </c>
      <c r="AG50" s="41">
        <f t="shared" si="22"/>
        <v>0</v>
      </c>
      <c r="AH50" s="41">
        <f t="shared" si="23"/>
        <v>1462.4225999999999</v>
      </c>
      <c r="AI50" s="60">
        <f t="shared" si="24"/>
        <v>324.9828</v>
      </c>
      <c r="AJ50" s="60">
        <f t="shared" si="25"/>
        <v>1828.0282500000001</v>
      </c>
      <c r="AK50" s="60">
        <f t="shared" si="26"/>
        <v>5876.4013150684932</v>
      </c>
      <c r="AL50" s="60">
        <f t="shared" si="27"/>
        <v>4319.1549665753428</v>
      </c>
      <c r="AM50" s="41">
        <f t="shared" si="28"/>
        <v>1652.4039834246571</v>
      </c>
      <c r="AN50" s="42">
        <f t="shared" si="29"/>
        <v>45715</v>
      </c>
      <c r="AO50" s="43">
        <f t="shared" si="30"/>
        <v>8124.57</v>
      </c>
    </row>
    <row r="51" spans="1:41" s="24" customFormat="1" ht="15.75" customHeight="1" x14ac:dyDescent="0.35">
      <c r="A51" s="36" t="s">
        <v>27</v>
      </c>
      <c r="B51" s="36">
        <v>202506</v>
      </c>
      <c r="C51" s="24" t="s">
        <v>128</v>
      </c>
      <c r="D51" s="24" t="s">
        <v>129</v>
      </c>
      <c r="E51" s="62">
        <v>45818</v>
      </c>
      <c r="F51" s="62">
        <v>46182</v>
      </c>
      <c r="G51" s="37" t="s">
        <v>179</v>
      </c>
      <c r="H51" s="36">
        <v>1028</v>
      </c>
      <c r="I51" s="63">
        <v>29741</v>
      </c>
      <c r="J51" s="24" t="s">
        <v>827</v>
      </c>
      <c r="K51" s="63">
        <f t="shared" si="14"/>
        <v>45818</v>
      </c>
      <c r="L51" s="55">
        <f t="shared" si="15"/>
        <v>0.04</v>
      </c>
      <c r="M51" s="76">
        <v>0.22500000000000001</v>
      </c>
      <c r="N51" s="62">
        <v>45818</v>
      </c>
      <c r="O51" s="62">
        <v>46182</v>
      </c>
      <c r="P51" s="63"/>
      <c r="Q51" s="63"/>
      <c r="R51" s="82">
        <v>44</v>
      </c>
      <c r="S51" s="63" t="str">
        <f>VLOOKUP(R51,SA!$B$5:$C$11,2,1)</f>
        <v>36-45</v>
      </c>
      <c r="T51" s="38" t="s">
        <v>97</v>
      </c>
      <c r="U51" s="24" t="s">
        <v>115</v>
      </c>
      <c r="V51" s="24">
        <v>300000</v>
      </c>
      <c r="W51" s="39">
        <f t="shared" si="16"/>
        <v>0</v>
      </c>
      <c r="X51" s="29">
        <f t="shared" si="17"/>
        <v>0</v>
      </c>
      <c r="Y51" s="40">
        <f t="shared" si="18"/>
        <v>365</v>
      </c>
      <c r="Z51" s="38">
        <f t="shared" si="5"/>
        <v>46081</v>
      </c>
      <c r="AA51" s="41">
        <f t="shared" si="19"/>
        <v>264</v>
      </c>
      <c r="AB51" s="24" t="s">
        <v>125</v>
      </c>
      <c r="AC51" s="41">
        <f t="shared" si="20"/>
        <v>5017.3245999999999</v>
      </c>
      <c r="AD51" s="41">
        <v>1</v>
      </c>
      <c r="AE51" s="72">
        <f>IFERROR(INDEX(SA!$C$4:$E$11,MATCH(Details!S51,SA!$C$4:$C$11,0),MATCH(Details!V51,SA!$C$4:$E$4,0)),0)*Y51/(F51-E51+1)</f>
        <v>4251.97</v>
      </c>
      <c r="AF51" s="41">
        <f t="shared" si="21"/>
        <v>0</v>
      </c>
      <c r="AG51" s="41">
        <f t="shared" si="22"/>
        <v>0</v>
      </c>
      <c r="AH51" s="41">
        <f t="shared" si="23"/>
        <v>765.3546</v>
      </c>
      <c r="AI51" s="60">
        <f t="shared" si="24"/>
        <v>170.0788</v>
      </c>
      <c r="AJ51" s="60">
        <f t="shared" si="25"/>
        <v>956.69325000000003</v>
      </c>
      <c r="AK51" s="60">
        <f t="shared" si="26"/>
        <v>3075.397479452055</v>
      </c>
      <c r="AL51" s="60">
        <f t="shared" si="27"/>
        <v>2260.4171473972606</v>
      </c>
      <c r="AM51" s="41">
        <f t="shared" si="28"/>
        <v>864.78080260273941</v>
      </c>
      <c r="AN51" s="42">
        <f t="shared" si="29"/>
        <v>45715</v>
      </c>
      <c r="AO51" s="43">
        <f t="shared" si="30"/>
        <v>4251.97</v>
      </c>
    </row>
    <row r="52" spans="1:41" s="24" customFormat="1" ht="15.75" customHeight="1" x14ac:dyDescent="0.35">
      <c r="A52" s="36" t="s">
        <v>27</v>
      </c>
      <c r="B52" s="36">
        <v>202506</v>
      </c>
      <c r="C52" s="24" t="s">
        <v>128</v>
      </c>
      <c r="D52" s="24" t="s">
        <v>129</v>
      </c>
      <c r="E52" s="62">
        <v>45818</v>
      </c>
      <c r="F52" s="62">
        <v>46182</v>
      </c>
      <c r="G52" s="37" t="s">
        <v>180</v>
      </c>
      <c r="H52" s="36">
        <v>1032</v>
      </c>
      <c r="I52" s="63">
        <v>24658</v>
      </c>
      <c r="J52" s="24" t="s">
        <v>828</v>
      </c>
      <c r="K52" s="63">
        <f t="shared" si="14"/>
        <v>45818</v>
      </c>
      <c r="L52" s="55">
        <f t="shared" si="15"/>
        <v>0.04</v>
      </c>
      <c r="M52" s="76">
        <v>0.22500000000000001</v>
      </c>
      <c r="N52" s="62">
        <v>45818</v>
      </c>
      <c r="O52" s="62">
        <v>46182</v>
      </c>
      <c r="P52" s="63"/>
      <c r="Q52" s="63"/>
      <c r="R52" s="82">
        <v>57</v>
      </c>
      <c r="S52" s="63" t="str">
        <f>VLOOKUP(R52,SA!$B$5:$C$11,2,1)</f>
        <v>56-65</v>
      </c>
      <c r="T52" s="38" t="s">
        <v>96</v>
      </c>
      <c r="U52" s="24" t="s">
        <v>56</v>
      </c>
      <c r="V52" s="24">
        <v>300000</v>
      </c>
      <c r="W52" s="39">
        <f t="shared" si="16"/>
        <v>300000</v>
      </c>
      <c r="X52" s="29">
        <f t="shared" si="17"/>
        <v>1</v>
      </c>
      <c r="Y52" s="40">
        <f t="shared" si="18"/>
        <v>365</v>
      </c>
      <c r="Z52" s="38">
        <f t="shared" si="5"/>
        <v>46081</v>
      </c>
      <c r="AA52" s="41">
        <f t="shared" si="19"/>
        <v>264</v>
      </c>
      <c r="AB52" s="24" t="s">
        <v>125</v>
      </c>
      <c r="AC52" s="41">
        <f t="shared" si="20"/>
        <v>16811.448199999999</v>
      </c>
      <c r="AD52" s="41">
        <v>1</v>
      </c>
      <c r="AE52" s="72">
        <f>IFERROR(INDEX(SA!$C$4:$E$11,MATCH(Details!S52,SA!$C$4:$C$11,0),MATCH(Details!V52,SA!$C$4:$E$4,0)),0)*Y52/(F52-E52+1)</f>
        <v>14246.99</v>
      </c>
      <c r="AF52" s="41">
        <f t="shared" si="21"/>
        <v>0</v>
      </c>
      <c r="AG52" s="41">
        <f t="shared" si="22"/>
        <v>0</v>
      </c>
      <c r="AH52" s="41">
        <f t="shared" si="23"/>
        <v>2564.4582</v>
      </c>
      <c r="AI52" s="60">
        <f t="shared" si="24"/>
        <v>569.87959999999998</v>
      </c>
      <c r="AJ52" s="60">
        <f t="shared" si="25"/>
        <v>3205.5727499999998</v>
      </c>
      <c r="AK52" s="60">
        <f t="shared" si="26"/>
        <v>10304.672219178083</v>
      </c>
      <c r="AL52" s="60">
        <f t="shared" si="27"/>
        <v>7573.9340810958911</v>
      </c>
      <c r="AM52" s="41">
        <f t="shared" si="28"/>
        <v>2897.6035689041087</v>
      </c>
      <c r="AN52" s="42">
        <f t="shared" si="29"/>
        <v>45715</v>
      </c>
      <c r="AO52" s="43">
        <f t="shared" si="30"/>
        <v>14246.99</v>
      </c>
    </row>
    <row r="53" spans="1:41" s="24" customFormat="1" ht="15.75" customHeight="1" x14ac:dyDescent="0.35">
      <c r="A53" s="36" t="s">
        <v>27</v>
      </c>
      <c r="B53" s="36">
        <v>202506</v>
      </c>
      <c r="C53" s="24" t="s">
        <v>128</v>
      </c>
      <c r="D53" s="24" t="s">
        <v>129</v>
      </c>
      <c r="E53" s="62">
        <v>45818</v>
      </c>
      <c r="F53" s="62">
        <v>46182</v>
      </c>
      <c r="G53" s="37" t="s">
        <v>181</v>
      </c>
      <c r="H53" s="36">
        <v>1032</v>
      </c>
      <c r="I53" s="63">
        <v>26120</v>
      </c>
      <c r="J53" s="24" t="s">
        <v>829</v>
      </c>
      <c r="K53" s="63">
        <f t="shared" si="14"/>
        <v>45818</v>
      </c>
      <c r="L53" s="55">
        <f t="shared" si="15"/>
        <v>0.04</v>
      </c>
      <c r="M53" s="76">
        <v>0.22500000000000001</v>
      </c>
      <c r="N53" s="62">
        <v>45818</v>
      </c>
      <c r="O53" s="62">
        <v>46182</v>
      </c>
      <c r="P53" s="63"/>
      <c r="Q53" s="63"/>
      <c r="R53" s="82">
        <v>53</v>
      </c>
      <c r="S53" s="63" t="str">
        <f>VLOOKUP(R53,SA!$B$5:$C$11,2,1)</f>
        <v>46-55</v>
      </c>
      <c r="T53" s="38" t="s">
        <v>97</v>
      </c>
      <c r="U53" s="24" t="s">
        <v>115</v>
      </c>
      <c r="V53" s="24">
        <v>300000</v>
      </c>
      <c r="W53" s="39">
        <f t="shared" si="16"/>
        <v>0</v>
      </c>
      <c r="X53" s="29">
        <f t="shared" si="17"/>
        <v>0</v>
      </c>
      <c r="Y53" s="40">
        <f t="shared" si="18"/>
        <v>365</v>
      </c>
      <c r="Z53" s="38">
        <f t="shared" si="5"/>
        <v>46081</v>
      </c>
      <c r="AA53" s="41">
        <f t="shared" si="19"/>
        <v>264</v>
      </c>
      <c r="AB53" s="24" t="s">
        <v>125</v>
      </c>
      <c r="AC53" s="41">
        <f t="shared" si="20"/>
        <v>9586.9925999999996</v>
      </c>
      <c r="AD53" s="41">
        <v>1</v>
      </c>
      <c r="AE53" s="72">
        <f>IFERROR(INDEX(SA!$C$4:$E$11,MATCH(Details!S53,SA!$C$4:$C$11,0),MATCH(Details!V53,SA!$C$4:$E$4,0)),0)*Y53/(F53-E53+1)</f>
        <v>8124.57</v>
      </c>
      <c r="AF53" s="41">
        <f t="shared" si="21"/>
        <v>0</v>
      </c>
      <c r="AG53" s="41">
        <f t="shared" si="22"/>
        <v>0</v>
      </c>
      <c r="AH53" s="41">
        <f t="shared" si="23"/>
        <v>1462.4225999999999</v>
      </c>
      <c r="AI53" s="60">
        <f t="shared" si="24"/>
        <v>324.9828</v>
      </c>
      <c r="AJ53" s="60">
        <f t="shared" si="25"/>
        <v>1828.0282500000001</v>
      </c>
      <c r="AK53" s="60">
        <f t="shared" si="26"/>
        <v>5876.4013150684932</v>
      </c>
      <c r="AL53" s="60">
        <f t="shared" si="27"/>
        <v>4319.1549665753428</v>
      </c>
      <c r="AM53" s="41">
        <f t="shared" si="28"/>
        <v>1652.4039834246571</v>
      </c>
      <c r="AN53" s="42">
        <f t="shared" si="29"/>
        <v>45715</v>
      </c>
      <c r="AO53" s="43">
        <f t="shared" si="30"/>
        <v>8124.57</v>
      </c>
    </row>
    <row r="54" spans="1:41" s="24" customFormat="1" ht="15.75" customHeight="1" x14ac:dyDescent="0.35">
      <c r="A54" s="36" t="s">
        <v>27</v>
      </c>
      <c r="B54" s="36">
        <v>202506</v>
      </c>
      <c r="C54" s="24" t="s">
        <v>128</v>
      </c>
      <c r="D54" s="24" t="s">
        <v>129</v>
      </c>
      <c r="E54" s="62">
        <v>45818</v>
      </c>
      <c r="F54" s="62">
        <v>46182</v>
      </c>
      <c r="G54" s="37" t="s">
        <v>182</v>
      </c>
      <c r="H54" s="36">
        <v>1033</v>
      </c>
      <c r="I54" s="63">
        <v>29062</v>
      </c>
      <c r="J54" s="24" t="s">
        <v>830</v>
      </c>
      <c r="K54" s="63">
        <f t="shared" si="14"/>
        <v>45818</v>
      </c>
      <c r="L54" s="55">
        <f t="shared" si="15"/>
        <v>0.04</v>
      </c>
      <c r="M54" s="76">
        <v>0.22500000000000001</v>
      </c>
      <c r="N54" s="62">
        <v>45818</v>
      </c>
      <c r="O54" s="62">
        <v>46182</v>
      </c>
      <c r="P54" s="63"/>
      <c r="Q54" s="63"/>
      <c r="R54" s="82">
        <v>45</v>
      </c>
      <c r="S54" s="63" t="str">
        <f>VLOOKUP(R54,SA!$B$5:$C$11,2,1)</f>
        <v>36-45</v>
      </c>
      <c r="T54" s="38" t="s">
        <v>97</v>
      </c>
      <c r="U54" s="24" t="s">
        <v>56</v>
      </c>
      <c r="V54" s="24">
        <v>300000</v>
      </c>
      <c r="W54" s="39">
        <f t="shared" si="16"/>
        <v>300000</v>
      </c>
      <c r="X54" s="29">
        <f t="shared" si="17"/>
        <v>1</v>
      </c>
      <c r="Y54" s="40">
        <f t="shared" si="18"/>
        <v>365</v>
      </c>
      <c r="Z54" s="38">
        <f t="shared" si="5"/>
        <v>46081</v>
      </c>
      <c r="AA54" s="41">
        <f t="shared" si="19"/>
        <v>264</v>
      </c>
      <c r="AB54" s="24" t="s">
        <v>125</v>
      </c>
      <c r="AC54" s="41">
        <f t="shared" si="20"/>
        <v>5017.3245999999999</v>
      </c>
      <c r="AD54" s="41">
        <v>1</v>
      </c>
      <c r="AE54" s="72">
        <f>IFERROR(INDEX(SA!$C$4:$E$11,MATCH(Details!S54,SA!$C$4:$C$11,0),MATCH(Details!V54,SA!$C$4:$E$4,0)),0)*Y54/(F54-E54+1)</f>
        <v>4251.97</v>
      </c>
      <c r="AF54" s="41">
        <f t="shared" si="21"/>
        <v>0</v>
      </c>
      <c r="AG54" s="41">
        <f t="shared" si="22"/>
        <v>0</v>
      </c>
      <c r="AH54" s="41">
        <f t="shared" si="23"/>
        <v>765.3546</v>
      </c>
      <c r="AI54" s="60">
        <f t="shared" si="24"/>
        <v>170.0788</v>
      </c>
      <c r="AJ54" s="60">
        <f t="shared" si="25"/>
        <v>956.69325000000003</v>
      </c>
      <c r="AK54" s="60">
        <f t="shared" si="26"/>
        <v>3075.397479452055</v>
      </c>
      <c r="AL54" s="60">
        <f t="shared" si="27"/>
        <v>2260.4171473972606</v>
      </c>
      <c r="AM54" s="41">
        <f t="shared" si="28"/>
        <v>864.78080260273941</v>
      </c>
      <c r="AN54" s="42">
        <f t="shared" si="29"/>
        <v>45715</v>
      </c>
      <c r="AO54" s="43">
        <f t="shared" si="30"/>
        <v>4251.97</v>
      </c>
    </row>
    <row r="55" spans="1:41" s="24" customFormat="1" ht="15.75" customHeight="1" x14ac:dyDescent="0.35">
      <c r="A55" s="36" t="s">
        <v>27</v>
      </c>
      <c r="B55" s="36">
        <v>202506</v>
      </c>
      <c r="C55" s="24" t="s">
        <v>128</v>
      </c>
      <c r="D55" s="24" t="s">
        <v>129</v>
      </c>
      <c r="E55" s="62">
        <v>45818</v>
      </c>
      <c r="F55" s="62">
        <v>46182</v>
      </c>
      <c r="G55" s="37" t="s">
        <v>183</v>
      </c>
      <c r="H55" s="36">
        <v>1035</v>
      </c>
      <c r="I55" s="63">
        <v>29380</v>
      </c>
      <c r="J55" s="24" t="s">
        <v>831</v>
      </c>
      <c r="K55" s="63">
        <f t="shared" si="14"/>
        <v>45818</v>
      </c>
      <c r="L55" s="55">
        <f t="shared" si="15"/>
        <v>0.04</v>
      </c>
      <c r="M55" s="76">
        <v>0.22500000000000001</v>
      </c>
      <c r="N55" s="62">
        <v>45818</v>
      </c>
      <c r="O55" s="62">
        <v>46182</v>
      </c>
      <c r="P55" s="63"/>
      <c r="Q55" s="63"/>
      <c r="R55" s="82">
        <v>45</v>
      </c>
      <c r="S55" s="63" t="str">
        <f>VLOOKUP(R55,SA!$B$5:$C$11,2,1)</f>
        <v>36-45</v>
      </c>
      <c r="T55" s="38" t="s">
        <v>96</v>
      </c>
      <c r="U55" s="24" t="s">
        <v>56</v>
      </c>
      <c r="V55" s="24">
        <v>300000</v>
      </c>
      <c r="W55" s="39">
        <f t="shared" si="16"/>
        <v>300000</v>
      </c>
      <c r="X55" s="29">
        <f t="shared" si="17"/>
        <v>1</v>
      </c>
      <c r="Y55" s="40">
        <f t="shared" si="18"/>
        <v>365</v>
      </c>
      <c r="Z55" s="38">
        <f t="shared" si="5"/>
        <v>46081</v>
      </c>
      <c r="AA55" s="41">
        <f t="shared" si="19"/>
        <v>264</v>
      </c>
      <c r="AB55" s="24" t="s">
        <v>125</v>
      </c>
      <c r="AC55" s="41">
        <f t="shared" si="20"/>
        <v>5017.3245999999999</v>
      </c>
      <c r="AD55" s="41">
        <v>1</v>
      </c>
      <c r="AE55" s="72">
        <f>IFERROR(INDEX(SA!$C$4:$E$11,MATCH(Details!S55,SA!$C$4:$C$11,0),MATCH(Details!V55,SA!$C$4:$E$4,0)),0)*Y55/(F55-E55+1)</f>
        <v>4251.97</v>
      </c>
      <c r="AF55" s="41">
        <f t="shared" si="21"/>
        <v>0</v>
      </c>
      <c r="AG55" s="41">
        <f t="shared" si="22"/>
        <v>0</v>
      </c>
      <c r="AH55" s="41">
        <f t="shared" si="23"/>
        <v>765.3546</v>
      </c>
      <c r="AI55" s="60">
        <f t="shared" si="24"/>
        <v>170.0788</v>
      </c>
      <c r="AJ55" s="60">
        <f t="shared" si="25"/>
        <v>956.69325000000003</v>
      </c>
      <c r="AK55" s="60">
        <f t="shared" si="26"/>
        <v>3075.397479452055</v>
      </c>
      <c r="AL55" s="60">
        <f t="shared" si="27"/>
        <v>2260.4171473972606</v>
      </c>
      <c r="AM55" s="41">
        <f t="shared" si="28"/>
        <v>864.78080260273941</v>
      </c>
      <c r="AN55" s="42">
        <f t="shared" si="29"/>
        <v>45715</v>
      </c>
      <c r="AO55" s="43">
        <f t="shared" si="30"/>
        <v>4251.97</v>
      </c>
    </row>
    <row r="56" spans="1:41" s="24" customFormat="1" ht="15.75" customHeight="1" x14ac:dyDescent="0.35">
      <c r="A56" s="36" t="s">
        <v>27</v>
      </c>
      <c r="B56" s="36">
        <v>202506</v>
      </c>
      <c r="C56" s="24" t="s">
        <v>128</v>
      </c>
      <c r="D56" s="24" t="s">
        <v>129</v>
      </c>
      <c r="E56" s="62">
        <v>45818</v>
      </c>
      <c r="F56" s="62">
        <v>46182</v>
      </c>
      <c r="G56" s="37" t="s">
        <v>184</v>
      </c>
      <c r="H56" s="36">
        <v>1035</v>
      </c>
      <c r="I56" s="63">
        <v>29561</v>
      </c>
      <c r="J56" s="24" t="s">
        <v>832</v>
      </c>
      <c r="K56" s="63">
        <f t="shared" si="14"/>
        <v>45818</v>
      </c>
      <c r="L56" s="55">
        <f t="shared" si="15"/>
        <v>0.04</v>
      </c>
      <c r="M56" s="76">
        <v>0.22500000000000001</v>
      </c>
      <c r="N56" s="62">
        <v>45818</v>
      </c>
      <c r="O56" s="62">
        <v>46182</v>
      </c>
      <c r="P56" s="63"/>
      <c r="Q56" s="63"/>
      <c r="R56" s="82">
        <v>44</v>
      </c>
      <c r="S56" s="63" t="str">
        <f>VLOOKUP(R56,SA!$B$5:$C$11,2,1)</f>
        <v>36-45</v>
      </c>
      <c r="T56" s="38" t="s">
        <v>97</v>
      </c>
      <c r="U56" s="24" t="s">
        <v>115</v>
      </c>
      <c r="V56" s="24">
        <v>300000</v>
      </c>
      <c r="W56" s="39">
        <f t="shared" si="16"/>
        <v>0</v>
      </c>
      <c r="X56" s="29">
        <f t="shared" si="17"/>
        <v>0</v>
      </c>
      <c r="Y56" s="40">
        <f t="shared" si="18"/>
        <v>365</v>
      </c>
      <c r="Z56" s="38">
        <f t="shared" si="5"/>
        <v>46081</v>
      </c>
      <c r="AA56" s="41">
        <f t="shared" si="19"/>
        <v>264</v>
      </c>
      <c r="AB56" s="24" t="s">
        <v>125</v>
      </c>
      <c r="AC56" s="41">
        <f t="shared" si="20"/>
        <v>5017.3245999999999</v>
      </c>
      <c r="AD56" s="41">
        <v>1</v>
      </c>
      <c r="AE56" s="72">
        <f>IFERROR(INDEX(SA!$C$4:$E$11,MATCH(Details!S56,SA!$C$4:$C$11,0),MATCH(Details!V56,SA!$C$4:$E$4,0)),0)*Y56/(F56-E56+1)</f>
        <v>4251.97</v>
      </c>
      <c r="AF56" s="41">
        <f t="shared" si="21"/>
        <v>0</v>
      </c>
      <c r="AG56" s="41">
        <f t="shared" si="22"/>
        <v>0</v>
      </c>
      <c r="AH56" s="41">
        <f t="shared" si="23"/>
        <v>765.3546</v>
      </c>
      <c r="AI56" s="60">
        <f t="shared" si="24"/>
        <v>170.0788</v>
      </c>
      <c r="AJ56" s="60">
        <f t="shared" si="25"/>
        <v>956.69325000000003</v>
      </c>
      <c r="AK56" s="60">
        <f t="shared" si="26"/>
        <v>3075.397479452055</v>
      </c>
      <c r="AL56" s="60">
        <f t="shared" si="27"/>
        <v>2260.4171473972606</v>
      </c>
      <c r="AM56" s="41">
        <f t="shared" si="28"/>
        <v>864.78080260273941</v>
      </c>
      <c r="AN56" s="42">
        <f t="shared" si="29"/>
        <v>45715</v>
      </c>
      <c r="AO56" s="43">
        <f t="shared" si="30"/>
        <v>4251.97</v>
      </c>
    </row>
    <row r="57" spans="1:41" s="24" customFormat="1" ht="15.75" customHeight="1" x14ac:dyDescent="0.35">
      <c r="A57" s="36" t="s">
        <v>27</v>
      </c>
      <c r="B57" s="36">
        <v>202506</v>
      </c>
      <c r="C57" s="24" t="s">
        <v>128</v>
      </c>
      <c r="D57" s="24" t="s">
        <v>129</v>
      </c>
      <c r="E57" s="62">
        <v>45818</v>
      </c>
      <c r="F57" s="62">
        <v>46182</v>
      </c>
      <c r="G57" s="37" t="s">
        <v>185</v>
      </c>
      <c r="H57" s="36">
        <v>1035</v>
      </c>
      <c r="I57" s="63">
        <v>39881</v>
      </c>
      <c r="J57" s="24" t="s">
        <v>833</v>
      </c>
      <c r="K57" s="63">
        <f t="shared" si="14"/>
        <v>45818</v>
      </c>
      <c r="L57" s="55">
        <f t="shared" si="15"/>
        <v>0.04</v>
      </c>
      <c r="M57" s="76">
        <v>0.22500000000000001</v>
      </c>
      <c r="N57" s="62">
        <v>45818</v>
      </c>
      <c r="O57" s="62">
        <v>46182</v>
      </c>
      <c r="P57" s="63"/>
      <c r="Q57" s="63"/>
      <c r="R57" s="82">
        <v>16</v>
      </c>
      <c r="S57" s="63" t="str">
        <f>VLOOKUP(R57,SA!$B$5:$C$11,2,1)</f>
        <v>0-35</v>
      </c>
      <c r="T57" s="38" t="s">
        <v>96</v>
      </c>
      <c r="U57" s="24" t="s">
        <v>114</v>
      </c>
      <c r="V57" s="24">
        <v>300000</v>
      </c>
      <c r="W57" s="39">
        <f t="shared" si="16"/>
        <v>0</v>
      </c>
      <c r="X57" s="29">
        <f t="shared" si="17"/>
        <v>0</v>
      </c>
      <c r="Y57" s="40">
        <f t="shared" si="18"/>
        <v>365</v>
      </c>
      <c r="Z57" s="38">
        <f t="shared" si="5"/>
        <v>46081</v>
      </c>
      <c r="AA57" s="41">
        <f t="shared" si="19"/>
        <v>264</v>
      </c>
      <c r="AB57" s="24" t="s">
        <v>125</v>
      </c>
      <c r="AC57" s="41">
        <f t="shared" si="20"/>
        <v>3874.2114000000001</v>
      </c>
      <c r="AD57" s="41">
        <v>1</v>
      </c>
      <c r="AE57" s="72">
        <f>IFERROR(INDEX(SA!$C$4:$E$11,MATCH(Details!S57,SA!$C$4:$C$11,0),MATCH(Details!V57,SA!$C$4:$E$4,0)),0)*Y57/(F57-E57+1)</f>
        <v>3283.23</v>
      </c>
      <c r="AF57" s="41">
        <f t="shared" si="21"/>
        <v>0</v>
      </c>
      <c r="AG57" s="41">
        <f t="shared" si="22"/>
        <v>0</v>
      </c>
      <c r="AH57" s="41">
        <f t="shared" si="23"/>
        <v>590.98140000000001</v>
      </c>
      <c r="AI57" s="60">
        <f t="shared" si="24"/>
        <v>131.32920000000001</v>
      </c>
      <c r="AJ57" s="60">
        <f t="shared" si="25"/>
        <v>738.72675000000004</v>
      </c>
      <c r="AK57" s="60">
        <f t="shared" si="26"/>
        <v>2374.7197808219175</v>
      </c>
      <c r="AL57" s="60">
        <f t="shared" si="27"/>
        <v>1745.4190389041094</v>
      </c>
      <c r="AM57" s="41">
        <f t="shared" si="28"/>
        <v>667.7550110958905</v>
      </c>
      <c r="AN57" s="42">
        <f t="shared" si="29"/>
        <v>45715</v>
      </c>
      <c r="AO57" s="43">
        <f t="shared" si="30"/>
        <v>3283.23</v>
      </c>
    </row>
    <row r="58" spans="1:41" s="24" customFormat="1" ht="15.75" customHeight="1" x14ac:dyDescent="0.35">
      <c r="A58" s="36" t="s">
        <v>27</v>
      </c>
      <c r="B58" s="36">
        <v>202506</v>
      </c>
      <c r="C58" s="24" t="s">
        <v>128</v>
      </c>
      <c r="D58" s="24" t="s">
        <v>129</v>
      </c>
      <c r="E58" s="62">
        <v>45818</v>
      </c>
      <c r="F58" s="62">
        <v>46182</v>
      </c>
      <c r="G58" s="37" t="s">
        <v>186</v>
      </c>
      <c r="H58" s="36">
        <v>1036</v>
      </c>
      <c r="I58" s="63">
        <v>24430</v>
      </c>
      <c r="J58" s="24" t="s">
        <v>834</v>
      </c>
      <c r="K58" s="63">
        <f t="shared" si="14"/>
        <v>45818</v>
      </c>
      <c r="L58" s="55">
        <f t="shared" si="15"/>
        <v>0.04</v>
      </c>
      <c r="M58" s="76">
        <v>0.22500000000000001</v>
      </c>
      <c r="N58" s="62">
        <v>45818</v>
      </c>
      <c r="O58" s="62">
        <v>46182</v>
      </c>
      <c r="P58" s="63"/>
      <c r="Q58" s="63"/>
      <c r="R58" s="82">
        <v>58</v>
      </c>
      <c r="S58" s="63" t="str">
        <f>VLOOKUP(R58,SA!$B$5:$C$11,2,1)</f>
        <v>56-65</v>
      </c>
      <c r="T58" s="38" t="s">
        <v>96</v>
      </c>
      <c r="U58" s="24" t="s">
        <v>56</v>
      </c>
      <c r="V58" s="24">
        <v>300000</v>
      </c>
      <c r="W58" s="39">
        <f t="shared" si="16"/>
        <v>300000</v>
      </c>
      <c r="X58" s="29">
        <f t="shared" si="17"/>
        <v>1</v>
      </c>
      <c r="Y58" s="40">
        <f t="shared" si="18"/>
        <v>365</v>
      </c>
      <c r="Z58" s="38">
        <f t="shared" si="5"/>
        <v>46081</v>
      </c>
      <c r="AA58" s="41">
        <f t="shared" si="19"/>
        <v>264</v>
      </c>
      <c r="AB58" s="24" t="s">
        <v>125</v>
      </c>
      <c r="AC58" s="41">
        <f t="shared" si="20"/>
        <v>16811.448199999999</v>
      </c>
      <c r="AD58" s="41">
        <v>1</v>
      </c>
      <c r="AE58" s="72">
        <f>IFERROR(INDEX(SA!$C$4:$E$11,MATCH(Details!S58,SA!$C$4:$C$11,0),MATCH(Details!V58,SA!$C$4:$E$4,0)),0)*Y58/(F58-E58+1)</f>
        <v>14246.99</v>
      </c>
      <c r="AF58" s="41">
        <f t="shared" si="21"/>
        <v>0</v>
      </c>
      <c r="AG58" s="41">
        <f t="shared" si="22"/>
        <v>0</v>
      </c>
      <c r="AH58" s="41">
        <f t="shared" si="23"/>
        <v>2564.4582</v>
      </c>
      <c r="AI58" s="60">
        <f t="shared" si="24"/>
        <v>569.87959999999998</v>
      </c>
      <c r="AJ58" s="60">
        <f t="shared" si="25"/>
        <v>3205.5727499999998</v>
      </c>
      <c r="AK58" s="60">
        <f t="shared" si="26"/>
        <v>10304.672219178083</v>
      </c>
      <c r="AL58" s="60">
        <f t="shared" si="27"/>
        <v>7573.9340810958911</v>
      </c>
      <c r="AM58" s="41">
        <f t="shared" si="28"/>
        <v>2897.6035689041087</v>
      </c>
      <c r="AN58" s="42">
        <f t="shared" si="29"/>
        <v>45715</v>
      </c>
      <c r="AO58" s="43">
        <f t="shared" si="30"/>
        <v>14246.99</v>
      </c>
    </row>
    <row r="59" spans="1:41" s="24" customFormat="1" ht="15.75" customHeight="1" x14ac:dyDescent="0.35">
      <c r="A59" s="36" t="s">
        <v>27</v>
      </c>
      <c r="B59" s="36">
        <v>202506</v>
      </c>
      <c r="C59" s="24" t="s">
        <v>128</v>
      </c>
      <c r="D59" s="24" t="s">
        <v>129</v>
      </c>
      <c r="E59" s="62">
        <v>45818</v>
      </c>
      <c r="F59" s="62">
        <v>46182</v>
      </c>
      <c r="G59" s="37" t="s">
        <v>187</v>
      </c>
      <c r="H59" s="36">
        <v>1036</v>
      </c>
      <c r="I59" s="63">
        <v>36903</v>
      </c>
      <c r="J59" s="24" t="s">
        <v>835</v>
      </c>
      <c r="K59" s="63">
        <f t="shared" si="14"/>
        <v>45818</v>
      </c>
      <c r="L59" s="55">
        <f t="shared" si="15"/>
        <v>0.04</v>
      </c>
      <c r="M59" s="76">
        <v>0.22500000000000001</v>
      </c>
      <c r="N59" s="62">
        <v>45818</v>
      </c>
      <c r="O59" s="62">
        <v>46182</v>
      </c>
      <c r="P59" s="63"/>
      <c r="Q59" s="63"/>
      <c r="R59" s="82">
        <v>24</v>
      </c>
      <c r="S59" s="63" t="str">
        <f>VLOOKUP(R59,SA!$B$5:$C$11,2,1)</f>
        <v>0-35</v>
      </c>
      <c r="T59" s="38" t="s">
        <v>97</v>
      </c>
      <c r="U59" s="24" t="s">
        <v>113</v>
      </c>
      <c r="V59" s="24">
        <v>300000</v>
      </c>
      <c r="W59" s="39">
        <f t="shared" si="16"/>
        <v>0</v>
      </c>
      <c r="X59" s="29">
        <f t="shared" si="17"/>
        <v>0</v>
      </c>
      <c r="Y59" s="40">
        <f t="shared" si="18"/>
        <v>365</v>
      </c>
      <c r="Z59" s="38">
        <f t="shared" si="5"/>
        <v>46081</v>
      </c>
      <c r="AA59" s="41">
        <f t="shared" si="19"/>
        <v>264</v>
      </c>
      <c r="AB59" s="24" t="s">
        <v>125</v>
      </c>
      <c r="AC59" s="41">
        <f t="shared" si="20"/>
        <v>3874.2114000000001</v>
      </c>
      <c r="AD59" s="41">
        <v>1</v>
      </c>
      <c r="AE59" s="72">
        <f>IFERROR(INDEX(SA!$C$4:$E$11,MATCH(Details!S59,SA!$C$4:$C$11,0),MATCH(Details!V59,SA!$C$4:$E$4,0)),0)*Y59/(F59-E59+1)</f>
        <v>3283.23</v>
      </c>
      <c r="AF59" s="41">
        <f t="shared" si="21"/>
        <v>0</v>
      </c>
      <c r="AG59" s="41">
        <f t="shared" si="22"/>
        <v>0</v>
      </c>
      <c r="AH59" s="41">
        <f t="shared" si="23"/>
        <v>590.98140000000001</v>
      </c>
      <c r="AI59" s="60">
        <f t="shared" si="24"/>
        <v>131.32920000000001</v>
      </c>
      <c r="AJ59" s="60">
        <f t="shared" si="25"/>
        <v>738.72675000000004</v>
      </c>
      <c r="AK59" s="60">
        <f t="shared" si="26"/>
        <v>2374.7197808219175</v>
      </c>
      <c r="AL59" s="60">
        <f t="shared" si="27"/>
        <v>1745.4190389041094</v>
      </c>
      <c r="AM59" s="41">
        <f t="shared" si="28"/>
        <v>667.7550110958905</v>
      </c>
      <c r="AN59" s="42">
        <f t="shared" si="29"/>
        <v>45715</v>
      </c>
      <c r="AO59" s="43">
        <f t="shared" si="30"/>
        <v>3283.23</v>
      </c>
    </row>
    <row r="60" spans="1:41" s="24" customFormat="1" ht="15.75" customHeight="1" x14ac:dyDescent="0.35">
      <c r="A60" s="36" t="s">
        <v>27</v>
      </c>
      <c r="B60" s="36">
        <v>202506</v>
      </c>
      <c r="C60" s="24" t="s">
        <v>128</v>
      </c>
      <c r="D60" s="24" t="s">
        <v>129</v>
      </c>
      <c r="E60" s="62">
        <v>45818</v>
      </c>
      <c r="F60" s="62">
        <v>46182</v>
      </c>
      <c r="G60" s="37" t="s">
        <v>188</v>
      </c>
      <c r="H60" s="36">
        <v>1036</v>
      </c>
      <c r="I60" s="63">
        <v>25980</v>
      </c>
      <c r="J60" s="24" t="s">
        <v>836</v>
      </c>
      <c r="K60" s="63">
        <f t="shared" si="14"/>
        <v>45818</v>
      </c>
      <c r="L60" s="55">
        <f t="shared" si="15"/>
        <v>0.04</v>
      </c>
      <c r="M60" s="76">
        <v>0.22500000000000001</v>
      </c>
      <c r="N60" s="62">
        <v>45818</v>
      </c>
      <c r="O60" s="62">
        <v>46182</v>
      </c>
      <c r="P60" s="63"/>
      <c r="Q60" s="63"/>
      <c r="R60" s="82">
        <v>54</v>
      </c>
      <c r="S60" s="63" t="str">
        <f>VLOOKUP(R60,SA!$B$5:$C$11,2,1)</f>
        <v>46-55</v>
      </c>
      <c r="T60" s="38" t="s">
        <v>97</v>
      </c>
      <c r="U60" s="24" t="s">
        <v>115</v>
      </c>
      <c r="V60" s="24">
        <v>300000</v>
      </c>
      <c r="W60" s="39">
        <f t="shared" si="16"/>
        <v>0</v>
      </c>
      <c r="X60" s="29">
        <f t="shared" si="17"/>
        <v>0</v>
      </c>
      <c r="Y60" s="40">
        <f t="shared" si="18"/>
        <v>365</v>
      </c>
      <c r="Z60" s="38">
        <f t="shared" si="5"/>
        <v>46081</v>
      </c>
      <c r="AA60" s="41">
        <f t="shared" si="19"/>
        <v>264</v>
      </c>
      <c r="AB60" s="24" t="s">
        <v>125</v>
      </c>
      <c r="AC60" s="41">
        <f t="shared" si="20"/>
        <v>9586.9925999999996</v>
      </c>
      <c r="AD60" s="41">
        <v>1</v>
      </c>
      <c r="AE60" s="72">
        <f>IFERROR(INDEX(SA!$C$4:$E$11,MATCH(Details!S60,SA!$C$4:$C$11,0),MATCH(Details!V60,SA!$C$4:$E$4,0)),0)*Y60/(F60-E60+1)</f>
        <v>8124.57</v>
      </c>
      <c r="AF60" s="41">
        <f t="shared" si="21"/>
        <v>0</v>
      </c>
      <c r="AG60" s="41">
        <f t="shared" si="22"/>
        <v>0</v>
      </c>
      <c r="AH60" s="41">
        <f t="shared" si="23"/>
        <v>1462.4225999999999</v>
      </c>
      <c r="AI60" s="60">
        <f t="shared" si="24"/>
        <v>324.9828</v>
      </c>
      <c r="AJ60" s="60">
        <f t="shared" si="25"/>
        <v>1828.0282500000001</v>
      </c>
      <c r="AK60" s="60">
        <f t="shared" si="26"/>
        <v>5876.4013150684932</v>
      </c>
      <c r="AL60" s="60">
        <f t="shared" si="27"/>
        <v>4319.1549665753428</v>
      </c>
      <c r="AM60" s="41">
        <f t="shared" si="28"/>
        <v>1652.4039834246571</v>
      </c>
      <c r="AN60" s="42">
        <f t="shared" si="29"/>
        <v>45715</v>
      </c>
      <c r="AO60" s="43">
        <f t="shared" si="30"/>
        <v>8124.57</v>
      </c>
    </row>
    <row r="61" spans="1:41" s="24" customFormat="1" ht="15.75" customHeight="1" x14ac:dyDescent="0.35">
      <c r="A61" s="36" t="s">
        <v>27</v>
      </c>
      <c r="B61" s="36">
        <v>202506</v>
      </c>
      <c r="C61" s="24" t="s">
        <v>128</v>
      </c>
      <c r="D61" s="24" t="s">
        <v>129</v>
      </c>
      <c r="E61" s="62">
        <v>45818</v>
      </c>
      <c r="F61" s="62">
        <v>46182</v>
      </c>
      <c r="G61" s="37" t="s">
        <v>189</v>
      </c>
      <c r="H61" s="36">
        <v>1044</v>
      </c>
      <c r="I61" s="63">
        <v>25385</v>
      </c>
      <c r="J61" s="24" t="s">
        <v>837</v>
      </c>
      <c r="K61" s="63">
        <f t="shared" si="14"/>
        <v>45818</v>
      </c>
      <c r="L61" s="55">
        <f t="shared" si="15"/>
        <v>0.04</v>
      </c>
      <c r="M61" s="76">
        <v>0.22500000000000001</v>
      </c>
      <c r="N61" s="62">
        <v>45818</v>
      </c>
      <c r="O61" s="62">
        <v>46182</v>
      </c>
      <c r="P61" s="63"/>
      <c r="Q61" s="63"/>
      <c r="R61" s="82">
        <v>55</v>
      </c>
      <c r="S61" s="63" t="str">
        <f>VLOOKUP(R61,SA!$B$5:$C$11,2,1)</f>
        <v>46-55</v>
      </c>
      <c r="T61" s="38" t="s">
        <v>96</v>
      </c>
      <c r="U61" s="24" t="s">
        <v>56</v>
      </c>
      <c r="V61" s="24">
        <v>300000</v>
      </c>
      <c r="W61" s="39">
        <f t="shared" si="16"/>
        <v>300000</v>
      </c>
      <c r="X61" s="29">
        <f t="shared" si="17"/>
        <v>1</v>
      </c>
      <c r="Y61" s="40">
        <f t="shared" si="18"/>
        <v>365</v>
      </c>
      <c r="Z61" s="38">
        <f t="shared" si="5"/>
        <v>46081</v>
      </c>
      <c r="AA61" s="41">
        <f t="shared" si="19"/>
        <v>264</v>
      </c>
      <c r="AB61" s="24" t="s">
        <v>125</v>
      </c>
      <c r="AC61" s="41">
        <f t="shared" si="20"/>
        <v>9586.9925999999996</v>
      </c>
      <c r="AD61" s="41">
        <v>1</v>
      </c>
      <c r="AE61" s="72">
        <f>IFERROR(INDEX(SA!$C$4:$E$11,MATCH(Details!S61,SA!$C$4:$C$11,0),MATCH(Details!V61,SA!$C$4:$E$4,0)),0)*Y61/(F61-E61+1)</f>
        <v>8124.57</v>
      </c>
      <c r="AF61" s="41">
        <f t="shared" si="21"/>
        <v>0</v>
      </c>
      <c r="AG61" s="41">
        <f t="shared" si="22"/>
        <v>0</v>
      </c>
      <c r="AH61" s="41">
        <f t="shared" si="23"/>
        <v>1462.4225999999999</v>
      </c>
      <c r="AI61" s="60">
        <f t="shared" si="24"/>
        <v>324.9828</v>
      </c>
      <c r="AJ61" s="60">
        <f t="shared" si="25"/>
        <v>1828.0282500000001</v>
      </c>
      <c r="AK61" s="60">
        <f t="shared" si="26"/>
        <v>5876.4013150684932</v>
      </c>
      <c r="AL61" s="60">
        <f t="shared" si="27"/>
        <v>4319.1549665753428</v>
      </c>
      <c r="AM61" s="41">
        <f t="shared" si="28"/>
        <v>1652.4039834246571</v>
      </c>
      <c r="AN61" s="42">
        <f t="shared" si="29"/>
        <v>45715</v>
      </c>
      <c r="AO61" s="43">
        <f t="shared" si="30"/>
        <v>8124.57</v>
      </c>
    </row>
    <row r="62" spans="1:41" s="24" customFormat="1" ht="15.75" customHeight="1" x14ac:dyDescent="0.35">
      <c r="A62" s="36" t="s">
        <v>27</v>
      </c>
      <c r="B62" s="36">
        <v>202506</v>
      </c>
      <c r="C62" s="24" t="s">
        <v>128</v>
      </c>
      <c r="D62" s="24" t="s">
        <v>129</v>
      </c>
      <c r="E62" s="62">
        <v>45818</v>
      </c>
      <c r="F62" s="62">
        <v>46182</v>
      </c>
      <c r="G62" s="37" t="s">
        <v>190</v>
      </c>
      <c r="H62" s="36">
        <v>1044</v>
      </c>
      <c r="I62" s="63">
        <v>37346</v>
      </c>
      <c r="J62" s="24" t="s">
        <v>838</v>
      </c>
      <c r="K62" s="63">
        <f t="shared" si="14"/>
        <v>45818</v>
      </c>
      <c r="L62" s="55">
        <f t="shared" si="15"/>
        <v>0.04</v>
      </c>
      <c r="M62" s="76">
        <v>0.22500000000000001</v>
      </c>
      <c r="N62" s="62">
        <v>45818</v>
      </c>
      <c r="O62" s="62">
        <v>46182</v>
      </c>
      <c r="P62" s="63"/>
      <c r="Q62" s="63"/>
      <c r="R62" s="82">
        <v>23</v>
      </c>
      <c r="S62" s="63" t="str">
        <f>VLOOKUP(R62,SA!$B$5:$C$11,2,1)</f>
        <v>0-35</v>
      </c>
      <c r="T62" s="38" t="s">
        <v>96</v>
      </c>
      <c r="U62" s="24" t="s">
        <v>114</v>
      </c>
      <c r="V62" s="24">
        <v>300000</v>
      </c>
      <c r="W62" s="39">
        <f t="shared" si="16"/>
        <v>0</v>
      </c>
      <c r="X62" s="29">
        <f t="shared" si="17"/>
        <v>0</v>
      </c>
      <c r="Y62" s="40">
        <f t="shared" si="18"/>
        <v>365</v>
      </c>
      <c r="Z62" s="38">
        <f t="shared" si="5"/>
        <v>46081</v>
      </c>
      <c r="AA62" s="41">
        <f t="shared" si="19"/>
        <v>264</v>
      </c>
      <c r="AB62" s="24" t="s">
        <v>125</v>
      </c>
      <c r="AC62" s="41">
        <f t="shared" si="20"/>
        <v>3874.2114000000001</v>
      </c>
      <c r="AD62" s="41">
        <v>1</v>
      </c>
      <c r="AE62" s="72">
        <f>IFERROR(INDEX(SA!$C$4:$E$11,MATCH(Details!S62,SA!$C$4:$C$11,0),MATCH(Details!V62,SA!$C$4:$E$4,0)),0)*Y62/(F62-E62+1)</f>
        <v>3283.23</v>
      </c>
      <c r="AF62" s="41">
        <f t="shared" si="21"/>
        <v>0</v>
      </c>
      <c r="AG62" s="41">
        <f t="shared" si="22"/>
        <v>0</v>
      </c>
      <c r="AH62" s="41">
        <f t="shared" si="23"/>
        <v>590.98140000000001</v>
      </c>
      <c r="AI62" s="60">
        <f t="shared" si="24"/>
        <v>131.32920000000001</v>
      </c>
      <c r="AJ62" s="60">
        <f t="shared" si="25"/>
        <v>738.72675000000004</v>
      </c>
      <c r="AK62" s="60">
        <f t="shared" si="26"/>
        <v>2374.7197808219175</v>
      </c>
      <c r="AL62" s="60">
        <f t="shared" si="27"/>
        <v>1745.4190389041094</v>
      </c>
      <c r="AM62" s="41">
        <f t="shared" si="28"/>
        <v>667.7550110958905</v>
      </c>
      <c r="AN62" s="42">
        <f t="shared" si="29"/>
        <v>45715</v>
      </c>
      <c r="AO62" s="43">
        <f t="shared" si="30"/>
        <v>3283.23</v>
      </c>
    </row>
    <row r="63" spans="1:41" s="24" customFormat="1" ht="15.75" customHeight="1" x14ac:dyDescent="0.35">
      <c r="A63" s="36" t="s">
        <v>27</v>
      </c>
      <c r="B63" s="36">
        <v>202506</v>
      </c>
      <c r="C63" s="24" t="s">
        <v>128</v>
      </c>
      <c r="D63" s="24" t="s">
        <v>129</v>
      </c>
      <c r="E63" s="62">
        <v>45818</v>
      </c>
      <c r="F63" s="62">
        <v>46182</v>
      </c>
      <c r="G63" s="37" t="s">
        <v>191</v>
      </c>
      <c r="H63" s="36">
        <v>1044</v>
      </c>
      <c r="I63" s="63">
        <v>26796</v>
      </c>
      <c r="J63" s="24" t="s">
        <v>839</v>
      </c>
      <c r="K63" s="63">
        <f t="shared" si="14"/>
        <v>45818</v>
      </c>
      <c r="L63" s="55">
        <f t="shared" si="15"/>
        <v>0.04</v>
      </c>
      <c r="M63" s="76">
        <v>0.22500000000000001</v>
      </c>
      <c r="N63" s="62">
        <v>45818</v>
      </c>
      <c r="O63" s="62">
        <v>46182</v>
      </c>
      <c r="P63" s="63"/>
      <c r="Q63" s="63"/>
      <c r="R63" s="82">
        <v>52</v>
      </c>
      <c r="S63" s="63" t="str">
        <f>VLOOKUP(R63,SA!$B$5:$C$11,2,1)</f>
        <v>46-55</v>
      </c>
      <c r="T63" s="38" t="s">
        <v>97</v>
      </c>
      <c r="U63" s="24" t="s">
        <v>115</v>
      </c>
      <c r="V63" s="24">
        <v>300000</v>
      </c>
      <c r="W63" s="39">
        <f t="shared" si="16"/>
        <v>0</v>
      </c>
      <c r="X63" s="29">
        <f t="shared" si="17"/>
        <v>0</v>
      </c>
      <c r="Y63" s="40">
        <f t="shared" si="18"/>
        <v>365</v>
      </c>
      <c r="Z63" s="38">
        <f t="shared" si="5"/>
        <v>46081</v>
      </c>
      <c r="AA63" s="41">
        <f t="shared" si="19"/>
        <v>264</v>
      </c>
      <c r="AB63" s="24" t="s">
        <v>125</v>
      </c>
      <c r="AC63" s="41">
        <f t="shared" si="20"/>
        <v>9586.9925999999996</v>
      </c>
      <c r="AD63" s="41">
        <v>1</v>
      </c>
      <c r="AE63" s="72">
        <f>IFERROR(INDEX(SA!$C$4:$E$11,MATCH(Details!S63,SA!$C$4:$C$11,0),MATCH(Details!V63,SA!$C$4:$E$4,0)),0)*Y63/(F63-E63+1)</f>
        <v>8124.57</v>
      </c>
      <c r="AF63" s="41">
        <f t="shared" si="21"/>
        <v>0</v>
      </c>
      <c r="AG63" s="41">
        <f t="shared" si="22"/>
        <v>0</v>
      </c>
      <c r="AH63" s="41">
        <f t="shared" si="23"/>
        <v>1462.4225999999999</v>
      </c>
      <c r="AI63" s="60">
        <f t="shared" si="24"/>
        <v>324.9828</v>
      </c>
      <c r="AJ63" s="60">
        <f t="shared" si="25"/>
        <v>1828.0282500000001</v>
      </c>
      <c r="AK63" s="60">
        <f t="shared" si="26"/>
        <v>5876.4013150684932</v>
      </c>
      <c r="AL63" s="60">
        <f t="shared" si="27"/>
        <v>4319.1549665753428</v>
      </c>
      <c r="AM63" s="41">
        <f t="shared" si="28"/>
        <v>1652.4039834246571</v>
      </c>
      <c r="AN63" s="42">
        <f t="shared" si="29"/>
        <v>45715</v>
      </c>
      <c r="AO63" s="43">
        <f t="shared" si="30"/>
        <v>8124.57</v>
      </c>
    </row>
    <row r="64" spans="1:41" s="24" customFormat="1" ht="15.75" customHeight="1" x14ac:dyDescent="0.35">
      <c r="A64" s="36" t="s">
        <v>27</v>
      </c>
      <c r="B64" s="36">
        <v>202506</v>
      </c>
      <c r="C64" s="24" t="s">
        <v>128</v>
      </c>
      <c r="D64" s="24" t="s">
        <v>129</v>
      </c>
      <c r="E64" s="62">
        <v>45818</v>
      </c>
      <c r="F64" s="62">
        <v>46182</v>
      </c>
      <c r="G64" s="37" t="s">
        <v>192</v>
      </c>
      <c r="H64" s="36">
        <v>1047</v>
      </c>
      <c r="I64" s="63">
        <v>22602</v>
      </c>
      <c r="J64" s="24" t="s">
        <v>840</v>
      </c>
      <c r="K64" s="63">
        <f t="shared" si="14"/>
        <v>45818</v>
      </c>
      <c r="L64" s="55">
        <f t="shared" si="15"/>
        <v>0.04</v>
      </c>
      <c r="M64" s="76">
        <v>0.22500000000000001</v>
      </c>
      <c r="N64" s="62">
        <v>45818</v>
      </c>
      <c r="O64" s="62">
        <v>46182</v>
      </c>
      <c r="P64" s="63"/>
      <c r="Q64" s="63"/>
      <c r="R64" s="82">
        <v>63</v>
      </c>
      <c r="S64" s="63" t="str">
        <f>VLOOKUP(R64,SA!$B$5:$C$11,2,1)</f>
        <v>56-65</v>
      </c>
      <c r="T64" s="38" t="s">
        <v>96</v>
      </c>
      <c r="U64" s="24" t="s">
        <v>56</v>
      </c>
      <c r="V64" s="24">
        <v>300000</v>
      </c>
      <c r="W64" s="39">
        <f t="shared" si="16"/>
        <v>300000</v>
      </c>
      <c r="X64" s="29">
        <f t="shared" si="17"/>
        <v>1</v>
      </c>
      <c r="Y64" s="40">
        <f t="shared" si="18"/>
        <v>365</v>
      </c>
      <c r="Z64" s="38">
        <f t="shared" si="5"/>
        <v>46081</v>
      </c>
      <c r="AA64" s="41">
        <f t="shared" si="19"/>
        <v>264</v>
      </c>
      <c r="AB64" s="24" t="s">
        <v>125</v>
      </c>
      <c r="AC64" s="41">
        <f t="shared" si="20"/>
        <v>16811.448199999999</v>
      </c>
      <c r="AD64" s="41">
        <v>1</v>
      </c>
      <c r="AE64" s="72">
        <f>IFERROR(INDEX(SA!$C$4:$E$11,MATCH(Details!S64,SA!$C$4:$C$11,0),MATCH(Details!V64,SA!$C$4:$E$4,0)),0)*Y64/(F64-E64+1)</f>
        <v>14246.99</v>
      </c>
      <c r="AF64" s="41">
        <f t="shared" si="21"/>
        <v>0</v>
      </c>
      <c r="AG64" s="41">
        <f t="shared" si="22"/>
        <v>0</v>
      </c>
      <c r="AH64" s="41">
        <f t="shared" si="23"/>
        <v>2564.4582</v>
      </c>
      <c r="AI64" s="60">
        <f t="shared" si="24"/>
        <v>569.87959999999998</v>
      </c>
      <c r="AJ64" s="60">
        <f t="shared" si="25"/>
        <v>3205.5727499999998</v>
      </c>
      <c r="AK64" s="60">
        <f t="shared" si="26"/>
        <v>10304.672219178083</v>
      </c>
      <c r="AL64" s="60">
        <f t="shared" si="27"/>
        <v>7573.9340810958911</v>
      </c>
      <c r="AM64" s="41">
        <f t="shared" si="28"/>
        <v>2897.6035689041087</v>
      </c>
      <c r="AN64" s="42">
        <f t="shared" si="29"/>
        <v>45715</v>
      </c>
      <c r="AO64" s="43">
        <f t="shared" si="30"/>
        <v>14246.99</v>
      </c>
    </row>
    <row r="65" spans="1:41" s="24" customFormat="1" ht="15.75" customHeight="1" x14ac:dyDescent="0.35">
      <c r="A65" s="36" t="s">
        <v>27</v>
      </c>
      <c r="B65" s="36">
        <v>202506</v>
      </c>
      <c r="C65" s="24" t="s">
        <v>128</v>
      </c>
      <c r="D65" s="24" t="s">
        <v>129</v>
      </c>
      <c r="E65" s="62">
        <v>45818</v>
      </c>
      <c r="F65" s="62">
        <v>46182</v>
      </c>
      <c r="G65" s="37" t="s">
        <v>193</v>
      </c>
      <c r="H65" s="36">
        <v>1047</v>
      </c>
      <c r="I65" s="63">
        <v>27912</v>
      </c>
      <c r="J65" s="24" t="s">
        <v>841</v>
      </c>
      <c r="K65" s="63">
        <f t="shared" si="14"/>
        <v>45818</v>
      </c>
      <c r="L65" s="55">
        <f t="shared" si="15"/>
        <v>0.04</v>
      </c>
      <c r="M65" s="76">
        <v>0.22500000000000001</v>
      </c>
      <c r="N65" s="62">
        <v>45818</v>
      </c>
      <c r="O65" s="62">
        <v>46182</v>
      </c>
      <c r="P65" s="63"/>
      <c r="Q65" s="63"/>
      <c r="R65" s="82">
        <v>49</v>
      </c>
      <c r="S65" s="63" t="str">
        <f>VLOOKUP(R65,SA!$B$5:$C$11,2,1)</f>
        <v>46-55</v>
      </c>
      <c r="T65" s="38" t="s">
        <v>97</v>
      </c>
      <c r="U65" s="24" t="s">
        <v>115</v>
      </c>
      <c r="V65" s="24">
        <v>300000</v>
      </c>
      <c r="W65" s="39">
        <f t="shared" si="16"/>
        <v>0</v>
      </c>
      <c r="X65" s="29">
        <f t="shared" si="17"/>
        <v>0</v>
      </c>
      <c r="Y65" s="40">
        <f t="shared" si="18"/>
        <v>365</v>
      </c>
      <c r="Z65" s="38">
        <f t="shared" si="5"/>
        <v>46081</v>
      </c>
      <c r="AA65" s="41">
        <f t="shared" si="19"/>
        <v>264</v>
      </c>
      <c r="AB65" s="24" t="s">
        <v>125</v>
      </c>
      <c r="AC65" s="41">
        <f t="shared" si="20"/>
        <v>9586.9925999999996</v>
      </c>
      <c r="AD65" s="41">
        <v>1</v>
      </c>
      <c r="AE65" s="72">
        <f>IFERROR(INDEX(SA!$C$4:$E$11,MATCH(Details!S65,SA!$C$4:$C$11,0),MATCH(Details!V65,SA!$C$4:$E$4,0)),0)*Y65/(F65-E65+1)</f>
        <v>8124.57</v>
      </c>
      <c r="AF65" s="41">
        <f t="shared" si="21"/>
        <v>0</v>
      </c>
      <c r="AG65" s="41">
        <f t="shared" si="22"/>
        <v>0</v>
      </c>
      <c r="AH65" s="41">
        <f t="shared" si="23"/>
        <v>1462.4225999999999</v>
      </c>
      <c r="AI65" s="60">
        <f t="shared" si="24"/>
        <v>324.9828</v>
      </c>
      <c r="AJ65" s="60">
        <f t="shared" si="25"/>
        <v>1828.0282500000001</v>
      </c>
      <c r="AK65" s="60">
        <f t="shared" si="26"/>
        <v>5876.4013150684932</v>
      </c>
      <c r="AL65" s="60">
        <f t="shared" si="27"/>
        <v>4319.1549665753428</v>
      </c>
      <c r="AM65" s="41">
        <f t="shared" si="28"/>
        <v>1652.4039834246571</v>
      </c>
      <c r="AN65" s="42">
        <f t="shared" si="29"/>
        <v>45715</v>
      </c>
      <c r="AO65" s="43">
        <f t="shared" si="30"/>
        <v>8124.57</v>
      </c>
    </row>
    <row r="66" spans="1:41" s="24" customFormat="1" ht="15.75" customHeight="1" x14ac:dyDescent="0.35">
      <c r="A66" s="36" t="s">
        <v>27</v>
      </c>
      <c r="B66" s="36">
        <v>202506</v>
      </c>
      <c r="C66" s="24" t="s">
        <v>128</v>
      </c>
      <c r="D66" s="24" t="s">
        <v>129</v>
      </c>
      <c r="E66" s="62">
        <v>45818</v>
      </c>
      <c r="F66" s="62">
        <v>46182</v>
      </c>
      <c r="G66" s="37" t="s">
        <v>194</v>
      </c>
      <c r="H66" s="36">
        <v>1047</v>
      </c>
      <c r="I66" s="63">
        <v>38557</v>
      </c>
      <c r="J66" s="24" t="s">
        <v>842</v>
      </c>
      <c r="K66" s="63">
        <f t="shared" si="14"/>
        <v>45818</v>
      </c>
      <c r="L66" s="55">
        <f t="shared" si="15"/>
        <v>0.04</v>
      </c>
      <c r="M66" s="76">
        <v>0.22500000000000001</v>
      </c>
      <c r="N66" s="62">
        <v>45818</v>
      </c>
      <c r="O66" s="62">
        <v>46182</v>
      </c>
      <c r="P66" s="63"/>
      <c r="Q66" s="63"/>
      <c r="R66" s="82">
        <v>19</v>
      </c>
      <c r="S66" s="63" t="str">
        <f>VLOOKUP(R66,SA!$B$5:$C$11,2,1)</f>
        <v>0-35</v>
      </c>
      <c r="T66" s="38" t="s">
        <v>96</v>
      </c>
      <c r="U66" s="24" t="s">
        <v>114</v>
      </c>
      <c r="V66" s="24">
        <v>300000</v>
      </c>
      <c r="W66" s="39">
        <f t="shared" si="16"/>
        <v>0</v>
      </c>
      <c r="X66" s="29">
        <f t="shared" si="17"/>
        <v>0</v>
      </c>
      <c r="Y66" s="40">
        <f t="shared" si="18"/>
        <v>365</v>
      </c>
      <c r="Z66" s="38">
        <f t="shared" si="5"/>
        <v>46081</v>
      </c>
      <c r="AA66" s="41">
        <f t="shared" si="19"/>
        <v>264</v>
      </c>
      <c r="AB66" s="24" t="s">
        <v>125</v>
      </c>
      <c r="AC66" s="41">
        <f t="shared" si="20"/>
        <v>3874.2114000000001</v>
      </c>
      <c r="AD66" s="41">
        <v>1</v>
      </c>
      <c r="AE66" s="72">
        <f>IFERROR(INDEX(SA!$C$4:$E$11,MATCH(Details!S66,SA!$C$4:$C$11,0),MATCH(Details!V66,SA!$C$4:$E$4,0)),0)*Y66/(F66-E66+1)</f>
        <v>3283.23</v>
      </c>
      <c r="AF66" s="41">
        <f t="shared" si="21"/>
        <v>0</v>
      </c>
      <c r="AG66" s="41">
        <f t="shared" si="22"/>
        <v>0</v>
      </c>
      <c r="AH66" s="41">
        <f t="shared" si="23"/>
        <v>590.98140000000001</v>
      </c>
      <c r="AI66" s="60">
        <f t="shared" si="24"/>
        <v>131.32920000000001</v>
      </c>
      <c r="AJ66" s="60">
        <f t="shared" si="25"/>
        <v>738.72675000000004</v>
      </c>
      <c r="AK66" s="60">
        <f t="shared" si="26"/>
        <v>2374.7197808219175</v>
      </c>
      <c r="AL66" s="60">
        <f t="shared" si="27"/>
        <v>1745.4190389041094</v>
      </c>
      <c r="AM66" s="41">
        <f t="shared" si="28"/>
        <v>667.7550110958905</v>
      </c>
      <c r="AN66" s="42">
        <f t="shared" si="29"/>
        <v>45715</v>
      </c>
      <c r="AO66" s="43">
        <f t="shared" si="30"/>
        <v>3283.23</v>
      </c>
    </row>
    <row r="67" spans="1:41" s="24" customFormat="1" ht="15.75" customHeight="1" x14ac:dyDescent="0.35">
      <c r="A67" s="36" t="s">
        <v>27</v>
      </c>
      <c r="B67" s="36">
        <v>202506</v>
      </c>
      <c r="C67" s="24" t="s">
        <v>128</v>
      </c>
      <c r="D67" s="24" t="s">
        <v>129</v>
      </c>
      <c r="E67" s="62">
        <v>45818</v>
      </c>
      <c r="F67" s="62">
        <v>46182</v>
      </c>
      <c r="G67" s="37" t="s">
        <v>195</v>
      </c>
      <c r="H67" s="36">
        <v>1047</v>
      </c>
      <c r="I67" s="63">
        <v>37038</v>
      </c>
      <c r="J67" s="24" t="s">
        <v>843</v>
      </c>
      <c r="K67" s="63">
        <f t="shared" si="14"/>
        <v>45818</v>
      </c>
      <c r="L67" s="55">
        <f t="shared" si="15"/>
        <v>0.04</v>
      </c>
      <c r="M67" s="76">
        <v>0.22500000000000001</v>
      </c>
      <c r="N67" s="62">
        <v>45818</v>
      </c>
      <c r="O67" s="62">
        <v>46182</v>
      </c>
      <c r="P67" s="63"/>
      <c r="Q67" s="63"/>
      <c r="R67" s="82">
        <v>24</v>
      </c>
      <c r="S67" s="63" t="str">
        <f>VLOOKUP(R67,SA!$B$5:$C$11,2,1)</f>
        <v>0-35</v>
      </c>
      <c r="T67" s="38" t="s">
        <v>96</v>
      </c>
      <c r="U67" s="24" t="s">
        <v>114</v>
      </c>
      <c r="V67" s="24">
        <v>300000</v>
      </c>
      <c r="W67" s="39">
        <f t="shared" si="16"/>
        <v>0</v>
      </c>
      <c r="X67" s="29">
        <f t="shared" si="17"/>
        <v>0</v>
      </c>
      <c r="Y67" s="40">
        <f t="shared" si="18"/>
        <v>365</v>
      </c>
      <c r="Z67" s="38">
        <f t="shared" ref="Z67:Z130" si="31">$Z$1</f>
        <v>46081</v>
      </c>
      <c r="AA67" s="41">
        <f t="shared" si="19"/>
        <v>264</v>
      </c>
      <c r="AB67" s="24" t="s">
        <v>125</v>
      </c>
      <c r="AC67" s="41">
        <f t="shared" si="20"/>
        <v>3874.2114000000001</v>
      </c>
      <c r="AD67" s="41">
        <v>1</v>
      </c>
      <c r="AE67" s="72">
        <f>IFERROR(INDEX(SA!$C$4:$E$11,MATCH(Details!S67,SA!$C$4:$C$11,0),MATCH(Details!V67,SA!$C$4:$E$4,0)),0)*Y67/(F67-E67+1)</f>
        <v>3283.23</v>
      </c>
      <c r="AF67" s="41">
        <f t="shared" si="21"/>
        <v>0</v>
      </c>
      <c r="AG67" s="41">
        <f t="shared" si="22"/>
        <v>0</v>
      </c>
      <c r="AH67" s="41">
        <f t="shared" si="23"/>
        <v>590.98140000000001</v>
      </c>
      <c r="AI67" s="60">
        <f t="shared" si="24"/>
        <v>131.32920000000001</v>
      </c>
      <c r="AJ67" s="60">
        <f t="shared" si="25"/>
        <v>738.72675000000004</v>
      </c>
      <c r="AK67" s="60">
        <f t="shared" si="26"/>
        <v>2374.7197808219175</v>
      </c>
      <c r="AL67" s="60">
        <f t="shared" si="27"/>
        <v>1745.4190389041094</v>
      </c>
      <c r="AM67" s="41">
        <f t="shared" si="28"/>
        <v>667.7550110958905</v>
      </c>
      <c r="AN67" s="42">
        <f t="shared" si="29"/>
        <v>45715</v>
      </c>
      <c r="AO67" s="43">
        <f t="shared" si="30"/>
        <v>3283.23</v>
      </c>
    </row>
    <row r="68" spans="1:41" s="24" customFormat="1" ht="15.75" customHeight="1" x14ac:dyDescent="0.35">
      <c r="A68" s="36" t="s">
        <v>27</v>
      </c>
      <c r="B68" s="36">
        <v>202506</v>
      </c>
      <c r="C68" s="24" t="s">
        <v>128</v>
      </c>
      <c r="D68" s="24" t="s">
        <v>129</v>
      </c>
      <c r="E68" s="62">
        <v>45818</v>
      </c>
      <c r="F68" s="62">
        <v>46182</v>
      </c>
      <c r="G68" s="37" t="s">
        <v>196</v>
      </c>
      <c r="H68" s="36">
        <v>1049</v>
      </c>
      <c r="I68" s="63">
        <v>27454</v>
      </c>
      <c r="J68" s="24" t="s">
        <v>844</v>
      </c>
      <c r="K68" s="63">
        <f t="shared" ref="K68:K131" si="32">N68</f>
        <v>45818</v>
      </c>
      <c r="L68" s="55">
        <f t="shared" ref="L68:L131" si="33">IF(K68&gt;=DATE(2022,4,1),4%,5%)</f>
        <v>0.04</v>
      </c>
      <c r="M68" s="76">
        <v>0.22500000000000001</v>
      </c>
      <c r="N68" s="62">
        <v>45818</v>
      </c>
      <c r="O68" s="62">
        <v>46182</v>
      </c>
      <c r="P68" s="63"/>
      <c r="Q68" s="63"/>
      <c r="R68" s="82">
        <v>50</v>
      </c>
      <c r="S68" s="63" t="str">
        <f>VLOOKUP(R68,SA!$B$5:$C$11,2,1)</f>
        <v>46-55</v>
      </c>
      <c r="T68" s="38" t="s">
        <v>96</v>
      </c>
      <c r="U68" s="24" t="s">
        <v>56</v>
      </c>
      <c r="V68" s="24">
        <v>300000</v>
      </c>
      <c r="W68" s="39">
        <f t="shared" ref="W68:W131" si="34">IF(U68="self",V68,0)</f>
        <v>300000</v>
      </c>
      <c r="X68" s="29">
        <f t="shared" ref="X68:X131" si="35">IF(U68="self",1,0)</f>
        <v>1</v>
      </c>
      <c r="Y68" s="40">
        <f t="shared" ref="Y68:Y131" si="36">O68-N68+1</f>
        <v>365</v>
      </c>
      <c r="Z68" s="38">
        <f t="shared" si="31"/>
        <v>46081</v>
      </c>
      <c r="AA68" s="41">
        <f t="shared" ref="AA68:AA131" si="37">IF(MIN((Z68-N68)+1,Y68)&lt;0,0,MIN((Z68-N68)+1,Y68))</f>
        <v>264</v>
      </c>
      <c r="AB68" s="24" t="s">
        <v>125</v>
      </c>
      <c r="AC68" s="41">
        <f t="shared" ref="AC68:AC131" si="38">AE68+AF68+AG68+AH68</f>
        <v>9586.9925999999996</v>
      </c>
      <c r="AD68" s="41">
        <v>1</v>
      </c>
      <c r="AE68" s="72">
        <f>IFERROR(INDEX(SA!$C$4:$E$11,MATCH(Details!S68,SA!$C$4:$C$11,0),MATCH(Details!V68,SA!$C$4:$E$4,0)),0)*Y68/(F68-E68+1)</f>
        <v>8124.57</v>
      </c>
      <c r="AF68" s="41">
        <f t="shared" ref="AF68:AF131" si="39">IF(AB68="Karnataka",AE68*9%,0)</f>
        <v>0</v>
      </c>
      <c r="AG68" s="41">
        <f t="shared" ref="AG68:AG131" si="40">IF(AB68="Karnataka",AE68*9%,0)</f>
        <v>0</v>
      </c>
      <c r="AH68" s="41">
        <f t="shared" ref="AH68:AH131" si="41">IF(AF68+AG68&gt;0,0,AE68*18%)</f>
        <v>1462.4225999999999</v>
      </c>
      <c r="AI68" s="60">
        <f t="shared" ref="AI68:AI131" si="42">AE68*L68</f>
        <v>324.9828</v>
      </c>
      <c r="AJ68" s="60">
        <f t="shared" ref="AJ68:AJ131" si="43">$AE68*M68</f>
        <v>1828.0282500000001</v>
      </c>
      <c r="AK68" s="60">
        <f t="shared" ref="AK68:AK131" si="44">(AE68)*AA68/Y68</f>
        <v>5876.4013150684932</v>
      </c>
      <c r="AL68" s="60">
        <f t="shared" ref="AL68:AL131" si="45">AK68*(1-L68-M68)</f>
        <v>4319.1549665753428</v>
      </c>
      <c r="AM68" s="41">
        <f t="shared" ref="AM68:AM131" si="46">AE68-AI68-AL68-AJ68</f>
        <v>1652.4039834246571</v>
      </c>
      <c r="AN68" s="42">
        <f t="shared" ref="AN68:AN131" si="47">Z68-366</f>
        <v>45715</v>
      </c>
      <c r="AO68" s="43">
        <f t="shared" ref="AO68:AO131" si="48">IF(AND(O68&gt;Z68,N68&gt;AN68),AE68,0)</f>
        <v>8124.57</v>
      </c>
    </row>
    <row r="69" spans="1:41" s="24" customFormat="1" ht="15.75" customHeight="1" x14ac:dyDescent="0.35">
      <c r="A69" s="36" t="s">
        <v>27</v>
      </c>
      <c r="B69" s="36">
        <v>202506</v>
      </c>
      <c r="C69" s="24" t="s">
        <v>128</v>
      </c>
      <c r="D69" s="24" t="s">
        <v>129</v>
      </c>
      <c r="E69" s="62">
        <v>45818</v>
      </c>
      <c r="F69" s="62">
        <v>46182</v>
      </c>
      <c r="G69" s="37" t="s">
        <v>197</v>
      </c>
      <c r="H69" s="36">
        <v>1049</v>
      </c>
      <c r="I69" s="63">
        <v>28599</v>
      </c>
      <c r="J69" s="24" t="s">
        <v>845</v>
      </c>
      <c r="K69" s="63">
        <f t="shared" si="32"/>
        <v>45818</v>
      </c>
      <c r="L69" s="55">
        <f t="shared" si="33"/>
        <v>0.04</v>
      </c>
      <c r="M69" s="76">
        <v>0.22500000000000001</v>
      </c>
      <c r="N69" s="62">
        <v>45818</v>
      </c>
      <c r="O69" s="62">
        <v>46182</v>
      </c>
      <c r="P69" s="63"/>
      <c r="Q69" s="63"/>
      <c r="R69" s="82">
        <v>47</v>
      </c>
      <c r="S69" s="63" t="str">
        <f>VLOOKUP(R69,SA!$B$5:$C$11,2,1)</f>
        <v>46-55</v>
      </c>
      <c r="T69" s="38" t="s">
        <v>97</v>
      </c>
      <c r="U69" s="24" t="s">
        <v>115</v>
      </c>
      <c r="V69" s="24">
        <v>300000</v>
      </c>
      <c r="W69" s="39">
        <f t="shared" si="34"/>
        <v>0</v>
      </c>
      <c r="X69" s="29">
        <f t="shared" si="35"/>
        <v>0</v>
      </c>
      <c r="Y69" s="40">
        <f t="shared" si="36"/>
        <v>365</v>
      </c>
      <c r="Z69" s="38">
        <f t="shared" si="31"/>
        <v>46081</v>
      </c>
      <c r="AA69" s="41">
        <f t="shared" si="37"/>
        <v>264</v>
      </c>
      <c r="AB69" s="24" t="s">
        <v>125</v>
      </c>
      <c r="AC69" s="41">
        <f t="shared" si="38"/>
        <v>9586.9925999999996</v>
      </c>
      <c r="AD69" s="41">
        <v>1</v>
      </c>
      <c r="AE69" s="72">
        <f>IFERROR(INDEX(SA!$C$4:$E$11,MATCH(Details!S69,SA!$C$4:$C$11,0),MATCH(Details!V69,SA!$C$4:$E$4,0)),0)*Y69/(F69-E69+1)</f>
        <v>8124.57</v>
      </c>
      <c r="AF69" s="41">
        <f t="shared" si="39"/>
        <v>0</v>
      </c>
      <c r="AG69" s="41">
        <f t="shared" si="40"/>
        <v>0</v>
      </c>
      <c r="AH69" s="41">
        <f t="shared" si="41"/>
        <v>1462.4225999999999</v>
      </c>
      <c r="AI69" s="60">
        <f t="shared" si="42"/>
        <v>324.9828</v>
      </c>
      <c r="AJ69" s="60">
        <f t="shared" si="43"/>
        <v>1828.0282500000001</v>
      </c>
      <c r="AK69" s="60">
        <f t="shared" si="44"/>
        <v>5876.4013150684932</v>
      </c>
      <c r="AL69" s="60">
        <f t="shared" si="45"/>
        <v>4319.1549665753428</v>
      </c>
      <c r="AM69" s="41">
        <f t="shared" si="46"/>
        <v>1652.4039834246571</v>
      </c>
      <c r="AN69" s="42">
        <f t="shared" si="47"/>
        <v>45715</v>
      </c>
      <c r="AO69" s="43">
        <f t="shared" si="48"/>
        <v>8124.57</v>
      </c>
    </row>
    <row r="70" spans="1:41" s="24" customFormat="1" ht="15.75" customHeight="1" x14ac:dyDescent="0.35">
      <c r="A70" s="36" t="s">
        <v>27</v>
      </c>
      <c r="B70" s="36">
        <v>202506</v>
      </c>
      <c r="C70" s="24" t="s">
        <v>128</v>
      </c>
      <c r="D70" s="24" t="s">
        <v>129</v>
      </c>
      <c r="E70" s="62">
        <v>45818</v>
      </c>
      <c r="F70" s="62">
        <v>46182</v>
      </c>
      <c r="G70" s="37" t="s">
        <v>198</v>
      </c>
      <c r="H70" s="36">
        <v>1049</v>
      </c>
      <c r="I70" s="63">
        <v>41801</v>
      </c>
      <c r="J70" s="24" t="s">
        <v>846</v>
      </c>
      <c r="K70" s="63">
        <f t="shared" si="32"/>
        <v>45818</v>
      </c>
      <c r="L70" s="55">
        <f t="shared" si="33"/>
        <v>0.04</v>
      </c>
      <c r="M70" s="76">
        <v>0.22500000000000001</v>
      </c>
      <c r="N70" s="62">
        <v>45818</v>
      </c>
      <c r="O70" s="62">
        <v>46182</v>
      </c>
      <c r="P70" s="63"/>
      <c r="Q70" s="63"/>
      <c r="R70" s="82">
        <v>10</v>
      </c>
      <c r="S70" s="63" t="str">
        <f>VLOOKUP(R70,SA!$B$5:$C$11,2,1)</f>
        <v>0-35</v>
      </c>
      <c r="T70" s="38" t="s">
        <v>96</v>
      </c>
      <c r="U70" s="24" t="s">
        <v>114</v>
      </c>
      <c r="V70" s="24">
        <v>300000</v>
      </c>
      <c r="W70" s="39">
        <f t="shared" si="34"/>
        <v>0</v>
      </c>
      <c r="X70" s="29">
        <f t="shared" si="35"/>
        <v>0</v>
      </c>
      <c r="Y70" s="40">
        <f t="shared" si="36"/>
        <v>365</v>
      </c>
      <c r="Z70" s="38">
        <f t="shared" si="31"/>
        <v>46081</v>
      </c>
      <c r="AA70" s="41">
        <f t="shared" si="37"/>
        <v>264</v>
      </c>
      <c r="AB70" s="24" t="s">
        <v>125</v>
      </c>
      <c r="AC70" s="41">
        <f t="shared" si="38"/>
        <v>3874.2114000000001</v>
      </c>
      <c r="AD70" s="41">
        <v>1</v>
      </c>
      <c r="AE70" s="72">
        <f>IFERROR(INDEX(SA!$C$4:$E$11,MATCH(Details!S70,SA!$C$4:$C$11,0),MATCH(Details!V70,SA!$C$4:$E$4,0)),0)*Y70/(F70-E70+1)</f>
        <v>3283.23</v>
      </c>
      <c r="AF70" s="41">
        <f t="shared" si="39"/>
        <v>0</v>
      </c>
      <c r="AG70" s="41">
        <f t="shared" si="40"/>
        <v>0</v>
      </c>
      <c r="AH70" s="41">
        <f t="shared" si="41"/>
        <v>590.98140000000001</v>
      </c>
      <c r="AI70" s="60">
        <f t="shared" si="42"/>
        <v>131.32920000000001</v>
      </c>
      <c r="AJ70" s="60">
        <f t="shared" si="43"/>
        <v>738.72675000000004</v>
      </c>
      <c r="AK70" s="60">
        <f t="shared" si="44"/>
        <v>2374.7197808219175</v>
      </c>
      <c r="AL70" s="60">
        <f t="shared" si="45"/>
        <v>1745.4190389041094</v>
      </c>
      <c r="AM70" s="41">
        <f t="shared" si="46"/>
        <v>667.7550110958905</v>
      </c>
      <c r="AN70" s="42">
        <f t="shared" si="47"/>
        <v>45715</v>
      </c>
      <c r="AO70" s="43">
        <f t="shared" si="48"/>
        <v>3283.23</v>
      </c>
    </row>
    <row r="71" spans="1:41" s="24" customFormat="1" ht="15.75" customHeight="1" x14ac:dyDescent="0.35">
      <c r="A71" s="36" t="s">
        <v>27</v>
      </c>
      <c r="B71" s="36">
        <v>202506</v>
      </c>
      <c r="C71" s="24" t="s">
        <v>128</v>
      </c>
      <c r="D71" s="24" t="s">
        <v>129</v>
      </c>
      <c r="E71" s="62">
        <v>45818</v>
      </c>
      <c r="F71" s="62">
        <v>46182</v>
      </c>
      <c r="G71" s="37" t="s">
        <v>199</v>
      </c>
      <c r="H71" s="36">
        <v>1049</v>
      </c>
      <c r="I71" s="63">
        <v>38764</v>
      </c>
      <c r="J71" s="24" t="s">
        <v>847</v>
      </c>
      <c r="K71" s="63">
        <f t="shared" si="32"/>
        <v>45818</v>
      </c>
      <c r="L71" s="55">
        <f t="shared" si="33"/>
        <v>0.04</v>
      </c>
      <c r="M71" s="76">
        <v>0.22500000000000001</v>
      </c>
      <c r="N71" s="62">
        <v>45818</v>
      </c>
      <c r="O71" s="62">
        <v>46182</v>
      </c>
      <c r="P71" s="63"/>
      <c r="Q71" s="63"/>
      <c r="R71" s="82">
        <v>19</v>
      </c>
      <c r="S71" s="63" t="str">
        <f>VLOOKUP(R71,SA!$B$5:$C$11,2,1)</f>
        <v>0-35</v>
      </c>
      <c r="T71" s="38" t="s">
        <v>96</v>
      </c>
      <c r="U71" s="24" t="s">
        <v>114</v>
      </c>
      <c r="V71" s="24">
        <v>300000</v>
      </c>
      <c r="W71" s="39">
        <f t="shared" si="34"/>
        <v>0</v>
      </c>
      <c r="X71" s="29">
        <f t="shared" si="35"/>
        <v>0</v>
      </c>
      <c r="Y71" s="40">
        <f t="shared" si="36"/>
        <v>365</v>
      </c>
      <c r="Z71" s="38">
        <f t="shared" si="31"/>
        <v>46081</v>
      </c>
      <c r="AA71" s="41">
        <f t="shared" si="37"/>
        <v>264</v>
      </c>
      <c r="AB71" s="24" t="s">
        <v>125</v>
      </c>
      <c r="AC71" s="41">
        <f t="shared" si="38"/>
        <v>3874.2114000000001</v>
      </c>
      <c r="AD71" s="41">
        <v>1</v>
      </c>
      <c r="AE71" s="72">
        <f>IFERROR(INDEX(SA!$C$4:$E$11,MATCH(Details!S71,SA!$C$4:$C$11,0),MATCH(Details!V71,SA!$C$4:$E$4,0)),0)*Y71/(F71-E71+1)</f>
        <v>3283.23</v>
      </c>
      <c r="AF71" s="41">
        <f t="shared" si="39"/>
        <v>0</v>
      </c>
      <c r="AG71" s="41">
        <f t="shared" si="40"/>
        <v>0</v>
      </c>
      <c r="AH71" s="41">
        <f t="shared" si="41"/>
        <v>590.98140000000001</v>
      </c>
      <c r="AI71" s="60">
        <f t="shared" si="42"/>
        <v>131.32920000000001</v>
      </c>
      <c r="AJ71" s="60">
        <f t="shared" si="43"/>
        <v>738.72675000000004</v>
      </c>
      <c r="AK71" s="60">
        <f t="shared" si="44"/>
        <v>2374.7197808219175</v>
      </c>
      <c r="AL71" s="60">
        <f t="shared" si="45"/>
        <v>1745.4190389041094</v>
      </c>
      <c r="AM71" s="41">
        <f t="shared" si="46"/>
        <v>667.7550110958905</v>
      </c>
      <c r="AN71" s="42">
        <f t="shared" si="47"/>
        <v>45715</v>
      </c>
      <c r="AO71" s="43">
        <f t="shared" si="48"/>
        <v>3283.23</v>
      </c>
    </row>
    <row r="72" spans="1:41" s="24" customFormat="1" ht="15.75" customHeight="1" x14ac:dyDescent="0.35">
      <c r="A72" s="36" t="s">
        <v>27</v>
      </c>
      <c r="B72" s="36">
        <v>202506</v>
      </c>
      <c r="C72" s="24" t="s">
        <v>128</v>
      </c>
      <c r="D72" s="24" t="s">
        <v>129</v>
      </c>
      <c r="E72" s="62">
        <v>45818</v>
      </c>
      <c r="F72" s="62">
        <v>46182</v>
      </c>
      <c r="G72" s="37" t="s">
        <v>200</v>
      </c>
      <c r="H72" s="36">
        <v>1055</v>
      </c>
      <c r="I72" s="63">
        <v>29294</v>
      </c>
      <c r="J72" s="24" t="s">
        <v>848</v>
      </c>
      <c r="K72" s="63">
        <f t="shared" si="32"/>
        <v>45818</v>
      </c>
      <c r="L72" s="55">
        <f t="shared" si="33"/>
        <v>0.04</v>
      </c>
      <c r="M72" s="76">
        <v>0.22500000000000001</v>
      </c>
      <c r="N72" s="62">
        <v>45818</v>
      </c>
      <c r="O72" s="62">
        <v>46182</v>
      </c>
      <c r="P72" s="63"/>
      <c r="Q72" s="63"/>
      <c r="R72" s="82">
        <v>45</v>
      </c>
      <c r="S72" s="63" t="str">
        <f>VLOOKUP(R72,SA!$B$5:$C$11,2,1)</f>
        <v>36-45</v>
      </c>
      <c r="T72" s="38" t="s">
        <v>96</v>
      </c>
      <c r="U72" s="24" t="s">
        <v>56</v>
      </c>
      <c r="V72" s="24">
        <v>300000</v>
      </c>
      <c r="W72" s="39">
        <f t="shared" si="34"/>
        <v>300000</v>
      </c>
      <c r="X72" s="29">
        <f t="shared" si="35"/>
        <v>1</v>
      </c>
      <c r="Y72" s="40">
        <f t="shared" si="36"/>
        <v>365</v>
      </c>
      <c r="Z72" s="38">
        <f t="shared" si="31"/>
        <v>46081</v>
      </c>
      <c r="AA72" s="41">
        <f t="shared" si="37"/>
        <v>264</v>
      </c>
      <c r="AB72" s="24" t="s">
        <v>125</v>
      </c>
      <c r="AC72" s="41">
        <f t="shared" si="38"/>
        <v>5017.3245999999999</v>
      </c>
      <c r="AD72" s="41">
        <v>1</v>
      </c>
      <c r="AE72" s="72">
        <f>IFERROR(INDEX(SA!$C$4:$E$11,MATCH(Details!S72,SA!$C$4:$C$11,0),MATCH(Details!V72,SA!$C$4:$E$4,0)),0)*Y72/(F72-E72+1)</f>
        <v>4251.97</v>
      </c>
      <c r="AF72" s="41">
        <f t="shared" si="39"/>
        <v>0</v>
      </c>
      <c r="AG72" s="41">
        <f t="shared" si="40"/>
        <v>0</v>
      </c>
      <c r="AH72" s="41">
        <f t="shared" si="41"/>
        <v>765.3546</v>
      </c>
      <c r="AI72" s="60">
        <f t="shared" si="42"/>
        <v>170.0788</v>
      </c>
      <c r="AJ72" s="60">
        <f t="shared" si="43"/>
        <v>956.69325000000003</v>
      </c>
      <c r="AK72" s="60">
        <f t="shared" si="44"/>
        <v>3075.397479452055</v>
      </c>
      <c r="AL72" s="60">
        <f t="shared" si="45"/>
        <v>2260.4171473972606</v>
      </c>
      <c r="AM72" s="41">
        <f t="shared" si="46"/>
        <v>864.78080260273941</v>
      </c>
      <c r="AN72" s="42">
        <f t="shared" si="47"/>
        <v>45715</v>
      </c>
      <c r="AO72" s="43">
        <f t="shared" si="48"/>
        <v>4251.97</v>
      </c>
    </row>
    <row r="73" spans="1:41" s="24" customFormat="1" ht="15.75" customHeight="1" x14ac:dyDescent="0.35">
      <c r="A73" s="36" t="s">
        <v>27</v>
      </c>
      <c r="B73" s="36">
        <v>202506</v>
      </c>
      <c r="C73" s="24" t="s">
        <v>128</v>
      </c>
      <c r="D73" s="24" t="s">
        <v>129</v>
      </c>
      <c r="E73" s="62">
        <v>45818</v>
      </c>
      <c r="F73" s="62">
        <v>46182</v>
      </c>
      <c r="G73" s="37" t="s">
        <v>201</v>
      </c>
      <c r="H73" s="36">
        <v>1055</v>
      </c>
      <c r="I73" s="63">
        <v>42865</v>
      </c>
      <c r="J73" s="24" t="s">
        <v>849</v>
      </c>
      <c r="K73" s="63">
        <f t="shared" si="32"/>
        <v>45818</v>
      </c>
      <c r="L73" s="55">
        <f t="shared" si="33"/>
        <v>0.04</v>
      </c>
      <c r="M73" s="76">
        <v>0.22500000000000001</v>
      </c>
      <c r="N73" s="62">
        <v>45818</v>
      </c>
      <c r="O73" s="62">
        <v>46182</v>
      </c>
      <c r="P73" s="63"/>
      <c r="Q73" s="63"/>
      <c r="R73" s="82">
        <v>8</v>
      </c>
      <c r="S73" s="63" t="str">
        <f>VLOOKUP(R73,SA!$B$5:$C$11,2,1)</f>
        <v>0-35</v>
      </c>
      <c r="T73" s="38" t="s">
        <v>97</v>
      </c>
      <c r="U73" s="24" t="s">
        <v>113</v>
      </c>
      <c r="V73" s="24">
        <v>300000</v>
      </c>
      <c r="W73" s="39">
        <f t="shared" si="34"/>
        <v>0</v>
      </c>
      <c r="X73" s="29">
        <f t="shared" si="35"/>
        <v>0</v>
      </c>
      <c r="Y73" s="40">
        <f t="shared" si="36"/>
        <v>365</v>
      </c>
      <c r="Z73" s="38">
        <f t="shared" si="31"/>
        <v>46081</v>
      </c>
      <c r="AA73" s="41">
        <f t="shared" si="37"/>
        <v>264</v>
      </c>
      <c r="AB73" s="24" t="s">
        <v>125</v>
      </c>
      <c r="AC73" s="41">
        <f t="shared" si="38"/>
        <v>3874.2114000000001</v>
      </c>
      <c r="AD73" s="41">
        <v>1</v>
      </c>
      <c r="AE73" s="72">
        <f>IFERROR(INDEX(SA!$C$4:$E$11,MATCH(Details!S73,SA!$C$4:$C$11,0),MATCH(Details!V73,SA!$C$4:$E$4,0)),0)*Y73/(F73-E73+1)</f>
        <v>3283.23</v>
      </c>
      <c r="AF73" s="41">
        <f t="shared" si="39"/>
        <v>0</v>
      </c>
      <c r="AG73" s="41">
        <f t="shared" si="40"/>
        <v>0</v>
      </c>
      <c r="AH73" s="41">
        <f t="shared" si="41"/>
        <v>590.98140000000001</v>
      </c>
      <c r="AI73" s="60">
        <f t="shared" si="42"/>
        <v>131.32920000000001</v>
      </c>
      <c r="AJ73" s="60">
        <f t="shared" si="43"/>
        <v>738.72675000000004</v>
      </c>
      <c r="AK73" s="60">
        <f t="shared" si="44"/>
        <v>2374.7197808219175</v>
      </c>
      <c r="AL73" s="60">
        <f t="shared" si="45"/>
        <v>1745.4190389041094</v>
      </c>
      <c r="AM73" s="41">
        <f t="shared" si="46"/>
        <v>667.7550110958905</v>
      </c>
      <c r="AN73" s="42">
        <f t="shared" si="47"/>
        <v>45715</v>
      </c>
      <c r="AO73" s="43">
        <f t="shared" si="48"/>
        <v>3283.23</v>
      </c>
    </row>
    <row r="74" spans="1:41" s="24" customFormat="1" ht="15.75" customHeight="1" x14ac:dyDescent="0.35">
      <c r="A74" s="36" t="s">
        <v>27</v>
      </c>
      <c r="B74" s="36">
        <v>202506</v>
      </c>
      <c r="C74" s="24" t="s">
        <v>128</v>
      </c>
      <c r="D74" s="24" t="s">
        <v>129</v>
      </c>
      <c r="E74" s="62">
        <v>45818</v>
      </c>
      <c r="F74" s="62">
        <v>46182</v>
      </c>
      <c r="G74" s="37" t="s">
        <v>202</v>
      </c>
      <c r="H74" s="36">
        <v>1055</v>
      </c>
      <c r="I74" s="63">
        <v>29875</v>
      </c>
      <c r="J74" s="24" t="s">
        <v>850</v>
      </c>
      <c r="K74" s="63">
        <f t="shared" si="32"/>
        <v>45818</v>
      </c>
      <c r="L74" s="55">
        <f t="shared" si="33"/>
        <v>0.04</v>
      </c>
      <c r="M74" s="76">
        <v>0.22500000000000001</v>
      </c>
      <c r="N74" s="62">
        <v>45818</v>
      </c>
      <c r="O74" s="62">
        <v>46182</v>
      </c>
      <c r="P74" s="63"/>
      <c r="Q74" s="63"/>
      <c r="R74" s="82">
        <v>43</v>
      </c>
      <c r="S74" s="63" t="str">
        <f>VLOOKUP(R74,SA!$B$5:$C$11,2,1)</f>
        <v>36-45</v>
      </c>
      <c r="T74" s="38" t="s">
        <v>97</v>
      </c>
      <c r="U74" s="24" t="s">
        <v>115</v>
      </c>
      <c r="V74" s="24">
        <v>300000</v>
      </c>
      <c r="W74" s="39">
        <f t="shared" si="34"/>
        <v>0</v>
      </c>
      <c r="X74" s="29">
        <f t="shared" si="35"/>
        <v>0</v>
      </c>
      <c r="Y74" s="40">
        <f t="shared" si="36"/>
        <v>365</v>
      </c>
      <c r="Z74" s="38">
        <f t="shared" si="31"/>
        <v>46081</v>
      </c>
      <c r="AA74" s="41">
        <f t="shared" si="37"/>
        <v>264</v>
      </c>
      <c r="AB74" s="24" t="s">
        <v>125</v>
      </c>
      <c r="AC74" s="41">
        <f t="shared" si="38"/>
        <v>5017.3245999999999</v>
      </c>
      <c r="AD74" s="41">
        <v>1</v>
      </c>
      <c r="AE74" s="72">
        <f>IFERROR(INDEX(SA!$C$4:$E$11,MATCH(Details!S74,SA!$C$4:$C$11,0),MATCH(Details!V74,SA!$C$4:$E$4,0)),0)*Y74/(F74-E74+1)</f>
        <v>4251.97</v>
      </c>
      <c r="AF74" s="41">
        <f t="shared" si="39"/>
        <v>0</v>
      </c>
      <c r="AG74" s="41">
        <f t="shared" si="40"/>
        <v>0</v>
      </c>
      <c r="AH74" s="41">
        <f t="shared" si="41"/>
        <v>765.3546</v>
      </c>
      <c r="AI74" s="60">
        <f t="shared" si="42"/>
        <v>170.0788</v>
      </c>
      <c r="AJ74" s="60">
        <f t="shared" si="43"/>
        <v>956.69325000000003</v>
      </c>
      <c r="AK74" s="60">
        <f t="shared" si="44"/>
        <v>3075.397479452055</v>
      </c>
      <c r="AL74" s="60">
        <f t="shared" si="45"/>
        <v>2260.4171473972606</v>
      </c>
      <c r="AM74" s="41">
        <f t="shared" si="46"/>
        <v>864.78080260273941</v>
      </c>
      <c r="AN74" s="42">
        <f t="shared" si="47"/>
        <v>45715</v>
      </c>
      <c r="AO74" s="43">
        <f t="shared" si="48"/>
        <v>4251.97</v>
      </c>
    </row>
    <row r="75" spans="1:41" s="24" customFormat="1" ht="15.75" customHeight="1" x14ac:dyDescent="0.35">
      <c r="A75" s="36" t="s">
        <v>27</v>
      </c>
      <c r="B75" s="36">
        <v>202506</v>
      </c>
      <c r="C75" s="24" t="s">
        <v>128</v>
      </c>
      <c r="D75" s="24" t="s">
        <v>129</v>
      </c>
      <c r="E75" s="62">
        <v>45818</v>
      </c>
      <c r="F75" s="62">
        <v>46182</v>
      </c>
      <c r="G75" s="37" t="s">
        <v>203</v>
      </c>
      <c r="H75" s="36">
        <v>1055</v>
      </c>
      <c r="I75" s="63">
        <v>39816</v>
      </c>
      <c r="J75" s="24" t="s">
        <v>851</v>
      </c>
      <c r="K75" s="63">
        <f t="shared" si="32"/>
        <v>45818</v>
      </c>
      <c r="L75" s="55">
        <f t="shared" si="33"/>
        <v>0.04</v>
      </c>
      <c r="M75" s="76">
        <v>0.22500000000000001</v>
      </c>
      <c r="N75" s="62">
        <v>45818</v>
      </c>
      <c r="O75" s="62">
        <v>46182</v>
      </c>
      <c r="P75" s="63"/>
      <c r="Q75" s="63"/>
      <c r="R75" s="82">
        <v>16</v>
      </c>
      <c r="S75" s="63" t="str">
        <f>VLOOKUP(R75,SA!$B$5:$C$11,2,1)</f>
        <v>0-35</v>
      </c>
      <c r="T75" s="38" t="s">
        <v>97</v>
      </c>
      <c r="U75" s="24" t="s">
        <v>113</v>
      </c>
      <c r="V75" s="24">
        <v>300000</v>
      </c>
      <c r="W75" s="39">
        <f t="shared" si="34"/>
        <v>0</v>
      </c>
      <c r="X75" s="29">
        <f t="shared" si="35"/>
        <v>0</v>
      </c>
      <c r="Y75" s="40">
        <f t="shared" si="36"/>
        <v>365</v>
      </c>
      <c r="Z75" s="38">
        <f t="shared" si="31"/>
        <v>46081</v>
      </c>
      <c r="AA75" s="41">
        <f t="shared" si="37"/>
        <v>264</v>
      </c>
      <c r="AB75" s="24" t="s">
        <v>125</v>
      </c>
      <c r="AC75" s="41">
        <f t="shared" si="38"/>
        <v>3874.2114000000001</v>
      </c>
      <c r="AD75" s="41">
        <v>1</v>
      </c>
      <c r="AE75" s="72">
        <f>IFERROR(INDEX(SA!$C$4:$E$11,MATCH(Details!S75,SA!$C$4:$C$11,0),MATCH(Details!V75,SA!$C$4:$E$4,0)),0)*Y75/(F75-E75+1)</f>
        <v>3283.23</v>
      </c>
      <c r="AF75" s="41">
        <f t="shared" si="39"/>
        <v>0</v>
      </c>
      <c r="AG75" s="41">
        <f t="shared" si="40"/>
        <v>0</v>
      </c>
      <c r="AH75" s="41">
        <f t="shared" si="41"/>
        <v>590.98140000000001</v>
      </c>
      <c r="AI75" s="60">
        <f t="shared" si="42"/>
        <v>131.32920000000001</v>
      </c>
      <c r="AJ75" s="60">
        <f t="shared" si="43"/>
        <v>738.72675000000004</v>
      </c>
      <c r="AK75" s="60">
        <f t="shared" si="44"/>
        <v>2374.7197808219175</v>
      </c>
      <c r="AL75" s="60">
        <f t="shared" si="45"/>
        <v>1745.4190389041094</v>
      </c>
      <c r="AM75" s="41">
        <f t="shared" si="46"/>
        <v>667.7550110958905</v>
      </c>
      <c r="AN75" s="42">
        <f t="shared" si="47"/>
        <v>45715</v>
      </c>
      <c r="AO75" s="43">
        <f t="shared" si="48"/>
        <v>3283.23</v>
      </c>
    </row>
    <row r="76" spans="1:41" s="24" customFormat="1" ht="15.75" customHeight="1" x14ac:dyDescent="0.35">
      <c r="A76" s="36" t="s">
        <v>27</v>
      </c>
      <c r="B76" s="36">
        <v>202506</v>
      </c>
      <c r="C76" s="24" t="s">
        <v>128</v>
      </c>
      <c r="D76" s="24" t="s">
        <v>129</v>
      </c>
      <c r="E76" s="62">
        <v>45818</v>
      </c>
      <c r="F76" s="62">
        <v>46182</v>
      </c>
      <c r="G76" s="37" t="s">
        <v>204</v>
      </c>
      <c r="H76" s="36">
        <v>1056</v>
      </c>
      <c r="I76" s="63">
        <v>27243</v>
      </c>
      <c r="J76" s="24" t="s">
        <v>852</v>
      </c>
      <c r="K76" s="63">
        <f t="shared" si="32"/>
        <v>45818</v>
      </c>
      <c r="L76" s="55">
        <f t="shared" si="33"/>
        <v>0.04</v>
      </c>
      <c r="M76" s="76">
        <v>0.22500000000000001</v>
      </c>
      <c r="N76" s="62">
        <v>45818</v>
      </c>
      <c r="O76" s="62">
        <v>46182</v>
      </c>
      <c r="P76" s="63"/>
      <c r="Q76" s="63"/>
      <c r="R76" s="82">
        <v>50</v>
      </c>
      <c r="S76" s="63" t="str">
        <f>VLOOKUP(R76,SA!$B$5:$C$11,2,1)</f>
        <v>46-55</v>
      </c>
      <c r="T76" s="38" t="s">
        <v>96</v>
      </c>
      <c r="U76" s="24" t="s">
        <v>56</v>
      </c>
      <c r="V76" s="24">
        <v>300000</v>
      </c>
      <c r="W76" s="39">
        <f t="shared" si="34"/>
        <v>300000</v>
      </c>
      <c r="X76" s="29">
        <f t="shared" si="35"/>
        <v>1</v>
      </c>
      <c r="Y76" s="40">
        <f t="shared" si="36"/>
        <v>365</v>
      </c>
      <c r="Z76" s="38">
        <f t="shared" si="31"/>
        <v>46081</v>
      </c>
      <c r="AA76" s="41">
        <f t="shared" si="37"/>
        <v>264</v>
      </c>
      <c r="AB76" s="24" t="s">
        <v>125</v>
      </c>
      <c r="AC76" s="41">
        <f t="shared" si="38"/>
        <v>9586.9925999999996</v>
      </c>
      <c r="AD76" s="41">
        <v>1</v>
      </c>
      <c r="AE76" s="72">
        <f>IFERROR(INDEX(SA!$C$4:$E$11,MATCH(Details!S76,SA!$C$4:$C$11,0),MATCH(Details!V76,SA!$C$4:$E$4,0)),0)*Y76/(F76-E76+1)</f>
        <v>8124.57</v>
      </c>
      <c r="AF76" s="41">
        <f t="shared" si="39"/>
        <v>0</v>
      </c>
      <c r="AG76" s="41">
        <f t="shared" si="40"/>
        <v>0</v>
      </c>
      <c r="AH76" s="41">
        <f t="shared" si="41"/>
        <v>1462.4225999999999</v>
      </c>
      <c r="AI76" s="60">
        <f t="shared" si="42"/>
        <v>324.9828</v>
      </c>
      <c r="AJ76" s="60">
        <f t="shared" si="43"/>
        <v>1828.0282500000001</v>
      </c>
      <c r="AK76" s="60">
        <f t="shared" si="44"/>
        <v>5876.4013150684932</v>
      </c>
      <c r="AL76" s="60">
        <f t="shared" si="45"/>
        <v>4319.1549665753428</v>
      </c>
      <c r="AM76" s="41">
        <f t="shared" si="46"/>
        <v>1652.4039834246571</v>
      </c>
      <c r="AN76" s="42">
        <f t="shared" si="47"/>
        <v>45715</v>
      </c>
      <c r="AO76" s="43">
        <f t="shared" si="48"/>
        <v>8124.57</v>
      </c>
    </row>
    <row r="77" spans="1:41" s="24" customFormat="1" ht="15.75" customHeight="1" x14ac:dyDescent="0.35">
      <c r="A77" s="36" t="s">
        <v>27</v>
      </c>
      <c r="B77" s="36">
        <v>202506</v>
      </c>
      <c r="C77" s="24" t="s">
        <v>128</v>
      </c>
      <c r="D77" s="24" t="s">
        <v>129</v>
      </c>
      <c r="E77" s="62">
        <v>45818</v>
      </c>
      <c r="F77" s="62">
        <v>46182</v>
      </c>
      <c r="G77" s="37" t="s">
        <v>205</v>
      </c>
      <c r="H77" s="36">
        <v>1056</v>
      </c>
      <c r="I77" s="63">
        <v>27089</v>
      </c>
      <c r="J77" s="24" t="s">
        <v>853</v>
      </c>
      <c r="K77" s="63">
        <f t="shared" si="32"/>
        <v>45818</v>
      </c>
      <c r="L77" s="55">
        <f t="shared" si="33"/>
        <v>0.04</v>
      </c>
      <c r="M77" s="76">
        <v>0.22500000000000001</v>
      </c>
      <c r="N77" s="62">
        <v>45818</v>
      </c>
      <c r="O77" s="62">
        <v>46182</v>
      </c>
      <c r="P77" s="63"/>
      <c r="Q77" s="63"/>
      <c r="R77" s="82">
        <v>51</v>
      </c>
      <c r="S77" s="63" t="str">
        <f>VLOOKUP(R77,SA!$B$5:$C$11,2,1)</f>
        <v>46-55</v>
      </c>
      <c r="T77" s="38" t="s">
        <v>97</v>
      </c>
      <c r="U77" s="24" t="s">
        <v>115</v>
      </c>
      <c r="V77" s="24">
        <v>300000</v>
      </c>
      <c r="W77" s="39">
        <f t="shared" si="34"/>
        <v>0</v>
      </c>
      <c r="X77" s="29">
        <f t="shared" si="35"/>
        <v>0</v>
      </c>
      <c r="Y77" s="40">
        <f t="shared" si="36"/>
        <v>365</v>
      </c>
      <c r="Z77" s="38">
        <f t="shared" si="31"/>
        <v>46081</v>
      </c>
      <c r="AA77" s="41">
        <f t="shared" si="37"/>
        <v>264</v>
      </c>
      <c r="AB77" s="24" t="s">
        <v>125</v>
      </c>
      <c r="AC77" s="41">
        <f t="shared" si="38"/>
        <v>9586.9925999999996</v>
      </c>
      <c r="AD77" s="41">
        <v>1</v>
      </c>
      <c r="AE77" s="72">
        <f>IFERROR(INDEX(SA!$C$4:$E$11,MATCH(Details!S77,SA!$C$4:$C$11,0),MATCH(Details!V77,SA!$C$4:$E$4,0)),0)*Y77/(F77-E77+1)</f>
        <v>8124.57</v>
      </c>
      <c r="AF77" s="41">
        <f t="shared" si="39"/>
        <v>0</v>
      </c>
      <c r="AG77" s="41">
        <f t="shared" si="40"/>
        <v>0</v>
      </c>
      <c r="AH77" s="41">
        <f t="shared" si="41"/>
        <v>1462.4225999999999</v>
      </c>
      <c r="AI77" s="60">
        <f t="shared" si="42"/>
        <v>324.9828</v>
      </c>
      <c r="AJ77" s="60">
        <f t="shared" si="43"/>
        <v>1828.0282500000001</v>
      </c>
      <c r="AK77" s="60">
        <f t="shared" si="44"/>
        <v>5876.4013150684932</v>
      </c>
      <c r="AL77" s="60">
        <f t="shared" si="45"/>
        <v>4319.1549665753428</v>
      </c>
      <c r="AM77" s="41">
        <f t="shared" si="46"/>
        <v>1652.4039834246571</v>
      </c>
      <c r="AN77" s="42">
        <f t="shared" si="47"/>
        <v>45715</v>
      </c>
      <c r="AO77" s="43">
        <f t="shared" si="48"/>
        <v>8124.57</v>
      </c>
    </row>
    <row r="78" spans="1:41" s="24" customFormat="1" ht="15.75" customHeight="1" x14ac:dyDescent="0.35">
      <c r="A78" s="36" t="s">
        <v>27</v>
      </c>
      <c r="B78" s="36">
        <v>202506</v>
      </c>
      <c r="C78" s="24" t="s">
        <v>128</v>
      </c>
      <c r="D78" s="24" t="s">
        <v>129</v>
      </c>
      <c r="E78" s="62">
        <v>45818</v>
      </c>
      <c r="F78" s="62">
        <v>46182</v>
      </c>
      <c r="G78" s="37" t="s">
        <v>206</v>
      </c>
      <c r="H78" s="36">
        <v>1056</v>
      </c>
      <c r="I78" s="63">
        <v>37117</v>
      </c>
      <c r="J78" s="24" t="s">
        <v>854</v>
      </c>
      <c r="K78" s="63">
        <f t="shared" si="32"/>
        <v>45818</v>
      </c>
      <c r="L78" s="55">
        <f t="shared" si="33"/>
        <v>0.04</v>
      </c>
      <c r="M78" s="76">
        <v>0.22500000000000001</v>
      </c>
      <c r="N78" s="62">
        <v>45818</v>
      </c>
      <c r="O78" s="62">
        <v>46182</v>
      </c>
      <c r="P78" s="63"/>
      <c r="Q78" s="63"/>
      <c r="R78" s="82">
        <v>23</v>
      </c>
      <c r="S78" s="63" t="str">
        <f>VLOOKUP(R78,SA!$B$5:$C$11,2,1)</f>
        <v>0-35</v>
      </c>
      <c r="T78" s="38" t="s">
        <v>96</v>
      </c>
      <c r="U78" s="24" t="s">
        <v>114</v>
      </c>
      <c r="V78" s="24">
        <v>300000</v>
      </c>
      <c r="W78" s="39">
        <f t="shared" si="34"/>
        <v>0</v>
      </c>
      <c r="X78" s="29">
        <f t="shared" si="35"/>
        <v>0</v>
      </c>
      <c r="Y78" s="40">
        <f t="shared" si="36"/>
        <v>365</v>
      </c>
      <c r="Z78" s="38">
        <f t="shared" si="31"/>
        <v>46081</v>
      </c>
      <c r="AA78" s="41">
        <f t="shared" si="37"/>
        <v>264</v>
      </c>
      <c r="AB78" s="24" t="s">
        <v>125</v>
      </c>
      <c r="AC78" s="41">
        <f t="shared" si="38"/>
        <v>3874.2114000000001</v>
      </c>
      <c r="AD78" s="41">
        <v>1</v>
      </c>
      <c r="AE78" s="72">
        <f>IFERROR(INDEX(SA!$C$4:$E$11,MATCH(Details!S78,SA!$C$4:$C$11,0),MATCH(Details!V78,SA!$C$4:$E$4,0)),0)*Y78/(F78-E78+1)</f>
        <v>3283.23</v>
      </c>
      <c r="AF78" s="41">
        <f t="shared" si="39"/>
        <v>0</v>
      </c>
      <c r="AG78" s="41">
        <f t="shared" si="40"/>
        <v>0</v>
      </c>
      <c r="AH78" s="41">
        <f t="shared" si="41"/>
        <v>590.98140000000001</v>
      </c>
      <c r="AI78" s="60">
        <f t="shared" si="42"/>
        <v>131.32920000000001</v>
      </c>
      <c r="AJ78" s="60">
        <f t="shared" si="43"/>
        <v>738.72675000000004</v>
      </c>
      <c r="AK78" s="60">
        <f t="shared" si="44"/>
        <v>2374.7197808219175</v>
      </c>
      <c r="AL78" s="60">
        <f t="shared" si="45"/>
        <v>1745.4190389041094</v>
      </c>
      <c r="AM78" s="41">
        <f t="shared" si="46"/>
        <v>667.7550110958905</v>
      </c>
      <c r="AN78" s="42">
        <f t="shared" si="47"/>
        <v>45715</v>
      </c>
      <c r="AO78" s="43">
        <f t="shared" si="48"/>
        <v>3283.23</v>
      </c>
    </row>
    <row r="79" spans="1:41" s="24" customFormat="1" ht="15.75" customHeight="1" x14ac:dyDescent="0.35">
      <c r="A79" s="36" t="s">
        <v>27</v>
      </c>
      <c r="B79" s="36">
        <v>202506</v>
      </c>
      <c r="C79" s="24" t="s">
        <v>128</v>
      </c>
      <c r="D79" s="24" t="s">
        <v>129</v>
      </c>
      <c r="E79" s="62">
        <v>45818</v>
      </c>
      <c r="F79" s="62">
        <v>46182</v>
      </c>
      <c r="G79" s="37" t="s">
        <v>207</v>
      </c>
      <c r="H79" s="36">
        <v>1057</v>
      </c>
      <c r="I79" s="63">
        <v>29963</v>
      </c>
      <c r="J79" s="24" t="s">
        <v>855</v>
      </c>
      <c r="K79" s="63">
        <f t="shared" si="32"/>
        <v>45818</v>
      </c>
      <c r="L79" s="55">
        <f t="shared" si="33"/>
        <v>0.04</v>
      </c>
      <c r="M79" s="76">
        <v>0.22500000000000001</v>
      </c>
      <c r="N79" s="62">
        <v>45818</v>
      </c>
      <c r="O79" s="62">
        <v>46182</v>
      </c>
      <c r="P79" s="63"/>
      <c r="Q79" s="63"/>
      <c r="R79" s="82">
        <v>43</v>
      </c>
      <c r="S79" s="63" t="str">
        <f>VLOOKUP(R79,SA!$B$5:$C$11,2,1)</f>
        <v>36-45</v>
      </c>
      <c r="T79" s="38" t="s">
        <v>96</v>
      </c>
      <c r="U79" s="24" t="s">
        <v>56</v>
      </c>
      <c r="V79" s="24">
        <v>300000</v>
      </c>
      <c r="W79" s="39">
        <f t="shared" si="34"/>
        <v>300000</v>
      </c>
      <c r="X79" s="29">
        <f t="shared" si="35"/>
        <v>1</v>
      </c>
      <c r="Y79" s="40">
        <f t="shared" si="36"/>
        <v>365</v>
      </c>
      <c r="Z79" s="38">
        <f t="shared" si="31"/>
        <v>46081</v>
      </c>
      <c r="AA79" s="41">
        <f t="shared" si="37"/>
        <v>264</v>
      </c>
      <c r="AB79" s="24" t="s">
        <v>125</v>
      </c>
      <c r="AC79" s="41">
        <f t="shared" si="38"/>
        <v>5017.3245999999999</v>
      </c>
      <c r="AD79" s="41">
        <v>1</v>
      </c>
      <c r="AE79" s="72">
        <f>IFERROR(INDEX(SA!$C$4:$E$11,MATCH(Details!S79,SA!$C$4:$C$11,0),MATCH(Details!V79,SA!$C$4:$E$4,0)),0)*Y79/(F79-E79+1)</f>
        <v>4251.97</v>
      </c>
      <c r="AF79" s="41">
        <f t="shared" si="39"/>
        <v>0</v>
      </c>
      <c r="AG79" s="41">
        <f t="shared" si="40"/>
        <v>0</v>
      </c>
      <c r="AH79" s="41">
        <f t="shared" si="41"/>
        <v>765.3546</v>
      </c>
      <c r="AI79" s="60">
        <f t="shared" si="42"/>
        <v>170.0788</v>
      </c>
      <c r="AJ79" s="60">
        <f t="shared" si="43"/>
        <v>956.69325000000003</v>
      </c>
      <c r="AK79" s="60">
        <f t="shared" si="44"/>
        <v>3075.397479452055</v>
      </c>
      <c r="AL79" s="60">
        <f t="shared" si="45"/>
        <v>2260.4171473972606</v>
      </c>
      <c r="AM79" s="41">
        <f t="shared" si="46"/>
        <v>864.78080260273941</v>
      </c>
      <c r="AN79" s="42">
        <f t="shared" si="47"/>
        <v>45715</v>
      </c>
      <c r="AO79" s="43">
        <f t="shared" si="48"/>
        <v>4251.97</v>
      </c>
    </row>
    <row r="80" spans="1:41" s="24" customFormat="1" ht="15.75" customHeight="1" x14ac:dyDescent="0.35">
      <c r="A80" s="36" t="s">
        <v>27</v>
      </c>
      <c r="B80" s="36">
        <v>202506</v>
      </c>
      <c r="C80" s="24" t="s">
        <v>128</v>
      </c>
      <c r="D80" s="24" t="s">
        <v>129</v>
      </c>
      <c r="E80" s="62">
        <v>45818</v>
      </c>
      <c r="F80" s="62">
        <v>46182</v>
      </c>
      <c r="G80" s="37" t="s">
        <v>208</v>
      </c>
      <c r="H80" s="36">
        <v>1057</v>
      </c>
      <c r="I80" s="63">
        <v>40414</v>
      </c>
      <c r="J80" s="24" t="s">
        <v>856</v>
      </c>
      <c r="K80" s="63">
        <f t="shared" si="32"/>
        <v>45818</v>
      </c>
      <c r="L80" s="55">
        <f t="shared" si="33"/>
        <v>0.04</v>
      </c>
      <c r="M80" s="76">
        <v>0.22500000000000001</v>
      </c>
      <c r="N80" s="62">
        <v>45818</v>
      </c>
      <c r="O80" s="62">
        <v>46182</v>
      </c>
      <c r="P80" s="63"/>
      <c r="Q80" s="63"/>
      <c r="R80" s="82">
        <v>14</v>
      </c>
      <c r="S80" s="63" t="str">
        <f>VLOOKUP(R80,SA!$B$5:$C$11,2,1)</f>
        <v>0-35</v>
      </c>
      <c r="T80" s="38" t="s">
        <v>96</v>
      </c>
      <c r="U80" s="24" t="s">
        <v>114</v>
      </c>
      <c r="V80" s="24">
        <v>300000</v>
      </c>
      <c r="W80" s="39">
        <f t="shared" si="34"/>
        <v>0</v>
      </c>
      <c r="X80" s="29">
        <f t="shared" si="35"/>
        <v>0</v>
      </c>
      <c r="Y80" s="40">
        <f t="shared" si="36"/>
        <v>365</v>
      </c>
      <c r="Z80" s="38">
        <f t="shared" si="31"/>
        <v>46081</v>
      </c>
      <c r="AA80" s="41">
        <f t="shared" si="37"/>
        <v>264</v>
      </c>
      <c r="AB80" s="24" t="s">
        <v>125</v>
      </c>
      <c r="AC80" s="41">
        <f t="shared" si="38"/>
        <v>3874.2114000000001</v>
      </c>
      <c r="AD80" s="41">
        <v>1</v>
      </c>
      <c r="AE80" s="72">
        <f>IFERROR(INDEX(SA!$C$4:$E$11,MATCH(Details!S80,SA!$C$4:$C$11,0),MATCH(Details!V80,SA!$C$4:$E$4,0)),0)*Y80/(F80-E80+1)</f>
        <v>3283.23</v>
      </c>
      <c r="AF80" s="41">
        <f t="shared" si="39"/>
        <v>0</v>
      </c>
      <c r="AG80" s="41">
        <f t="shared" si="40"/>
        <v>0</v>
      </c>
      <c r="AH80" s="41">
        <f t="shared" si="41"/>
        <v>590.98140000000001</v>
      </c>
      <c r="AI80" s="60">
        <f t="shared" si="42"/>
        <v>131.32920000000001</v>
      </c>
      <c r="AJ80" s="60">
        <f t="shared" si="43"/>
        <v>738.72675000000004</v>
      </c>
      <c r="AK80" s="60">
        <f t="shared" si="44"/>
        <v>2374.7197808219175</v>
      </c>
      <c r="AL80" s="60">
        <f t="shared" si="45"/>
        <v>1745.4190389041094</v>
      </c>
      <c r="AM80" s="41">
        <f t="shared" si="46"/>
        <v>667.7550110958905</v>
      </c>
      <c r="AN80" s="42">
        <f t="shared" si="47"/>
        <v>45715</v>
      </c>
      <c r="AO80" s="43">
        <f t="shared" si="48"/>
        <v>3283.23</v>
      </c>
    </row>
    <row r="81" spans="1:41" s="24" customFormat="1" ht="15.75" customHeight="1" x14ac:dyDescent="0.35">
      <c r="A81" s="36" t="s">
        <v>27</v>
      </c>
      <c r="B81" s="36">
        <v>202506</v>
      </c>
      <c r="C81" s="24" t="s">
        <v>128</v>
      </c>
      <c r="D81" s="24" t="s">
        <v>129</v>
      </c>
      <c r="E81" s="62">
        <v>45818</v>
      </c>
      <c r="F81" s="62">
        <v>46182</v>
      </c>
      <c r="G81" s="37" t="s">
        <v>209</v>
      </c>
      <c r="H81" s="36">
        <v>1057</v>
      </c>
      <c r="I81" s="63">
        <v>31973</v>
      </c>
      <c r="J81" s="24" t="s">
        <v>857</v>
      </c>
      <c r="K81" s="63">
        <f t="shared" si="32"/>
        <v>45818</v>
      </c>
      <c r="L81" s="55">
        <f t="shared" si="33"/>
        <v>0.04</v>
      </c>
      <c r="M81" s="76">
        <v>0.22500000000000001</v>
      </c>
      <c r="N81" s="62">
        <v>45818</v>
      </c>
      <c r="O81" s="62">
        <v>46182</v>
      </c>
      <c r="P81" s="63"/>
      <c r="Q81" s="63"/>
      <c r="R81" s="82">
        <v>37</v>
      </c>
      <c r="S81" s="63" t="str">
        <f>VLOOKUP(R81,SA!$B$5:$C$11,2,1)</f>
        <v>36-45</v>
      </c>
      <c r="T81" s="38" t="s">
        <v>97</v>
      </c>
      <c r="U81" s="24" t="s">
        <v>115</v>
      </c>
      <c r="V81" s="24">
        <v>300000</v>
      </c>
      <c r="W81" s="39">
        <f t="shared" si="34"/>
        <v>0</v>
      </c>
      <c r="X81" s="29">
        <f t="shared" si="35"/>
        <v>0</v>
      </c>
      <c r="Y81" s="40">
        <f t="shared" si="36"/>
        <v>365</v>
      </c>
      <c r="Z81" s="38">
        <f t="shared" si="31"/>
        <v>46081</v>
      </c>
      <c r="AA81" s="41">
        <f t="shared" si="37"/>
        <v>264</v>
      </c>
      <c r="AB81" s="24" t="s">
        <v>125</v>
      </c>
      <c r="AC81" s="41">
        <f t="shared" si="38"/>
        <v>5017.3245999999999</v>
      </c>
      <c r="AD81" s="41">
        <v>1</v>
      </c>
      <c r="AE81" s="72">
        <f>IFERROR(INDEX(SA!$C$4:$E$11,MATCH(Details!S81,SA!$C$4:$C$11,0),MATCH(Details!V81,SA!$C$4:$E$4,0)),0)*Y81/(F81-E81+1)</f>
        <v>4251.97</v>
      </c>
      <c r="AF81" s="41">
        <f t="shared" si="39"/>
        <v>0</v>
      </c>
      <c r="AG81" s="41">
        <f t="shared" si="40"/>
        <v>0</v>
      </c>
      <c r="AH81" s="41">
        <f t="shared" si="41"/>
        <v>765.3546</v>
      </c>
      <c r="AI81" s="60">
        <f t="shared" si="42"/>
        <v>170.0788</v>
      </c>
      <c r="AJ81" s="60">
        <f t="shared" si="43"/>
        <v>956.69325000000003</v>
      </c>
      <c r="AK81" s="60">
        <f t="shared" si="44"/>
        <v>3075.397479452055</v>
      </c>
      <c r="AL81" s="60">
        <f t="shared" si="45"/>
        <v>2260.4171473972606</v>
      </c>
      <c r="AM81" s="41">
        <f t="shared" si="46"/>
        <v>864.78080260273941</v>
      </c>
      <c r="AN81" s="42">
        <f t="shared" si="47"/>
        <v>45715</v>
      </c>
      <c r="AO81" s="43">
        <f t="shared" si="48"/>
        <v>4251.97</v>
      </c>
    </row>
    <row r="82" spans="1:41" s="24" customFormat="1" ht="15.75" customHeight="1" x14ac:dyDescent="0.35">
      <c r="A82" s="36" t="s">
        <v>27</v>
      </c>
      <c r="B82" s="36">
        <v>202506</v>
      </c>
      <c r="C82" s="24" t="s">
        <v>128</v>
      </c>
      <c r="D82" s="24" t="s">
        <v>129</v>
      </c>
      <c r="E82" s="62">
        <v>45818</v>
      </c>
      <c r="F82" s="62">
        <v>46182</v>
      </c>
      <c r="G82" s="37" t="s">
        <v>210</v>
      </c>
      <c r="H82" s="36">
        <v>1057</v>
      </c>
      <c r="I82" s="63">
        <v>39016</v>
      </c>
      <c r="J82" s="24" t="s">
        <v>858</v>
      </c>
      <c r="K82" s="63">
        <f t="shared" si="32"/>
        <v>45818</v>
      </c>
      <c r="L82" s="55">
        <f t="shared" si="33"/>
        <v>0.04</v>
      </c>
      <c r="M82" s="76">
        <v>0.22500000000000001</v>
      </c>
      <c r="N82" s="62">
        <v>45818</v>
      </c>
      <c r="O82" s="62">
        <v>46182</v>
      </c>
      <c r="P82" s="63"/>
      <c r="Q82" s="63"/>
      <c r="R82" s="82">
        <v>18</v>
      </c>
      <c r="S82" s="63" t="str">
        <f>VLOOKUP(R82,SA!$B$5:$C$11,2,1)</f>
        <v>0-35</v>
      </c>
      <c r="T82" s="38" t="s">
        <v>96</v>
      </c>
      <c r="U82" s="24" t="s">
        <v>114</v>
      </c>
      <c r="V82" s="24">
        <v>300000</v>
      </c>
      <c r="W82" s="39">
        <f t="shared" si="34"/>
        <v>0</v>
      </c>
      <c r="X82" s="29">
        <f t="shared" si="35"/>
        <v>0</v>
      </c>
      <c r="Y82" s="40">
        <f t="shared" si="36"/>
        <v>365</v>
      </c>
      <c r="Z82" s="38">
        <f t="shared" si="31"/>
        <v>46081</v>
      </c>
      <c r="AA82" s="41">
        <f t="shared" si="37"/>
        <v>264</v>
      </c>
      <c r="AB82" s="24" t="s">
        <v>125</v>
      </c>
      <c r="AC82" s="41">
        <f t="shared" si="38"/>
        <v>3874.2114000000001</v>
      </c>
      <c r="AD82" s="41">
        <v>1</v>
      </c>
      <c r="AE82" s="72">
        <f>IFERROR(INDEX(SA!$C$4:$E$11,MATCH(Details!S82,SA!$C$4:$C$11,0),MATCH(Details!V82,SA!$C$4:$E$4,0)),0)*Y82/(F82-E82+1)</f>
        <v>3283.23</v>
      </c>
      <c r="AF82" s="41">
        <f t="shared" si="39"/>
        <v>0</v>
      </c>
      <c r="AG82" s="41">
        <f t="shared" si="40"/>
        <v>0</v>
      </c>
      <c r="AH82" s="41">
        <f t="shared" si="41"/>
        <v>590.98140000000001</v>
      </c>
      <c r="AI82" s="60">
        <f t="shared" si="42"/>
        <v>131.32920000000001</v>
      </c>
      <c r="AJ82" s="60">
        <f t="shared" si="43"/>
        <v>738.72675000000004</v>
      </c>
      <c r="AK82" s="60">
        <f t="shared" si="44"/>
        <v>2374.7197808219175</v>
      </c>
      <c r="AL82" s="60">
        <f t="shared" si="45"/>
        <v>1745.4190389041094</v>
      </c>
      <c r="AM82" s="41">
        <f t="shared" si="46"/>
        <v>667.7550110958905</v>
      </c>
      <c r="AN82" s="42">
        <f t="shared" si="47"/>
        <v>45715</v>
      </c>
      <c r="AO82" s="43">
        <f t="shared" si="48"/>
        <v>3283.23</v>
      </c>
    </row>
    <row r="83" spans="1:41" s="24" customFormat="1" ht="15.75" customHeight="1" x14ac:dyDescent="0.35">
      <c r="A83" s="36" t="s">
        <v>27</v>
      </c>
      <c r="B83" s="36">
        <v>202506</v>
      </c>
      <c r="C83" s="24" t="s">
        <v>128</v>
      </c>
      <c r="D83" s="24" t="s">
        <v>129</v>
      </c>
      <c r="E83" s="62">
        <v>45818</v>
      </c>
      <c r="F83" s="62">
        <v>46182</v>
      </c>
      <c r="G83" s="37" t="s">
        <v>211</v>
      </c>
      <c r="H83" s="36">
        <v>1059</v>
      </c>
      <c r="I83" s="63">
        <v>27576</v>
      </c>
      <c r="J83" s="24" t="s">
        <v>859</v>
      </c>
      <c r="K83" s="63">
        <f t="shared" si="32"/>
        <v>45818</v>
      </c>
      <c r="L83" s="55">
        <f t="shared" si="33"/>
        <v>0.04</v>
      </c>
      <c r="M83" s="76">
        <v>0.22500000000000001</v>
      </c>
      <c r="N83" s="62">
        <v>45818</v>
      </c>
      <c r="O83" s="62">
        <v>46182</v>
      </c>
      <c r="P83" s="63"/>
      <c r="Q83" s="63"/>
      <c r="R83" s="82">
        <v>49</v>
      </c>
      <c r="S83" s="63" t="str">
        <f>VLOOKUP(R83,SA!$B$5:$C$11,2,1)</f>
        <v>46-55</v>
      </c>
      <c r="T83" s="38" t="s">
        <v>96</v>
      </c>
      <c r="U83" s="24" t="s">
        <v>56</v>
      </c>
      <c r="V83" s="24">
        <v>300000</v>
      </c>
      <c r="W83" s="39">
        <f t="shared" si="34"/>
        <v>300000</v>
      </c>
      <c r="X83" s="29">
        <f t="shared" si="35"/>
        <v>1</v>
      </c>
      <c r="Y83" s="40">
        <f t="shared" si="36"/>
        <v>365</v>
      </c>
      <c r="Z83" s="38">
        <f t="shared" si="31"/>
        <v>46081</v>
      </c>
      <c r="AA83" s="41">
        <f t="shared" si="37"/>
        <v>264</v>
      </c>
      <c r="AB83" s="24" t="s">
        <v>125</v>
      </c>
      <c r="AC83" s="41">
        <f t="shared" si="38"/>
        <v>9586.9925999999996</v>
      </c>
      <c r="AD83" s="41">
        <v>1</v>
      </c>
      <c r="AE83" s="72">
        <f>IFERROR(INDEX(SA!$C$4:$E$11,MATCH(Details!S83,SA!$C$4:$C$11,0),MATCH(Details!V83,SA!$C$4:$E$4,0)),0)*Y83/(F83-E83+1)</f>
        <v>8124.57</v>
      </c>
      <c r="AF83" s="41">
        <f t="shared" si="39"/>
        <v>0</v>
      </c>
      <c r="AG83" s="41">
        <f t="shared" si="40"/>
        <v>0</v>
      </c>
      <c r="AH83" s="41">
        <f t="shared" si="41"/>
        <v>1462.4225999999999</v>
      </c>
      <c r="AI83" s="60">
        <f t="shared" si="42"/>
        <v>324.9828</v>
      </c>
      <c r="AJ83" s="60">
        <f t="shared" si="43"/>
        <v>1828.0282500000001</v>
      </c>
      <c r="AK83" s="60">
        <f t="shared" si="44"/>
        <v>5876.4013150684932</v>
      </c>
      <c r="AL83" s="60">
        <f t="shared" si="45"/>
        <v>4319.1549665753428</v>
      </c>
      <c r="AM83" s="41">
        <f t="shared" si="46"/>
        <v>1652.4039834246571</v>
      </c>
      <c r="AN83" s="42">
        <f t="shared" si="47"/>
        <v>45715</v>
      </c>
      <c r="AO83" s="43">
        <f t="shared" si="48"/>
        <v>8124.57</v>
      </c>
    </row>
    <row r="84" spans="1:41" s="24" customFormat="1" ht="15.75" customHeight="1" x14ac:dyDescent="0.35">
      <c r="A84" s="36" t="s">
        <v>27</v>
      </c>
      <c r="B84" s="36">
        <v>202506</v>
      </c>
      <c r="C84" s="24" t="s">
        <v>128</v>
      </c>
      <c r="D84" s="24" t="s">
        <v>129</v>
      </c>
      <c r="E84" s="62">
        <v>45818</v>
      </c>
      <c r="F84" s="62">
        <v>46182</v>
      </c>
      <c r="G84" s="37" t="s">
        <v>212</v>
      </c>
      <c r="H84" s="36">
        <v>1059</v>
      </c>
      <c r="I84" s="63">
        <v>38684</v>
      </c>
      <c r="J84" s="24" t="s">
        <v>860</v>
      </c>
      <c r="K84" s="63">
        <f t="shared" si="32"/>
        <v>45818</v>
      </c>
      <c r="L84" s="55">
        <f t="shared" si="33"/>
        <v>0.04</v>
      </c>
      <c r="M84" s="76">
        <v>0.22500000000000001</v>
      </c>
      <c r="N84" s="62">
        <v>45818</v>
      </c>
      <c r="O84" s="62">
        <v>46182</v>
      </c>
      <c r="P84" s="63"/>
      <c r="Q84" s="63"/>
      <c r="R84" s="82">
        <v>19</v>
      </c>
      <c r="S84" s="63" t="str">
        <f>VLOOKUP(R84,SA!$B$5:$C$11,2,1)</f>
        <v>0-35</v>
      </c>
      <c r="T84" s="38" t="s">
        <v>97</v>
      </c>
      <c r="U84" s="24" t="s">
        <v>113</v>
      </c>
      <c r="V84" s="24">
        <v>300000</v>
      </c>
      <c r="W84" s="39">
        <f t="shared" si="34"/>
        <v>0</v>
      </c>
      <c r="X84" s="29">
        <f t="shared" si="35"/>
        <v>0</v>
      </c>
      <c r="Y84" s="40">
        <f t="shared" si="36"/>
        <v>365</v>
      </c>
      <c r="Z84" s="38">
        <f t="shared" si="31"/>
        <v>46081</v>
      </c>
      <c r="AA84" s="41">
        <f t="shared" si="37"/>
        <v>264</v>
      </c>
      <c r="AB84" s="24" t="s">
        <v>125</v>
      </c>
      <c r="AC84" s="41">
        <f t="shared" si="38"/>
        <v>3874.2114000000001</v>
      </c>
      <c r="AD84" s="41">
        <v>1</v>
      </c>
      <c r="AE84" s="72">
        <f>IFERROR(INDEX(SA!$C$4:$E$11,MATCH(Details!S84,SA!$C$4:$C$11,0),MATCH(Details!V84,SA!$C$4:$E$4,0)),0)*Y84/(F84-E84+1)</f>
        <v>3283.23</v>
      </c>
      <c r="AF84" s="41">
        <f t="shared" si="39"/>
        <v>0</v>
      </c>
      <c r="AG84" s="41">
        <f t="shared" si="40"/>
        <v>0</v>
      </c>
      <c r="AH84" s="41">
        <f t="shared" si="41"/>
        <v>590.98140000000001</v>
      </c>
      <c r="AI84" s="60">
        <f t="shared" si="42"/>
        <v>131.32920000000001</v>
      </c>
      <c r="AJ84" s="60">
        <f t="shared" si="43"/>
        <v>738.72675000000004</v>
      </c>
      <c r="AK84" s="60">
        <f t="shared" si="44"/>
        <v>2374.7197808219175</v>
      </c>
      <c r="AL84" s="60">
        <f t="shared" si="45"/>
        <v>1745.4190389041094</v>
      </c>
      <c r="AM84" s="41">
        <f t="shared" si="46"/>
        <v>667.7550110958905</v>
      </c>
      <c r="AN84" s="42">
        <f t="shared" si="47"/>
        <v>45715</v>
      </c>
      <c r="AO84" s="43">
        <f t="shared" si="48"/>
        <v>3283.23</v>
      </c>
    </row>
    <row r="85" spans="1:41" s="24" customFormat="1" ht="15.75" customHeight="1" x14ac:dyDescent="0.35">
      <c r="A85" s="36" t="s">
        <v>27</v>
      </c>
      <c r="B85" s="36">
        <v>202506</v>
      </c>
      <c r="C85" s="24" t="s">
        <v>128</v>
      </c>
      <c r="D85" s="24" t="s">
        <v>129</v>
      </c>
      <c r="E85" s="62">
        <v>45818</v>
      </c>
      <c r="F85" s="62">
        <v>46182</v>
      </c>
      <c r="G85" s="37" t="s">
        <v>213</v>
      </c>
      <c r="H85" s="36">
        <v>1059</v>
      </c>
      <c r="I85" s="63">
        <v>38131</v>
      </c>
      <c r="J85" s="24" t="s">
        <v>861</v>
      </c>
      <c r="K85" s="63">
        <f t="shared" si="32"/>
        <v>45818</v>
      </c>
      <c r="L85" s="55">
        <f t="shared" si="33"/>
        <v>0.04</v>
      </c>
      <c r="M85" s="76">
        <v>0.22500000000000001</v>
      </c>
      <c r="N85" s="62">
        <v>45818</v>
      </c>
      <c r="O85" s="62">
        <v>46182</v>
      </c>
      <c r="P85" s="63"/>
      <c r="Q85" s="63"/>
      <c r="R85" s="82">
        <v>21</v>
      </c>
      <c r="S85" s="63" t="str">
        <f>VLOOKUP(R85,SA!$B$5:$C$11,2,1)</f>
        <v>0-35</v>
      </c>
      <c r="T85" s="38" t="s">
        <v>96</v>
      </c>
      <c r="U85" s="24" t="s">
        <v>114</v>
      </c>
      <c r="V85" s="24">
        <v>300000</v>
      </c>
      <c r="W85" s="39">
        <f t="shared" si="34"/>
        <v>0</v>
      </c>
      <c r="X85" s="29">
        <f t="shared" si="35"/>
        <v>0</v>
      </c>
      <c r="Y85" s="40">
        <f t="shared" si="36"/>
        <v>365</v>
      </c>
      <c r="Z85" s="38">
        <f t="shared" si="31"/>
        <v>46081</v>
      </c>
      <c r="AA85" s="41">
        <f t="shared" si="37"/>
        <v>264</v>
      </c>
      <c r="AB85" s="24" t="s">
        <v>125</v>
      </c>
      <c r="AC85" s="41">
        <f t="shared" si="38"/>
        <v>3874.2114000000001</v>
      </c>
      <c r="AD85" s="41">
        <v>1</v>
      </c>
      <c r="AE85" s="72">
        <f>IFERROR(INDEX(SA!$C$4:$E$11,MATCH(Details!S85,SA!$C$4:$C$11,0),MATCH(Details!V85,SA!$C$4:$E$4,0)),0)*Y85/(F85-E85+1)</f>
        <v>3283.23</v>
      </c>
      <c r="AF85" s="41">
        <f t="shared" si="39"/>
        <v>0</v>
      </c>
      <c r="AG85" s="41">
        <f t="shared" si="40"/>
        <v>0</v>
      </c>
      <c r="AH85" s="41">
        <f t="shared" si="41"/>
        <v>590.98140000000001</v>
      </c>
      <c r="AI85" s="60">
        <f t="shared" si="42"/>
        <v>131.32920000000001</v>
      </c>
      <c r="AJ85" s="60">
        <f t="shared" si="43"/>
        <v>738.72675000000004</v>
      </c>
      <c r="AK85" s="60">
        <f t="shared" si="44"/>
        <v>2374.7197808219175</v>
      </c>
      <c r="AL85" s="60">
        <f t="shared" si="45"/>
        <v>1745.4190389041094</v>
      </c>
      <c r="AM85" s="41">
        <f t="shared" si="46"/>
        <v>667.7550110958905</v>
      </c>
      <c r="AN85" s="42">
        <f t="shared" si="47"/>
        <v>45715</v>
      </c>
      <c r="AO85" s="43">
        <f t="shared" si="48"/>
        <v>3283.23</v>
      </c>
    </row>
    <row r="86" spans="1:41" s="24" customFormat="1" ht="15.75" customHeight="1" x14ac:dyDescent="0.35">
      <c r="A86" s="36" t="s">
        <v>27</v>
      </c>
      <c r="B86" s="36">
        <v>202506</v>
      </c>
      <c r="C86" s="24" t="s">
        <v>128</v>
      </c>
      <c r="D86" s="24" t="s">
        <v>129</v>
      </c>
      <c r="E86" s="62">
        <v>45818</v>
      </c>
      <c r="F86" s="62">
        <v>46182</v>
      </c>
      <c r="G86" s="37" t="s">
        <v>214</v>
      </c>
      <c r="H86" s="36">
        <v>1059</v>
      </c>
      <c r="I86" s="63">
        <v>30717</v>
      </c>
      <c r="J86" s="24" t="s">
        <v>862</v>
      </c>
      <c r="K86" s="63">
        <f t="shared" si="32"/>
        <v>45818</v>
      </c>
      <c r="L86" s="55">
        <f t="shared" si="33"/>
        <v>0.04</v>
      </c>
      <c r="M86" s="76">
        <v>0.22500000000000001</v>
      </c>
      <c r="N86" s="62">
        <v>45818</v>
      </c>
      <c r="O86" s="62">
        <v>46182</v>
      </c>
      <c r="P86" s="63"/>
      <c r="Q86" s="63"/>
      <c r="R86" s="82">
        <v>41</v>
      </c>
      <c r="S86" s="63" t="str">
        <f>VLOOKUP(R86,SA!$B$5:$C$11,2,1)</f>
        <v>36-45</v>
      </c>
      <c r="T86" s="38" t="s">
        <v>97</v>
      </c>
      <c r="U86" s="24" t="s">
        <v>115</v>
      </c>
      <c r="V86" s="24">
        <v>300000</v>
      </c>
      <c r="W86" s="39">
        <f t="shared" si="34"/>
        <v>0</v>
      </c>
      <c r="X86" s="29">
        <f t="shared" si="35"/>
        <v>0</v>
      </c>
      <c r="Y86" s="40">
        <f t="shared" si="36"/>
        <v>365</v>
      </c>
      <c r="Z86" s="38">
        <f t="shared" si="31"/>
        <v>46081</v>
      </c>
      <c r="AA86" s="41">
        <f t="shared" si="37"/>
        <v>264</v>
      </c>
      <c r="AB86" s="24" t="s">
        <v>125</v>
      </c>
      <c r="AC86" s="41">
        <f t="shared" si="38"/>
        <v>5017.3245999999999</v>
      </c>
      <c r="AD86" s="41">
        <v>1</v>
      </c>
      <c r="AE86" s="72">
        <f>IFERROR(INDEX(SA!$C$4:$E$11,MATCH(Details!S86,SA!$C$4:$C$11,0),MATCH(Details!V86,SA!$C$4:$E$4,0)),0)*Y86/(F86-E86+1)</f>
        <v>4251.97</v>
      </c>
      <c r="AF86" s="41">
        <f t="shared" si="39"/>
        <v>0</v>
      </c>
      <c r="AG86" s="41">
        <f t="shared" si="40"/>
        <v>0</v>
      </c>
      <c r="AH86" s="41">
        <f t="shared" si="41"/>
        <v>765.3546</v>
      </c>
      <c r="AI86" s="60">
        <f t="shared" si="42"/>
        <v>170.0788</v>
      </c>
      <c r="AJ86" s="60">
        <f t="shared" si="43"/>
        <v>956.69325000000003</v>
      </c>
      <c r="AK86" s="60">
        <f t="shared" si="44"/>
        <v>3075.397479452055</v>
      </c>
      <c r="AL86" s="60">
        <f t="shared" si="45"/>
        <v>2260.4171473972606</v>
      </c>
      <c r="AM86" s="41">
        <f t="shared" si="46"/>
        <v>864.78080260273941</v>
      </c>
      <c r="AN86" s="42">
        <f t="shared" si="47"/>
        <v>45715</v>
      </c>
      <c r="AO86" s="43">
        <f t="shared" si="48"/>
        <v>4251.97</v>
      </c>
    </row>
    <row r="87" spans="1:41" s="24" customFormat="1" ht="15.75" customHeight="1" x14ac:dyDescent="0.35">
      <c r="A87" s="36" t="s">
        <v>27</v>
      </c>
      <c r="B87" s="36">
        <v>202506</v>
      </c>
      <c r="C87" s="24" t="s">
        <v>128</v>
      </c>
      <c r="D87" s="24" t="s">
        <v>129</v>
      </c>
      <c r="E87" s="62">
        <v>45818</v>
      </c>
      <c r="F87" s="62">
        <v>46182</v>
      </c>
      <c r="G87" s="37" t="s">
        <v>215</v>
      </c>
      <c r="H87" s="36">
        <v>1060</v>
      </c>
      <c r="I87" s="63">
        <v>30202</v>
      </c>
      <c r="J87" s="24" t="s">
        <v>863</v>
      </c>
      <c r="K87" s="63">
        <f t="shared" si="32"/>
        <v>45818</v>
      </c>
      <c r="L87" s="55">
        <f t="shared" si="33"/>
        <v>0.04</v>
      </c>
      <c r="M87" s="76">
        <v>0.22500000000000001</v>
      </c>
      <c r="N87" s="62">
        <v>45818</v>
      </c>
      <c r="O87" s="62">
        <v>46182</v>
      </c>
      <c r="P87" s="63"/>
      <c r="Q87" s="63"/>
      <c r="R87" s="82">
        <v>42</v>
      </c>
      <c r="S87" s="63" t="str">
        <f>VLOOKUP(R87,SA!$B$5:$C$11,2,1)</f>
        <v>36-45</v>
      </c>
      <c r="T87" s="38" t="s">
        <v>96</v>
      </c>
      <c r="U87" s="24" t="s">
        <v>56</v>
      </c>
      <c r="V87" s="24">
        <v>300000</v>
      </c>
      <c r="W87" s="39">
        <f t="shared" si="34"/>
        <v>300000</v>
      </c>
      <c r="X87" s="29">
        <f t="shared" si="35"/>
        <v>1</v>
      </c>
      <c r="Y87" s="40">
        <f t="shared" si="36"/>
        <v>365</v>
      </c>
      <c r="Z87" s="38">
        <f t="shared" si="31"/>
        <v>46081</v>
      </c>
      <c r="AA87" s="41">
        <f t="shared" si="37"/>
        <v>264</v>
      </c>
      <c r="AB87" s="24" t="s">
        <v>125</v>
      </c>
      <c r="AC87" s="41">
        <f t="shared" si="38"/>
        <v>5017.3245999999999</v>
      </c>
      <c r="AD87" s="41">
        <v>1</v>
      </c>
      <c r="AE87" s="72">
        <f>IFERROR(INDEX(SA!$C$4:$E$11,MATCH(Details!S87,SA!$C$4:$C$11,0),MATCH(Details!V87,SA!$C$4:$E$4,0)),0)*Y87/(F87-E87+1)</f>
        <v>4251.97</v>
      </c>
      <c r="AF87" s="41">
        <f t="shared" si="39"/>
        <v>0</v>
      </c>
      <c r="AG87" s="41">
        <f t="shared" si="40"/>
        <v>0</v>
      </c>
      <c r="AH87" s="41">
        <f t="shared" si="41"/>
        <v>765.3546</v>
      </c>
      <c r="AI87" s="60">
        <f t="shared" si="42"/>
        <v>170.0788</v>
      </c>
      <c r="AJ87" s="60">
        <f t="shared" si="43"/>
        <v>956.69325000000003</v>
      </c>
      <c r="AK87" s="60">
        <f t="shared" si="44"/>
        <v>3075.397479452055</v>
      </c>
      <c r="AL87" s="60">
        <f t="shared" si="45"/>
        <v>2260.4171473972606</v>
      </c>
      <c r="AM87" s="41">
        <f t="shared" si="46"/>
        <v>864.78080260273941</v>
      </c>
      <c r="AN87" s="42">
        <f t="shared" si="47"/>
        <v>45715</v>
      </c>
      <c r="AO87" s="43">
        <f t="shared" si="48"/>
        <v>4251.97</v>
      </c>
    </row>
    <row r="88" spans="1:41" s="24" customFormat="1" ht="15.75" customHeight="1" x14ac:dyDescent="0.35">
      <c r="A88" s="36" t="s">
        <v>27</v>
      </c>
      <c r="B88" s="36">
        <v>202506</v>
      </c>
      <c r="C88" s="24" t="s">
        <v>128</v>
      </c>
      <c r="D88" s="24" t="s">
        <v>129</v>
      </c>
      <c r="E88" s="62">
        <v>45818</v>
      </c>
      <c r="F88" s="62">
        <v>46182</v>
      </c>
      <c r="G88" s="37" t="s">
        <v>216</v>
      </c>
      <c r="H88" s="36">
        <v>1060</v>
      </c>
      <c r="I88" s="63">
        <v>38998</v>
      </c>
      <c r="J88" s="24" t="s">
        <v>864</v>
      </c>
      <c r="K88" s="63">
        <f t="shared" si="32"/>
        <v>45818</v>
      </c>
      <c r="L88" s="55">
        <f t="shared" si="33"/>
        <v>0.04</v>
      </c>
      <c r="M88" s="76">
        <v>0.22500000000000001</v>
      </c>
      <c r="N88" s="62">
        <v>45818</v>
      </c>
      <c r="O88" s="62">
        <v>46182</v>
      </c>
      <c r="P88" s="63"/>
      <c r="Q88" s="63"/>
      <c r="R88" s="82">
        <v>18</v>
      </c>
      <c r="S88" s="63" t="str">
        <f>VLOOKUP(R88,SA!$B$5:$C$11,2,1)</f>
        <v>0-35</v>
      </c>
      <c r="T88" s="38" t="s">
        <v>96</v>
      </c>
      <c r="U88" s="24" t="s">
        <v>114</v>
      </c>
      <c r="V88" s="24">
        <v>300000</v>
      </c>
      <c r="W88" s="39">
        <f t="shared" si="34"/>
        <v>0</v>
      </c>
      <c r="X88" s="29">
        <f t="shared" si="35"/>
        <v>0</v>
      </c>
      <c r="Y88" s="40">
        <f t="shared" si="36"/>
        <v>365</v>
      </c>
      <c r="Z88" s="38">
        <f t="shared" si="31"/>
        <v>46081</v>
      </c>
      <c r="AA88" s="41">
        <f t="shared" si="37"/>
        <v>264</v>
      </c>
      <c r="AB88" s="24" t="s">
        <v>125</v>
      </c>
      <c r="AC88" s="41">
        <f t="shared" si="38"/>
        <v>3874.2114000000001</v>
      </c>
      <c r="AD88" s="41">
        <v>1</v>
      </c>
      <c r="AE88" s="72">
        <f>IFERROR(INDEX(SA!$C$4:$E$11,MATCH(Details!S88,SA!$C$4:$C$11,0),MATCH(Details!V88,SA!$C$4:$E$4,0)),0)*Y88/(F88-E88+1)</f>
        <v>3283.23</v>
      </c>
      <c r="AF88" s="41">
        <f t="shared" si="39"/>
        <v>0</v>
      </c>
      <c r="AG88" s="41">
        <f t="shared" si="40"/>
        <v>0</v>
      </c>
      <c r="AH88" s="41">
        <f t="shared" si="41"/>
        <v>590.98140000000001</v>
      </c>
      <c r="AI88" s="60">
        <f t="shared" si="42"/>
        <v>131.32920000000001</v>
      </c>
      <c r="AJ88" s="60">
        <f t="shared" si="43"/>
        <v>738.72675000000004</v>
      </c>
      <c r="AK88" s="60">
        <f t="shared" si="44"/>
        <v>2374.7197808219175</v>
      </c>
      <c r="AL88" s="60">
        <f t="shared" si="45"/>
        <v>1745.4190389041094</v>
      </c>
      <c r="AM88" s="41">
        <f t="shared" si="46"/>
        <v>667.7550110958905</v>
      </c>
      <c r="AN88" s="42">
        <f t="shared" si="47"/>
        <v>45715</v>
      </c>
      <c r="AO88" s="43">
        <f t="shared" si="48"/>
        <v>3283.23</v>
      </c>
    </row>
    <row r="89" spans="1:41" s="24" customFormat="1" ht="15.75" customHeight="1" x14ac:dyDescent="0.35">
      <c r="A89" s="36" t="s">
        <v>27</v>
      </c>
      <c r="B89" s="36">
        <v>202506</v>
      </c>
      <c r="C89" s="24" t="s">
        <v>128</v>
      </c>
      <c r="D89" s="24" t="s">
        <v>129</v>
      </c>
      <c r="E89" s="62">
        <v>45818</v>
      </c>
      <c r="F89" s="62">
        <v>46182</v>
      </c>
      <c r="G89" s="37" t="s">
        <v>217</v>
      </c>
      <c r="H89" s="36">
        <v>1060</v>
      </c>
      <c r="I89" s="63">
        <v>40523</v>
      </c>
      <c r="J89" s="24" t="s">
        <v>865</v>
      </c>
      <c r="K89" s="63">
        <f t="shared" si="32"/>
        <v>45818</v>
      </c>
      <c r="L89" s="55">
        <f t="shared" si="33"/>
        <v>0.04</v>
      </c>
      <c r="M89" s="76">
        <v>0.22500000000000001</v>
      </c>
      <c r="N89" s="62">
        <v>45818</v>
      </c>
      <c r="O89" s="62">
        <v>46182</v>
      </c>
      <c r="P89" s="63"/>
      <c r="Q89" s="63"/>
      <c r="R89" s="82">
        <v>14</v>
      </c>
      <c r="S89" s="63" t="str">
        <f>VLOOKUP(R89,SA!$B$5:$C$11,2,1)</f>
        <v>0-35</v>
      </c>
      <c r="T89" s="38" t="s">
        <v>96</v>
      </c>
      <c r="U89" s="24" t="s">
        <v>114</v>
      </c>
      <c r="V89" s="24">
        <v>300000</v>
      </c>
      <c r="W89" s="39">
        <f t="shared" si="34"/>
        <v>0</v>
      </c>
      <c r="X89" s="29">
        <f t="shared" si="35"/>
        <v>0</v>
      </c>
      <c r="Y89" s="40">
        <f t="shared" si="36"/>
        <v>365</v>
      </c>
      <c r="Z89" s="38">
        <f t="shared" si="31"/>
        <v>46081</v>
      </c>
      <c r="AA89" s="41">
        <f t="shared" si="37"/>
        <v>264</v>
      </c>
      <c r="AB89" s="24" t="s">
        <v>125</v>
      </c>
      <c r="AC89" s="41">
        <f t="shared" si="38"/>
        <v>3874.2114000000001</v>
      </c>
      <c r="AD89" s="41">
        <v>1</v>
      </c>
      <c r="AE89" s="72">
        <f>IFERROR(INDEX(SA!$C$4:$E$11,MATCH(Details!S89,SA!$C$4:$C$11,0),MATCH(Details!V89,SA!$C$4:$E$4,0)),0)*Y89/(F89-E89+1)</f>
        <v>3283.23</v>
      </c>
      <c r="AF89" s="41">
        <f t="shared" si="39"/>
        <v>0</v>
      </c>
      <c r="AG89" s="41">
        <f t="shared" si="40"/>
        <v>0</v>
      </c>
      <c r="AH89" s="41">
        <f t="shared" si="41"/>
        <v>590.98140000000001</v>
      </c>
      <c r="AI89" s="60">
        <f t="shared" si="42"/>
        <v>131.32920000000001</v>
      </c>
      <c r="AJ89" s="60">
        <f t="shared" si="43"/>
        <v>738.72675000000004</v>
      </c>
      <c r="AK89" s="60">
        <f t="shared" si="44"/>
        <v>2374.7197808219175</v>
      </c>
      <c r="AL89" s="60">
        <f t="shared" si="45"/>
        <v>1745.4190389041094</v>
      </c>
      <c r="AM89" s="41">
        <f t="shared" si="46"/>
        <v>667.7550110958905</v>
      </c>
      <c r="AN89" s="42">
        <f t="shared" si="47"/>
        <v>45715</v>
      </c>
      <c r="AO89" s="43">
        <f t="shared" si="48"/>
        <v>3283.23</v>
      </c>
    </row>
    <row r="90" spans="1:41" s="24" customFormat="1" ht="15.75" customHeight="1" x14ac:dyDescent="0.35">
      <c r="A90" s="36" t="s">
        <v>27</v>
      </c>
      <c r="B90" s="36">
        <v>202506</v>
      </c>
      <c r="C90" s="24" t="s">
        <v>128</v>
      </c>
      <c r="D90" s="24" t="s">
        <v>129</v>
      </c>
      <c r="E90" s="62">
        <v>45818</v>
      </c>
      <c r="F90" s="62">
        <v>46182</v>
      </c>
      <c r="G90" s="37" t="s">
        <v>218</v>
      </c>
      <c r="H90" s="36">
        <v>1060</v>
      </c>
      <c r="I90" s="63">
        <v>30529</v>
      </c>
      <c r="J90" s="24" t="s">
        <v>866</v>
      </c>
      <c r="K90" s="63">
        <f t="shared" si="32"/>
        <v>45818</v>
      </c>
      <c r="L90" s="55">
        <f t="shared" si="33"/>
        <v>0.04</v>
      </c>
      <c r="M90" s="76">
        <v>0.22500000000000001</v>
      </c>
      <c r="N90" s="62">
        <v>45818</v>
      </c>
      <c r="O90" s="62">
        <v>46182</v>
      </c>
      <c r="P90" s="63"/>
      <c r="Q90" s="63"/>
      <c r="R90" s="82">
        <v>41</v>
      </c>
      <c r="S90" s="63" t="str">
        <f>VLOOKUP(R90,SA!$B$5:$C$11,2,1)</f>
        <v>36-45</v>
      </c>
      <c r="T90" s="38" t="s">
        <v>97</v>
      </c>
      <c r="U90" s="24" t="s">
        <v>115</v>
      </c>
      <c r="V90" s="24">
        <v>300000</v>
      </c>
      <c r="W90" s="39">
        <f t="shared" si="34"/>
        <v>0</v>
      </c>
      <c r="X90" s="29">
        <f t="shared" si="35"/>
        <v>0</v>
      </c>
      <c r="Y90" s="40">
        <f t="shared" si="36"/>
        <v>365</v>
      </c>
      <c r="Z90" s="38">
        <f t="shared" si="31"/>
        <v>46081</v>
      </c>
      <c r="AA90" s="41">
        <f t="shared" si="37"/>
        <v>264</v>
      </c>
      <c r="AB90" s="24" t="s">
        <v>125</v>
      </c>
      <c r="AC90" s="41">
        <f t="shared" si="38"/>
        <v>5017.3245999999999</v>
      </c>
      <c r="AD90" s="41">
        <v>1</v>
      </c>
      <c r="AE90" s="72">
        <f>IFERROR(INDEX(SA!$C$4:$E$11,MATCH(Details!S90,SA!$C$4:$C$11,0),MATCH(Details!V90,SA!$C$4:$E$4,0)),0)*Y90/(F90-E90+1)</f>
        <v>4251.97</v>
      </c>
      <c r="AF90" s="41">
        <f t="shared" si="39"/>
        <v>0</v>
      </c>
      <c r="AG90" s="41">
        <f t="shared" si="40"/>
        <v>0</v>
      </c>
      <c r="AH90" s="41">
        <f t="shared" si="41"/>
        <v>765.3546</v>
      </c>
      <c r="AI90" s="60">
        <f t="shared" si="42"/>
        <v>170.0788</v>
      </c>
      <c r="AJ90" s="60">
        <f t="shared" si="43"/>
        <v>956.69325000000003</v>
      </c>
      <c r="AK90" s="60">
        <f t="shared" si="44"/>
        <v>3075.397479452055</v>
      </c>
      <c r="AL90" s="60">
        <f t="shared" si="45"/>
        <v>2260.4171473972606</v>
      </c>
      <c r="AM90" s="41">
        <f t="shared" si="46"/>
        <v>864.78080260273941</v>
      </c>
      <c r="AN90" s="42">
        <f t="shared" si="47"/>
        <v>45715</v>
      </c>
      <c r="AO90" s="43">
        <f t="shared" si="48"/>
        <v>4251.97</v>
      </c>
    </row>
    <row r="91" spans="1:41" s="24" customFormat="1" ht="15.75" customHeight="1" x14ac:dyDescent="0.35">
      <c r="A91" s="36" t="s">
        <v>27</v>
      </c>
      <c r="B91" s="36">
        <v>202506</v>
      </c>
      <c r="C91" s="24" t="s">
        <v>128</v>
      </c>
      <c r="D91" s="24" t="s">
        <v>129</v>
      </c>
      <c r="E91" s="62">
        <v>45818</v>
      </c>
      <c r="F91" s="62">
        <v>46182</v>
      </c>
      <c r="G91" s="37" t="s">
        <v>219</v>
      </c>
      <c r="H91" s="36">
        <v>1061</v>
      </c>
      <c r="I91" s="63">
        <v>27949</v>
      </c>
      <c r="J91" s="24" t="s">
        <v>867</v>
      </c>
      <c r="K91" s="63">
        <f t="shared" si="32"/>
        <v>45818</v>
      </c>
      <c r="L91" s="55">
        <f t="shared" si="33"/>
        <v>0.04</v>
      </c>
      <c r="M91" s="76">
        <v>0.22500000000000001</v>
      </c>
      <c r="N91" s="62">
        <v>45818</v>
      </c>
      <c r="O91" s="62">
        <v>46182</v>
      </c>
      <c r="P91" s="63"/>
      <c r="Q91" s="63"/>
      <c r="R91" s="82">
        <v>48</v>
      </c>
      <c r="S91" s="63" t="str">
        <f>VLOOKUP(R91,SA!$B$5:$C$11,2,1)</f>
        <v>46-55</v>
      </c>
      <c r="T91" s="38" t="s">
        <v>96</v>
      </c>
      <c r="U91" s="24" t="s">
        <v>56</v>
      </c>
      <c r="V91" s="24">
        <v>300000</v>
      </c>
      <c r="W91" s="39">
        <f t="shared" si="34"/>
        <v>300000</v>
      </c>
      <c r="X91" s="29">
        <f t="shared" si="35"/>
        <v>1</v>
      </c>
      <c r="Y91" s="40">
        <f t="shared" si="36"/>
        <v>365</v>
      </c>
      <c r="Z91" s="38">
        <f t="shared" si="31"/>
        <v>46081</v>
      </c>
      <c r="AA91" s="41">
        <f t="shared" si="37"/>
        <v>264</v>
      </c>
      <c r="AB91" s="24" t="s">
        <v>125</v>
      </c>
      <c r="AC91" s="41">
        <f t="shared" si="38"/>
        <v>9586.9925999999996</v>
      </c>
      <c r="AD91" s="41">
        <v>1</v>
      </c>
      <c r="AE91" s="72">
        <f>IFERROR(INDEX(SA!$C$4:$E$11,MATCH(Details!S91,SA!$C$4:$C$11,0),MATCH(Details!V91,SA!$C$4:$E$4,0)),0)*Y91/(F91-E91+1)</f>
        <v>8124.57</v>
      </c>
      <c r="AF91" s="41">
        <f t="shared" si="39"/>
        <v>0</v>
      </c>
      <c r="AG91" s="41">
        <f t="shared" si="40"/>
        <v>0</v>
      </c>
      <c r="AH91" s="41">
        <f t="shared" si="41"/>
        <v>1462.4225999999999</v>
      </c>
      <c r="AI91" s="60">
        <f t="shared" si="42"/>
        <v>324.9828</v>
      </c>
      <c r="AJ91" s="60">
        <f t="shared" si="43"/>
        <v>1828.0282500000001</v>
      </c>
      <c r="AK91" s="60">
        <f t="shared" si="44"/>
        <v>5876.4013150684932</v>
      </c>
      <c r="AL91" s="60">
        <f t="shared" si="45"/>
        <v>4319.1549665753428</v>
      </c>
      <c r="AM91" s="41">
        <f t="shared" si="46"/>
        <v>1652.4039834246571</v>
      </c>
      <c r="AN91" s="42">
        <f t="shared" si="47"/>
        <v>45715</v>
      </c>
      <c r="AO91" s="43">
        <f t="shared" si="48"/>
        <v>8124.57</v>
      </c>
    </row>
    <row r="92" spans="1:41" s="24" customFormat="1" ht="15.75" customHeight="1" x14ac:dyDescent="0.35">
      <c r="A92" s="36" t="s">
        <v>27</v>
      </c>
      <c r="B92" s="36">
        <v>202506</v>
      </c>
      <c r="C92" s="24" t="s">
        <v>128</v>
      </c>
      <c r="D92" s="24" t="s">
        <v>129</v>
      </c>
      <c r="E92" s="62">
        <v>45818</v>
      </c>
      <c r="F92" s="62">
        <v>46182</v>
      </c>
      <c r="G92" s="37" t="s">
        <v>220</v>
      </c>
      <c r="H92" s="36">
        <v>1061</v>
      </c>
      <c r="I92" s="63">
        <v>29557</v>
      </c>
      <c r="J92" s="24" t="s">
        <v>868</v>
      </c>
      <c r="K92" s="63">
        <f t="shared" si="32"/>
        <v>45818</v>
      </c>
      <c r="L92" s="55">
        <f t="shared" si="33"/>
        <v>0.04</v>
      </c>
      <c r="M92" s="76">
        <v>0.22500000000000001</v>
      </c>
      <c r="N92" s="62">
        <v>45818</v>
      </c>
      <c r="O92" s="62">
        <v>46182</v>
      </c>
      <c r="P92" s="63"/>
      <c r="Q92" s="63"/>
      <c r="R92" s="82">
        <v>44</v>
      </c>
      <c r="S92" s="63" t="str">
        <f>VLOOKUP(R92,SA!$B$5:$C$11,2,1)</f>
        <v>36-45</v>
      </c>
      <c r="T92" s="38" t="s">
        <v>97</v>
      </c>
      <c r="U92" s="24" t="s">
        <v>115</v>
      </c>
      <c r="V92" s="24">
        <v>300000</v>
      </c>
      <c r="W92" s="39">
        <f t="shared" si="34"/>
        <v>0</v>
      </c>
      <c r="X92" s="29">
        <f t="shared" si="35"/>
        <v>0</v>
      </c>
      <c r="Y92" s="40">
        <f t="shared" si="36"/>
        <v>365</v>
      </c>
      <c r="Z92" s="38">
        <f t="shared" si="31"/>
        <v>46081</v>
      </c>
      <c r="AA92" s="41">
        <f t="shared" si="37"/>
        <v>264</v>
      </c>
      <c r="AB92" s="24" t="s">
        <v>125</v>
      </c>
      <c r="AC92" s="41">
        <f t="shared" si="38"/>
        <v>5017.3245999999999</v>
      </c>
      <c r="AD92" s="41">
        <v>1</v>
      </c>
      <c r="AE92" s="72">
        <f>IFERROR(INDEX(SA!$C$4:$E$11,MATCH(Details!S92,SA!$C$4:$C$11,0),MATCH(Details!V92,SA!$C$4:$E$4,0)),0)*Y92/(F92-E92+1)</f>
        <v>4251.97</v>
      </c>
      <c r="AF92" s="41">
        <f t="shared" si="39"/>
        <v>0</v>
      </c>
      <c r="AG92" s="41">
        <f t="shared" si="40"/>
        <v>0</v>
      </c>
      <c r="AH92" s="41">
        <f t="shared" si="41"/>
        <v>765.3546</v>
      </c>
      <c r="AI92" s="60">
        <f t="shared" si="42"/>
        <v>170.0788</v>
      </c>
      <c r="AJ92" s="60">
        <f t="shared" si="43"/>
        <v>956.69325000000003</v>
      </c>
      <c r="AK92" s="60">
        <f t="shared" si="44"/>
        <v>3075.397479452055</v>
      </c>
      <c r="AL92" s="60">
        <f t="shared" si="45"/>
        <v>2260.4171473972606</v>
      </c>
      <c r="AM92" s="41">
        <f t="shared" si="46"/>
        <v>864.78080260273941</v>
      </c>
      <c r="AN92" s="42">
        <f t="shared" si="47"/>
        <v>45715</v>
      </c>
      <c r="AO92" s="43">
        <f t="shared" si="48"/>
        <v>4251.97</v>
      </c>
    </row>
    <row r="93" spans="1:41" s="24" customFormat="1" ht="15.75" customHeight="1" x14ac:dyDescent="0.35">
      <c r="A93" s="36" t="s">
        <v>27</v>
      </c>
      <c r="B93" s="36">
        <v>202506</v>
      </c>
      <c r="C93" s="24" t="s">
        <v>128</v>
      </c>
      <c r="D93" s="24" t="s">
        <v>129</v>
      </c>
      <c r="E93" s="62">
        <v>45818</v>
      </c>
      <c r="F93" s="62">
        <v>46182</v>
      </c>
      <c r="G93" s="37" t="s">
        <v>221</v>
      </c>
      <c r="H93" s="36">
        <v>1061</v>
      </c>
      <c r="I93" s="63">
        <v>41619</v>
      </c>
      <c r="J93" s="24" t="s">
        <v>869</v>
      </c>
      <c r="K93" s="63">
        <f t="shared" si="32"/>
        <v>45818</v>
      </c>
      <c r="L93" s="55">
        <f t="shared" si="33"/>
        <v>0.04</v>
      </c>
      <c r="M93" s="76">
        <v>0.22500000000000001</v>
      </c>
      <c r="N93" s="62">
        <v>45818</v>
      </c>
      <c r="O93" s="62">
        <v>46182</v>
      </c>
      <c r="P93" s="63"/>
      <c r="Q93" s="63"/>
      <c r="R93" s="82">
        <v>11</v>
      </c>
      <c r="S93" s="63" t="str">
        <f>VLOOKUP(R93,SA!$B$5:$C$11,2,1)</f>
        <v>0-35</v>
      </c>
      <c r="T93" s="38" t="s">
        <v>96</v>
      </c>
      <c r="U93" s="24" t="s">
        <v>114</v>
      </c>
      <c r="V93" s="24">
        <v>300000</v>
      </c>
      <c r="W93" s="39">
        <f t="shared" si="34"/>
        <v>0</v>
      </c>
      <c r="X93" s="29">
        <f t="shared" si="35"/>
        <v>0</v>
      </c>
      <c r="Y93" s="40">
        <f t="shared" si="36"/>
        <v>365</v>
      </c>
      <c r="Z93" s="38">
        <f t="shared" si="31"/>
        <v>46081</v>
      </c>
      <c r="AA93" s="41">
        <f t="shared" si="37"/>
        <v>264</v>
      </c>
      <c r="AB93" s="24" t="s">
        <v>125</v>
      </c>
      <c r="AC93" s="41">
        <f t="shared" si="38"/>
        <v>3874.2114000000001</v>
      </c>
      <c r="AD93" s="41">
        <v>1</v>
      </c>
      <c r="AE93" s="72">
        <f>IFERROR(INDEX(SA!$C$4:$E$11,MATCH(Details!S93,SA!$C$4:$C$11,0),MATCH(Details!V93,SA!$C$4:$E$4,0)),0)*Y93/(F93-E93+1)</f>
        <v>3283.23</v>
      </c>
      <c r="AF93" s="41">
        <f t="shared" si="39"/>
        <v>0</v>
      </c>
      <c r="AG93" s="41">
        <f t="shared" si="40"/>
        <v>0</v>
      </c>
      <c r="AH93" s="41">
        <f t="shared" si="41"/>
        <v>590.98140000000001</v>
      </c>
      <c r="AI93" s="60">
        <f t="shared" si="42"/>
        <v>131.32920000000001</v>
      </c>
      <c r="AJ93" s="60">
        <f t="shared" si="43"/>
        <v>738.72675000000004</v>
      </c>
      <c r="AK93" s="60">
        <f t="shared" si="44"/>
        <v>2374.7197808219175</v>
      </c>
      <c r="AL93" s="60">
        <f t="shared" si="45"/>
        <v>1745.4190389041094</v>
      </c>
      <c r="AM93" s="41">
        <f t="shared" si="46"/>
        <v>667.7550110958905</v>
      </c>
      <c r="AN93" s="42">
        <f t="shared" si="47"/>
        <v>45715</v>
      </c>
      <c r="AO93" s="43">
        <f t="shared" si="48"/>
        <v>3283.23</v>
      </c>
    </row>
    <row r="94" spans="1:41" s="24" customFormat="1" ht="15.75" customHeight="1" x14ac:dyDescent="0.35">
      <c r="A94" s="36" t="s">
        <v>27</v>
      </c>
      <c r="B94" s="36">
        <v>202506</v>
      </c>
      <c r="C94" s="24" t="s">
        <v>128</v>
      </c>
      <c r="D94" s="24" t="s">
        <v>129</v>
      </c>
      <c r="E94" s="62">
        <v>45818</v>
      </c>
      <c r="F94" s="62">
        <v>46182</v>
      </c>
      <c r="G94" s="37" t="s">
        <v>222</v>
      </c>
      <c r="H94" s="36">
        <v>1061</v>
      </c>
      <c r="I94" s="63">
        <v>38592</v>
      </c>
      <c r="J94" s="24" t="s">
        <v>870</v>
      </c>
      <c r="K94" s="63">
        <f t="shared" si="32"/>
        <v>45818</v>
      </c>
      <c r="L94" s="55">
        <f t="shared" si="33"/>
        <v>0.04</v>
      </c>
      <c r="M94" s="76">
        <v>0.22500000000000001</v>
      </c>
      <c r="N94" s="62">
        <v>45818</v>
      </c>
      <c r="O94" s="62">
        <v>46182</v>
      </c>
      <c r="P94" s="63"/>
      <c r="Q94" s="63"/>
      <c r="R94" s="82">
        <v>19</v>
      </c>
      <c r="S94" s="63" t="str">
        <f>VLOOKUP(R94,SA!$B$5:$C$11,2,1)</f>
        <v>0-35</v>
      </c>
      <c r="T94" s="38" t="s">
        <v>96</v>
      </c>
      <c r="U94" s="24" t="s">
        <v>114</v>
      </c>
      <c r="V94" s="24">
        <v>300000</v>
      </c>
      <c r="W94" s="39">
        <f t="shared" si="34"/>
        <v>0</v>
      </c>
      <c r="X94" s="29">
        <f t="shared" si="35"/>
        <v>0</v>
      </c>
      <c r="Y94" s="40">
        <f t="shared" si="36"/>
        <v>365</v>
      </c>
      <c r="Z94" s="38">
        <f t="shared" si="31"/>
        <v>46081</v>
      </c>
      <c r="AA94" s="41">
        <f t="shared" si="37"/>
        <v>264</v>
      </c>
      <c r="AB94" s="24" t="s">
        <v>125</v>
      </c>
      <c r="AC94" s="41">
        <f t="shared" si="38"/>
        <v>3874.2114000000001</v>
      </c>
      <c r="AD94" s="41">
        <v>1</v>
      </c>
      <c r="AE94" s="72">
        <f>IFERROR(INDEX(SA!$C$4:$E$11,MATCH(Details!S94,SA!$C$4:$C$11,0),MATCH(Details!V94,SA!$C$4:$E$4,0)),0)*Y94/(F94-E94+1)</f>
        <v>3283.23</v>
      </c>
      <c r="AF94" s="41">
        <f t="shared" si="39"/>
        <v>0</v>
      </c>
      <c r="AG94" s="41">
        <f t="shared" si="40"/>
        <v>0</v>
      </c>
      <c r="AH94" s="41">
        <f t="shared" si="41"/>
        <v>590.98140000000001</v>
      </c>
      <c r="AI94" s="60">
        <f t="shared" si="42"/>
        <v>131.32920000000001</v>
      </c>
      <c r="AJ94" s="60">
        <f t="shared" si="43"/>
        <v>738.72675000000004</v>
      </c>
      <c r="AK94" s="60">
        <f t="shared" si="44"/>
        <v>2374.7197808219175</v>
      </c>
      <c r="AL94" s="60">
        <f t="shared" si="45"/>
        <v>1745.4190389041094</v>
      </c>
      <c r="AM94" s="41">
        <f t="shared" si="46"/>
        <v>667.7550110958905</v>
      </c>
      <c r="AN94" s="42">
        <f t="shared" si="47"/>
        <v>45715</v>
      </c>
      <c r="AO94" s="43">
        <f t="shared" si="48"/>
        <v>3283.23</v>
      </c>
    </row>
    <row r="95" spans="1:41" s="24" customFormat="1" ht="15.75" customHeight="1" x14ac:dyDescent="0.35">
      <c r="A95" s="36" t="s">
        <v>27</v>
      </c>
      <c r="B95" s="36">
        <v>202506</v>
      </c>
      <c r="C95" s="24" t="s">
        <v>128</v>
      </c>
      <c r="D95" s="24" t="s">
        <v>129</v>
      </c>
      <c r="E95" s="62">
        <v>45818</v>
      </c>
      <c r="F95" s="62">
        <v>46182</v>
      </c>
      <c r="G95" s="37" t="s">
        <v>223</v>
      </c>
      <c r="H95" s="36">
        <v>1062</v>
      </c>
      <c r="I95" s="63">
        <v>31847</v>
      </c>
      <c r="J95" s="24" t="s">
        <v>871</v>
      </c>
      <c r="K95" s="63">
        <f t="shared" si="32"/>
        <v>45818</v>
      </c>
      <c r="L95" s="55">
        <f t="shared" si="33"/>
        <v>0.04</v>
      </c>
      <c r="M95" s="76">
        <v>0.22500000000000001</v>
      </c>
      <c r="N95" s="62">
        <v>45818</v>
      </c>
      <c r="O95" s="62">
        <v>46182</v>
      </c>
      <c r="P95" s="63"/>
      <c r="Q95" s="63"/>
      <c r="R95" s="82">
        <v>38</v>
      </c>
      <c r="S95" s="63" t="str">
        <f>VLOOKUP(R95,SA!$B$5:$C$11,2,1)</f>
        <v>36-45</v>
      </c>
      <c r="T95" s="38" t="s">
        <v>96</v>
      </c>
      <c r="U95" s="24" t="s">
        <v>56</v>
      </c>
      <c r="V95" s="24">
        <v>300000</v>
      </c>
      <c r="W95" s="39">
        <f t="shared" si="34"/>
        <v>300000</v>
      </c>
      <c r="X95" s="29">
        <f t="shared" si="35"/>
        <v>1</v>
      </c>
      <c r="Y95" s="40">
        <f t="shared" si="36"/>
        <v>365</v>
      </c>
      <c r="Z95" s="38">
        <f t="shared" si="31"/>
        <v>46081</v>
      </c>
      <c r="AA95" s="41">
        <f t="shared" si="37"/>
        <v>264</v>
      </c>
      <c r="AB95" s="24" t="s">
        <v>125</v>
      </c>
      <c r="AC95" s="41">
        <f t="shared" si="38"/>
        <v>5017.3245999999999</v>
      </c>
      <c r="AD95" s="41">
        <v>1</v>
      </c>
      <c r="AE95" s="72">
        <f>IFERROR(INDEX(SA!$C$4:$E$11,MATCH(Details!S95,SA!$C$4:$C$11,0),MATCH(Details!V95,SA!$C$4:$E$4,0)),0)*Y95/(F95-E95+1)</f>
        <v>4251.97</v>
      </c>
      <c r="AF95" s="41">
        <f t="shared" si="39"/>
        <v>0</v>
      </c>
      <c r="AG95" s="41">
        <f t="shared" si="40"/>
        <v>0</v>
      </c>
      <c r="AH95" s="41">
        <f t="shared" si="41"/>
        <v>765.3546</v>
      </c>
      <c r="AI95" s="60">
        <f t="shared" si="42"/>
        <v>170.0788</v>
      </c>
      <c r="AJ95" s="60">
        <f t="shared" si="43"/>
        <v>956.69325000000003</v>
      </c>
      <c r="AK95" s="60">
        <f t="shared" si="44"/>
        <v>3075.397479452055</v>
      </c>
      <c r="AL95" s="60">
        <f t="shared" si="45"/>
        <v>2260.4171473972606</v>
      </c>
      <c r="AM95" s="41">
        <f t="shared" si="46"/>
        <v>864.78080260273941</v>
      </c>
      <c r="AN95" s="42">
        <f t="shared" si="47"/>
        <v>45715</v>
      </c>
      <c r="AO95" s="43">
        <f t="shared" si="48"/>
        <v>4251.97</v>
      </c>
    </row>
    <row r="96" spans="1:41" s="24" customFormat="1" ht="15.75" customHeight="1" x14ac:dyDescent="0.35">
      <c r="A96" s="36" t="s">
        <v>27</v>
      </c>
      <c r="B96" s="36">
        <v>202506</v>
      </c>
      <c r="C96" s="24" t="s">
        <v>128</v>
      </c>
      <c r="D96" s="24" t="s">
        <v>129</v>
      </c>
      <c r="E96" s="62">
        <v>45818</v>
      </c>
      <c r="F96" s="62">
        <v>46182</v>
      </c>
      <c r="G96" s="37" t="s">
        <v>224</v>
      </c>
      <c r="H96" s="36">
        <v>1062</v>
      </c>
      <c r="I96" s="63">
        <v>32149</v>
      </c>
      <c r="J96" s="24" t="s">
        <v>872</v>
      </c>
      <c r="K96" s="63">
        <f t="shared" si="32"/>
        <v>45818</v>
      </c>
      <c r="L96" s="55">
        <f t="shared" si="33"/>
        <v>0.04</v>
      </c>
      <c r="M96" s="76">
        <v>0.22500000000000001</v>
      </c>
      <c r="N96" s="62">
        <v>45818</v>
      </c>
      <c r="O96" s="62">
        <v>46182</v>
      </c>
      <c r="P96" s="63"/>
      <c r="Q96" s="63"/>
      <c r="R96" s="82">
        <v>37</v>
      </c>
      <c r="S96" s="63" t="str">
        <f>VLOOKUP(R96,SA!$B$5:$C$11,2,1)</f>
        <v>36-45</v>
      </c>
      <c r="T96" s="38" t="s">
        <v>97</v>
      </c>
      <c r="U96" s="24" t="s">
        <v>115</v>
      </c>
      <c r="V96" s="24">
        <v>300000</v>
      </c>
      <c r="W96" s="39">
        <f t="shared" si="34"/>
        <v>0</v>
      </c>
      <c r="X96" s="29">
        <f t="shared" si="35"/>
        <v>0</v>
      </c>
      <c r="Y96" s="40">
        <f t="shared" si="36"/>
        <v>365</v>
      </c>
      <c r="Z96" s="38">
        <f t="shared" si="31"/>
        <v>46081</v>
      </c>
      <c r="AA96" s="41">
        <f t="shared" si="37"/>
        <v>264</v>
      </c>
      <c r="AB96" s="24" t="s">
        <v>125</v>
      </c>
      <c r="AC96" s="41">
        <f t="shared" si="38"/>
        <v>5017.3245999999999</v>
      </c>
      <c r="AD96" s="41">
        <v>1</v>
      </c>
      <c r="AE96" s="72">
        <f>IFERROR(INDEX(SA!$C$4:$E$11,MATCH(Details!S96,SA!$C$4:$C$11,0),MATCH(Details!V96,SA!$C$4:$E$4,0)),0)*Y96/(F96-E96+1)</f>
        <v>4251.97</v>
      </c>
      <c r="AF96" s="41">
        <f t="shared" si="39"/>
        <v>0</v>
      </c>
      <c r="AG96" s="41">
        <f t="shared" si="40"/>
        <v>0</v>
      </c>
      <c r="AH96" s="41">
        <f t="shared" si="41"/>
        <v>765.3546</v>
      </c>
      <c r="AI96" s="60">
        <f t="shared" si="42"/>
        <v>170.0788</v>
      </c>
      <c r="AJ96" s="60">
        <f t="shared" si="43"/>
        <v>956.69325000000003</v>
      </c>
      <c r="AK96" s="60">
        <f t="shared" si="44"/>
        <v>3075.397479452055</v>
      </c>
      <c r="AL96" s="60">
        <f t="shared" si="45"/>
        <v>2260.4171473972606</v>
      </c>
      <c r="AM96" s="41">
        <f t="shared" si="46"/>
        <v>864.78080260273941</v>
      </c>
      <c r="AN96" s="42">
        <f t="shared" si="47"/>
        <v>45715</v>
      </c>
      <c r="AO96" s="43">
        <f t="shared" si="48"/>
        <v>4251.97</v>
      </c>
    </row>
    <row r="97" spans="1:41" s="24" customFormat="1" ht="15.75" customHeight="1" x14ac:dyDescent="0.35">
      <c r="A97" s="36" t="s">
        <v>27</v>
      </c>
      <c r="B97" s="36">
        <v>202506</v>
      </c>
      <c r="C97" s="24" t="s">
        <v>128</v>
      </c>
      <c r="D97" s="24" t="s">
        <v>129</v>
      </c>
      <c r="E97" s="62">
        <v>45818</v>
      </c>
      <c r="F97" s="62">
        <v>46182</v>
      </c>
      <c r="G97" s="37" t="s">
        <v>225</v>
      </c>
      <c r="H97" s="36">
        <v>1062</v>
      </c>
      <c r="I97" s="63">
        <v>40219</v>
      </c>
      <c r="J97" s="24" t="s">
        <v>873</v>
      </c>
      <c r="K97" s="63">
        <f t="shared" si="32"/>
        <v>45818</v>
      </c>
      <c r="L97" s="55">
        <f t="shared" si="33"/>
        <v>0.04</v>
      </c>
      <c r="M97" s="76">
        <v>0.22500000000000001</v>
      </c>
      <c r="N97" s="62">
        <v>45818</v>
      </c>
      <c r="O97" s="62">
        <v>46182</v>
      </c>
      <c r="P97" s="63"/>
      <c r="Q97" s="63"/>
      <c r="R97" s="82">
        <v>15</v>
      </c>
      <c r="S97" s="63" t="str">
        <f>VLOOKUP(R97,SA!$B$5:$C$11,2,1)</f>
        <v>0-35</v>
      </c>
      <c r="T97" s="38" t="s">
        <v>96</v>
      </c>
      <c r="U97" s="24" t="s">
        <v>114</v>
      </c>
      <c r="V97" s="24">
        <v>300000</v>
      </c>
      <c r="W97" s="39">
        <f t="shared" si="34"/>
        <v>0</v>
      </c>
      <c r="X97" s="29">
        <f t="shared" si="35"/>
        <v>0</v>
      </c>
      <c r="Y97" s="40">
        <f t="shared" si="36"/>
        <v>365</v>
      </c>
      <c r="Z97" s="38">
        <f t="shared" si="31"/>
        <v>46081</v>
      </c>
      <c r="AA97" s="41">
        <f t="shared" si="37"/>
        <v>264</v>
      </c>
      <c r="AB97" s="24" t="s">
        <v>125</v>
      </c>
      <c r="AC97" s="41">
        <f t="shared" si="38"/>
        <v>3874.2114000000001</v>
      </c>
      <c r="AD97" s="41">
        <v>1</v>
      </c>
      <c r="AE97" s="72">
        <f>IFERROR(INDEX(SA!$C$4:$E$11,MATCH(Details!S97,SA!$C$4:$C$11,0),MATCH(Details!V97,SA!$C$4:$E$4,0)),0)*Y97/(F97-E97+1)</f>
        <v>3283.23</v>
      </c>
      <c r="AF97" s="41">
        <f t="shared" si="39"/>
        <v>0</v>
      </c>
      <c r="AG97" s="41">
        <f t="shared" si="40"/>
        <v>0</v>
      </c>
      <c r="AH97" s="41">
        <f t="shared" si="41"/>
        <v>590.98140000000001</v>
      </c>
      <c r="AI97" s="60">
        <f t="shared" si="42"/>
        <v>131.32920000000001</v>
      </c>
      <c r="AJ97" s="60">
        <f t="shared" si="43"/>
        <v>738.72675000000004</v>
      </c>
      <c r="AK97" s="60">
        <f t="shared" si="44"/>
        <v>2374.7197808219175</v>
      </c>
      <c r="AL97" s="60">
        <f t="shared" si="45"/>
        <v>1745.4190389041094</v>
      </c>
      <c r="AM97" s="41">
        <f t="shared" si="46"/>
        <v>667.7550110958905</v>
      </c>
      <c r="AN97" s="42">
        <f t="shared" si="47"/>
        <v>45715</v>
      </c>
      <c r="AO97" s="43">
        <f t="shared" si="48"/>
        <v>3283.23</v>
      </c>
    </row>
    <row r="98" spans="1:41" s="24" customFormat="1" ht="15.75" customHeight="1" x14ac:dyDescent="0.35">
      <c r="A98" s="36" t="s">
        <v>27</v>
      </c>
      <c r="B98" s="36">
        <v>202506</v>
      </c>
      <c r="C98" s="24" t="s">
        <v>128</v>
      </c>
      <c r="D98" s="24" t="s">
        <v>129</v>
      </c>
      <c r="E98" s="62">
        <v>45818</v>
      </c>
      <c r="F98" s="62">
        <v>46182</v>
      </c>
      <c r="G98" s="37" t="s">
        <v>226</v>
      </c>
      <c r="H98" s="36">
        <v>1063</v>
      </c>
      <c r="I98" s="63">
        <v>24800</v>
      </c>
      <c r="J98" s="24" t="s">
        <v>874</v>
      </c>
      <c r="K98" s="63">
        <f t="shared" si="32"/>
        <v>45818</v>
      </c>
      <c r="L98" s="55">
        <f t="shared" si="33"/>
        <v>0.04</v>
      </c>
      <c r="M98" s="76">
        <v>0.22500000000000001</v>
      </c>
      <c r="N98" s="62">
        <v>45818</v>
      </c>
      <c r="O98" s="62">
        <v>46182</v>
      </c>
      <c r="P98" s="63"/>
      <c r="Q98" s="63"/>
      <c r="R98" s="82">
        <v>57</v>
      </c>
      <c r="S98" s="63" t="str">
        <f>VLOOKUP(R98,SA!$B$5:$C$11,2,1)</f>
        <v>56-65</v>
      </c>
      <c r="T98" s="38" t="s">
        <v>96</v>
      </c>
      <c r="U98" s="24" t="s">
        <v>56</v>
      </c>
      <c r="V98" s="24">
        <v>300000</v>
      </c>
      <c r="W98" s="39">
        <f t="shared" si="34"/>
        <v>300000</v>
      </c>
      <c r="X98" s="29">
        <f t="shared" si="35"/>
        <v>1</v>
      </c>
      <c r="Y98" s="40">
        <f t="shared" si="36"/>
        <v>365</v>
      </c>
      <c r="Z98" s="38">
        <f t="shared" si="31"/>
        <v>46081</v>
      </c>
      <c r="AA98" s="41">
        <f t="shared" si="37"/>
        <v>264</v>
      </c>
      <c r="AB98" s="24" t="s">
        <v>125</v>
      </c>
      <c r="AC98" s="41">
        <f t="shared" si="38"/>
        <v>16811.448199999999</v>
      </c>
      <c r="AD98" s="41">
        <v>1</v>
      </c>
      <c r="AE98" s="72">
        <f>IFERROR(INDEX(SA!$C$4:$E$11,MATCH(Details!S98,SA!$C$4:$C$11,0),MATCH(Details!V98,SA!$C$4:$E$4,0)),0)*Y98/(F98-E98+1)</f>
        <v>14246.99</v>
      </c>
      <c r="AF98" s="41">
        <f t="shared" si="39"/>
        <v>0</v>
      </c>
      <c r="AG98" s="41">
        <f t="shared" si="40"/>
        <v>0</v>
      </c>
      <c r="AH98" s="41">
        <f t="shared" si="41"/>
        <v>2564.4582</v>
      </c>
      <c r="AI98" s="60">
        <f t="shared" si="42"/>
        <v>569.87959999999998</v>
      </c>
      <c r="AJ98" s="60">
        <f t="shared" si="43"/>
        <v>3205.5727499999998</v>
      </c>
      <c r="AK98" s="60">
        <f t="shared" si="44"/>
        <v>10304.672219178083</v>
      </c>
      <c r="AL98" s="60">
        <f t="shared" si="45"/>
        <v>7573.9340810958911</v>
      </c>
      <c r="AM98" s="41">
        <f t="shared" si="46"/>
        <v>2897.6035689041087</v>
      </c>
      <c r="AN98" s="42">
        <f t="shared" si="47"/>
        <v>45715</v>
      </c>
      <c r="AO98" s="43">
        <f t="shared" si="48"/>
        <v>14246.99</v>
      </c>
    </row>
    <row r="99" spans="1:41" s="24" customFormat="1" ht="15.75" customHeight="1" x14ac:dyDescent="0.35">
      <c r="A99" s="36" t="s">
        <v>27</v>
      </c>
      <c r="B99" s="36">
        <v>202506</v>
      </c>
      <c r="C99" s="24" t="s">
        <v>128</v>
      </c>
      <c r="D99" s="24" t="s">
        <v>129</v>
      </c>
      <c r="E99" s="62">
        <v>45818</v>
      </c>
      <c r="F99" s="62">
        <v>46182</v>
      </c>
      <c r="G99" s="37" t="s">
        <v>227</v>
      </c>
      <c r="H99" s="36">
        <v>1063</v>
      </c>
      <c r="I99" s="63">
        <v>36749</v>
      </c>
      <c r="J99" s="24" t="s">
        <v>875</v>
      </c>
      <c r="K99" s="63">
        <f t="shared" si="32"/>
        <v>45818</v>
      </c>
      <c r="L99" s="55">
        <f t="shared" si="33"/>
        <v>0.04</v>
      </c>
      <c r="M99" s="76">
        <v>0.22500000000000001</v>
      </c>
      <c r="N99" s="62">
        <v>45818</v>
      </c>
      <c r="O99" s="62">
        <v>46182</v>
      </c>
      <c r="P99" s="63"/>
      <c r="Q99" s="63"/>
      <c r="R99" s="82">
        <v>24</v>
      </c>
      <c r="S99" s="63" t="str">
        <f>VLOOKUP(R99,SA!$B$5:$C$11,2,1)</f>
        <v>0-35</v>
      </c>
      <c r="T99" s="38" t="s">
        <v>96</v>
      </c>
      <c r="U99" s="24" t="s">
        <v>114</v>
      </c>
      <c r="V99" s="24">
        <v>300000</v>
      </c>
      <c r="W99" s="39">
        <f t="shared" si="34"/>
        <v>0</v>
      </c>
      <c r="X99" s="29">
        <f t="shared" si="35"/>
        <v>0</v>
      </c>
      <c r="Y99" s="40">
        <f t="shared" si="36"/>
        <v>365</v>
      </c>
      <c r="Z99" s="38">
        <f t="shared" si="31"/>
        <v>46081</v>
      </c>
      <c r="AA99" s="41">
        <f t="shared" si="37"/>
        <v>264</v>
      </c>
      <c r="AB99" s="24" t="s">
        <v>125</v>
      </c>
      <c r="AC99" s="41">
        <f t="shared" si="38"/>
        <v>3874.2114000000001</v>
      </c>
      <c r="AD99" s="41">
        <v>1</v>
      </c>
      <c r="AE99" s="72">
        <f>IFERROR(INDEX(SA!$C$4:$E$11,MATCH(Details!S99,SA!$C$4:$C$11,0),MATCH(Details!V99,SA!$C$4:$E$4,0)),0)*Y99/(F99-E99+1)</f>
        <v>3283.23</v>
      </c>
      <c r="AF99" s="41">
        <f t="shared" si="39"/>
        <v>0</v>
      </c>
      <c r="AG99" s="41">
        <f t="shared" si="40"/>
        <v>0</v>
      </c>
      <c r="AH99" s="41">
        <f t="shared" si="41"/>
        <v>590.98140000000001</v>
      </c>
      <c r="AI99" s="60">
        <f t="shared" si="42"/>
        <v>131.32920000000001</v>
      </c>
      <c r="AJ99" s="60">
        <f t="shared" si="43"/>
        <v>738.72675000000004</v>
      </c>
      <c r="AK99" s="60">
        <f t="shared" si="44"/>
        <v>2374.7197808219175</v>
      </c>
      <c r="AL99" s="60">
        <f t="shared" si="45"/>
        <v>1745.4190389041094</v>
      </c>
      <c r="AM99" s="41">
        <f t="shared" si="46"/>
        <v>667.7550110958905</v>
      </c>
      <c r="AN99" s="42">
        <f t="shared" si="47"/>
        <v>45715</v>
      </c>
      <c r="AO99" s="43">
        <f t="shared" si="48"/>
        <v>3283.23</v>
      </c>
    </row>
    <row r="100" spans="1:41" s="24" customFormat="1" ht="15.75" customHeight="1" x14ac:dyDescent="0.35">
      <c r="A100" s="36" t="s">
        <v>27</v>
      </c>
      <c r="B100" s="36">
        <v>202506</v>
      </c>
      <c r="C100" s="24" t="s">
        <v>128</v>
      </c>
      <c r="D100" s="24" t="s">
        <v>129</v>
      </c>
      <c r="E100" s="62">
        <v>45818</v>
      </c>
      <c r="F100" s="62">
        <v>46182</v>
      </c>
      <c r="G100" s="37" t="s">
        <v>228</v>
      </c>
      <c r="H100" s="36">
        <v>1063</v>
      </c>
      <c r="I100" s="63">
        <v>26660</v>
      </c>
      <c r="J100" s="24" t="s">
        <v>876</v>
      </c>
      <c r="K100" s="63">
        <f t="shared" si="32"/>
        <v>45818</v>
      </c>
      <c r="L100" s="55">
        <f t="shared" si="33"/>
        <v>0.04</v>
      </c>
      <c r="M100" s="76">
        <v>0.22500000000000001</v>
      </c>
      <c r="N100" s="62">
        <v>45818</v>
      </c>
      <c r="O100" s="62">
        <v>46182</v>
      </c>
      <c r="P100" s="63"/>
      <c r="Q100" s="63"/>
      <c r="R100" s="82">
        <v>52</v>
      </c>
      <c r="S100" s="63" t="str">
        <f>VLOOKUP(R100,SA!$B$5:$C$11,2,1)</f>
        <v>46-55</v>
      </c>
      <c r="T100" s="38" t="s">
        <v>97</v>
      </c>
      <c r="U100" s="24" t="s">
        <v>115</v>
      </c>
      <c r="V100" s="24">
        <v>300000</v>
      </c>
      <c r="W100" s="39">
        <f t="shared" si="34"/>
        <v>0</v>
      </c>
      <c r="X100" s="29">
        <f t="shared" si="35"/>
        <v>0</v>
      </c>
      <c r="Y100" s="40">
        <f t="shared" si="36"/>
        <v>365</v>
      </c>
      <c r="Z100" s="38">
        <f t="shared" si="31"/>
        <v>46081</v>
      </c>
      <c r="AA100" s="41">
        <f t="shared" si="37"/>
        <v>264</v>
      </c>
      <c r="AB100" s="24" t="s">
        <v>125</v>
      </c>
      <c r="AC100" s="41">
        <f t="shared" si="38"/>
        <v>9586.9925999999996</v>
      </c>
      <c r="AD100" s="41">
        <v>1</v>
      </c>
      <c r="AE100" s="72">
        <f>IFERROR(INDEX(SA!$C$4:$E$11,MATCH(Details!S100,SA!$C$4:$C$11,0),MATCH(Details!V100,SA!$C$4:$E$4,0)),0)*Y100/(F100-E100+1)</f>
        <v>8124.57</v>
      </c>
      <c r="AF100" s="41">
        <f t="shared" si="39"/>
        <v>0</v>
      </c>
      <c r="AG100" s="41">
        <f t="shared" si="40"/>
        <v>0</v>
      </c>
      <c r="AH100" s="41">
        <f t="shared" si="41"/>
        <v>1462.4225999999999</v>
      </c>
      <c r="AI100" s="60">
        <f t="shared" si="42"/>
        <v>324.9828</v>
      </c>
      <c r="AJ100" s="60">
        <f t="shared" si="43"/>
        <v>1828.0282500000001</v>
      </c>
      <c r="AK100" s="60">
        <f t="shared" si="44"/>
        <v>5876.4013150684932</v>
      </c>
      <c r="AL100" s="60">
        <f t="shared" si="45"/>
        <v>4319.1549665753428</v>
      </c>
      <c r="AM100" s="41">
        <f t="shared" si="46"/>
        <v>1652.4039834246571</v>
      </c>
      <c r="AN100" s="42">
        <f t="shared" si="47"/>
        <v>45715</v>
      </c>
      <c r="AO100" s="43">
        <f t="shared" si="48"/>
        <v>8124.57</v>
      </c>
    </row>
    <row r="101" spans="1:41" s="24" customFormat="1" ht="15.75" customHeight="1" x14ac:dyDescent="0.35">
      <c r="A101" s="36" t="s">
        <v>27</v>
      </c>
      <c r="B101" s="36">
        <v>202506</v>
      </c>
      <c r="C101" s="24" t="s">
        <v>128</v>
      </c>
      <c r="D101" s="24" t="s">
        <v>129</v>
      </c>
      <c r="E101" s="62">
        <v>45818</v>
      </c>
      <c r="F101" s="62">
        <v>46182</v>
      </c>
      <c r="G101" s="37" t="s">
        <v>229</v>
      </c>
      <c r="H101" s="36">
        <v>1067</v>
      </c>
      <c r="I101" s="63">
        <v>30466</v>
      </c>
      <c r="J101" s="24" t="s">
        <v>877</v>
      </c>
      <c r="K101" s="63">
        <f t="shared" si="32"/>
        <v>45818</v>
      </c>
      <c r="L101" s="55">
        <f t="shared" si="33"/>
        <v>0.04</v>
      </c>
      <c r="M101" s="76">
        <v>0.22500000000000001</v>
      </c>
      <c r="N101" s="62">
        <v>45818</v>
      </c>
      <c r="O101" s="62">
        <v>46182</v>
      </c>
      <c r="P101" s="63"/>
      <c r="Q101" s="63"/>
      <c r="R101" s="82">
        <v>42</v>
      </c>
      <c r="S101" s="63" t="str">
        <f>VLOOKUP(R101,SA!$B$5:$C$11,2,1)</f>
        <v>36-45</v>
      </c>
      <c r="T101" s="38" t="s">
        <v>97</v>
      </c>
      <c r="U101" s="24" t="s">
        <v>56</v>
      </c>
      <c r="V101" s="24">
        <v>1000000</v>
      </c>
      <c r="W101" s="39">
        <f t="shared" si="34"/>
        <v>1000000</v>
      </c>
      <c r="X101" s="29">
        <f t="shared" si="35"/>
        <v>1</v>
      </c>
      <c r="Y101" s="40">
        <f t="shared" si="36"/>
        <v>365</v>
      </c>
      <c r="Z101" s="38">
        <f t="shared" si="31"/>
        <v>46081</v>
      </c>
      <c r="AA101" s="41">
        <f t="shared" si="37"/>
        <v>264</v>
      </c>
      <c r="AB101" s="24" t="s">
        <v>125</v>
      </c>
      <c r="AC101" s="41">
        <f t="shared" si="38"/>
        <v>9014.0436000000009</v>
      </c>
      <c r="AD101" s="41">
        <v>1</v>
      </c>
      <c r="AE101" s="72">
        <f>IFERROR(INDEX(SA!$C$4:$E$11,MATCH(Details!S101,SA!$C$4:$C$11,0),MATCH(Details!V101,SA!$C$4:$E$4,0)),0)*Y101/(F101-E101+1)</f>
        <v>7639.02</v>
      </c>
      <c r="AF101" s="41">
        <f t="shared" si="39"/>
        <v>0</v>
      </c>
      <c r="AG101" s="41">
        <f t="shared" si="40"/>
        <v>0</v>
      </c>
      <c r="AH101" s="41">
        <f t="shared" si="41"/>
        <v>1375.0236</v>
      </c>
      <c r="AI101" s="60">
        <f t="shared" si="42"/>
        <v>305.56080000000003</v>
      </c>
      <c r="AJ101" s="60">
        <f t="shared" si="43"/>
        <v>1718.7795000000001</v>
      </c>
      <c r="AK101" s="60">
        <f t="shared" si="44"/>
        <v>5525.2089863013698</v>
      </c>
      <c r="AL101" s="60">
        <f t="shared" si="45"/>
        <v>4061.0286049315068</v>
      </c>
      <c r="AM101" s="41">
        <f t="shared" si="46"/>
        <v>1553.6510950684933</v>
      </c>
      <c r="AN101" s="42">
        <f t="shared" si="47"/>
        <v>45715</v>
      </c>
      <c r="AO101" s="43">
        <f t="shared" si="48"/>
        <v>7639.02</v>
      </c>
    </row>
    <row r="102" spans="1:41" s="24" customFormat="1" ht="15.75" customHeight="1" x14ac:dyDescent="0.35">
      <c r="A102" s="36" t="s">
        <v>27</v>
      </c>
      <c r="B102" s="36">
        <v>202506</v>
      </c>
      <c r="C102" s="24" t="s">
        <v>128</v>
      </c>
      <c r="D102" s="24" t="s">
        <v>129</v>
      </c>
      <c r="E102" s="62">
        <v>45818</v>
      </c>
      <c r="F102" s="62">
        <v>46182</v>
      </c>
      <c r="G102" s="37" t="s">
        <v>230</v>
      </c>
      <c r="H102" s="36">
        <v>1075</v>
      </c>
      <c r="I102" s="63">
        <v>30511</v>
      </c>
      <c r="J102" s="24" t="s">
        <v>878</v>
      </c>
      <c r="K102" s="63">
        <f t="shared" si="32"/>
        <v>45818</v>
      </c>
      <c r="L102" s="55">
        <f t="shared" si="33"/>
        <v>0.04</v>
      </c>
      <c r="M102" s="76">
        <v>0.22500000000000001</v>
      </c>
      <c r="N102" s="62">
        <v>45818</v>
      </c>
      <c r="O102" s="62">
        <v>46182</v>
      </c>
      <c r="P102" s="63"/>
      <c r="Q102" s="63"/>
      <c r="R102" s="82">
        <v>41</v>
      </c>
      <c r="S102" s="63" t="str">
        <f>VLOOKUP(R102,SA!$B$5:$C$11,2,1)</f>
        <v>36-45</v>
      </c>
      <c r="T102" s="38" t="s">
        <v>96</v>
      </c>
      <c r="U102" s="24" t="s">
        <v>56</v>
      </c>
      <c r="V102" s="24">
        <v>300000</v>
      </c>
      <c r="W102" s="39">
        <f t="shared" si="34"/>
        <v>300000</v>
      </c>
      <c r="X102" s="29">
        <f t="shared" si="35"/>
        <v>1</v>
      </c>
      <c r="Y102" s="40">
        <f t="shared" si="36"/>
        <v>365</v>
      </c>
      <c r="Z102" s="38">
        <f t="shared" si="31"/>
        <v>46081</v>
      </c>
      <c r="AA102" s="41">
        <f t="shared" si="37"/>
        <v>264</v>
      </c>
      <c r="AB102" s="24" t="s">
        <v>125</v>
      </c>
      <c r="AC102" s="41">
        <f t="shared" si="38"/>
        <v>5017.3245999999999</v>
      </c>
      <c r="AD102" s="41">
        <v>1</v>
      </c>
      <c r="AE102" s="72">
        <f>IFERROR(INDEX(SA!$C$4:$E$11,MATCH(Details!S102,SA!$C$4:$C$11,0),MATCH(Details!V102,SA!$C$4:$E$4,0)),0)*Y102/(F102-E102+1)</f>
        <v>4251.97</v>
      </c>
      <c r="AF102" s="41">
        <f t="shared" si="39"/>
        <v>0</v>
      </c>
      <c r="AG102" s="41">
        <f t="shared" si="40"/>
        <v>0</v>
      </c>
      <c r="AH102" s="41">
        <f t="shared" si="41"/>
        <v>765.3546</v>
      </c>
      <c r="AI102" s="60">
        <f t="shared" si="42"/>
        <v>170.0788</v>
      </c>
      <c r="AJ102" s="60">
        <f t="shared" si="43"/>
        <v>956.69325000000003</v>
      </c>
      <c r="AK102" s="60">
        <f t="shared" si="44"/>
        <v>3075.397479452055</v>
      </c>
      <c r="AL102" s="60">
        <f t="shared" si="45"/>
        <v>2260.4171473972606</v>
      </c>
      <c r="AM102" s="41">
        <f t="shared" si="46"/>
        <v>864.78080260273941</v>
      </c>
      <c r="AN102" s="42">
        <f t="shared" si="47"/>
        <v>45715</v>
      </c>
      <c r="AO102" s="43">
        <f t="shared" si="48"/>
        <v>4251.97</v>
      </c>
    </row>
    <row r="103" spans="1:41" s="24" customFormat="1" ht="15.75" customHeight="1" x14ac:dyDescent="0.35">
      <c r="A103" s="36" t="s">
        <v>27</v>
      </c>
      <c r="B103" s="36">
        <v>202506</v>
      </c>
      <c r="C103" s="24" t="s">
        <v>128</v>
      </c>
      <c r="D103" s="24" t="s">
        <v>129</v>
      </c>
      <c r="E103" s="62">
        <v>45818</v>
      </c>
      <c r="F103" s="62">
        <v>46182</v>
      </c>
      <c r="G103" s="37" t="s">
        <v>231</v>
      </c>
      <c r="H103" s="36">
        <v>1075</v>
      </c>
      <c r="I103" s="63">
        <v>42827</v>
      </c>
      <c r="J103" s="24" t="s">
        <v>879</v>
      </c>
      <c r="K103" s="63">
        <f t="shared" si="32"/>
        <v>45818</v>
      </c>
      <c r="L103" s="55">
        <f t="shared" si="33"/>
        <v>0.04</v>
      </c>
      <c r="M103" s="76">
        <v>0.22500000000000001</v>
      </c>
      <c r="N103" s="62">
        <v>45818</v>
      </c>
      <c r="O103" s="62">
        <v>46182</v>
      </c>
      <c r="P103" s="63"/>
      <c r="Q103" s="63"/>
      <c r="R103" s="82">
        <v>8</v>
      </c>
      <c r="S103" s="63" t="str">
        <f>VLOOKUP(R103,SA!$B$5:$C$11,2,1)</f>
        <v>0-35</v>
      </c>
      <c r="T103" s="38" t="s">
        <v>97</v>
      </c>
      <c r="U103" s="24" t="s">
        <v>113</v>
      </c>
      <c r="V103" s="24">
        <v>300000</v>
      </c>
      <c r="W103" s="39">
        <f t="shared" si="34"/>
        <v>0</v>
      </c>
      <c r="X103" s="29">
        <f t="shared" si="35"/>
        <v>0</v>
      </c>
      <c r="Y103" s="40">
        <f t="shared" si="36"/>
        <v>365</v>
      </c>
      <c r="Z103" s="38">
        <f t="shared" si="31"/>
        <v>46081</v>
      </c>
      <c r="AA103" s="41">
        <f t="shared" si="37"/>
        <v>264</v>
      </c>
      <c r="AB103" s="24" t="s">
        <v>125</v>
      </c>
      <c r="AC103" s="41">
        <f t="shared" si="38"/>
        <v>3874.2114000000001</v>
      </c>
      <c r="AD103" s="41">
        <v>1</v>
      </c>
      <c r="AE103" s="72">
        <f>IFERROR(INDEX(SA!$C$4:$E$11,MATCH(Details!S103,SA!$C$4:$C$11,0),MATCH(Details!V103,SA!$C$4:$E$4,0)),0)*Y103/(F103-E103+1)</f>
        <v>3283.23</v>
      </c>
      <c r="AF103" s="41">
        <f t="shared" si="39"/>
        <v>0</v>
      </c>
      <c r="AG103" s="41">
        <f t="shared" si="40"/>
        <v>0</v>
      </c>
      <c r="AH103" s="41">
        <f t="shared" si="41"/>
        <v>590.98140000000001</v>
      </c>
      <c r="AI103" s="60">
        <f t="shared" si="42"/>
        <v>131.32920000000001</v>
      </c>
      <c r="AJ103" s="60">
        <f t="shared" si="43"/>
        <v>738.72675000000004</v>
      </c>
      <c r="AK103" s="60">
        <f t="shared" si="44"/>
        <v>2374.7197808219175</v>
      </c>
      <c r="AL103" s="60">
        <f t="shared" si="45"/>
        <v>1745.4190389041094</v>
      </c>
      <c r="AM103" s="41">
        <f t="shared" si="46"/>
        <v>667.7550110958905</v>
      </c>
      <c r="AN103" s="42">
        <f t="shared" si="47"/>
        <v>45715</v>
      </c>
      <c r="AO103" s="43">
        <f t="shared" si="48"/>
        <v>3283.23</v>
      </c>
    </row>
    <row r="104" spans="1:41" s="24" customFormat="1" ht="15.75" customHeight="1" x14ac:dyDescent="0.35">
      <c r="A104" s="36" t="s">
        <v>27</v>
      </c>
      <c r="B104" s="36">
        <v>202506</v>
      </c>
      <c r="C104" s="24" t="s">
        <v>128</v>
      </c>
      <c r="D104" s="24" t="s">
        <v>129</v>
      </c>
      <c r="E104" s="62">
        <v>45818</v>
      </c>
      <c r="F104" s="62">
        <v>46182</v>
      </c>
      <c r="G104" s="37" t="s">
        <v>232</v>
      </c>
      <c r="H104" s="36">
        <v>1075</v>
      </c>
      <c r="I104" s="63">
        <v>41172</v>
      </c>
      <c r="J104" s="24" t="s">
        <v>880</v>
      </c>
      <c r="K104" s="63">
        <f t="shared" si="32"/>
        <v>45818</v>
      </c>
      <c r="L104" s="55">
        <f t="shared" si="33"/>
        <v>0.04</v>
      </c>
      <c r="M104" s="76">
        <v>0.22500000000000001</v>
      </c>
      <c r="N104" s="62">
        <v>45818</v>
      </c>
      <c r="O104" s="62">
        <v>46182</v>
      </c>
      <c r="P104" s="63"/>
      <c r="Q104" s="63"/>
      <c r="R104" s="82">
        <v>12</v>
      </c>
      <c r="S104" s="63" t="str">
        <f>VLOOKUP(R104,SA!$B$5:$C$11,2,1)</f>
        <v>0-35</v>
      </c>
      <c r="T104" s="38" t="s">
        <v>96</v>
      </c>
      <c r="U104" s="24" t="s">
        <v>114</v>
      </c>
      <c r="V104" s="24">
        <v>300000</v>
      </c>
      <c r="W104" s="39">
        <f t="shared" si="34"/>
        <v>0</v>
      </c>
      <c r="X104" s="29">
        <f t="shared" si="35"/>
        <v>0</v>
      </c>
      <c r="Y104" s="40">
        <f t="shared" si="36"/>
        <v>365</v>
      </c>
      <c r="Z104" s="38">
        <f t="shared" si="31"/>
        <v>46081</v>
      </c>
      <c r="AA104" s="41">
        <f t="shared" si="37"/>
        <v>264</v>
      </c>
      <c r="AB104" s="24" t="s">
        <v>125</v>
      </c>
      <c r="AC104" s="41">
        <f t="shared" si="38"/>
        <v>3874.2114000000001</v>
      </c>
      <c r="AD104" s="41">
        <v>1</v>
      </c>
      <c r="AE104" s="72">
        <f>IFERROR(INDEX(SA!$C$4:$E$11,MATCH(Details!S104,SA!$C$4:$C$11,0),MATCH(Details!V104,SA!$C$4:$E$4,0)),0)*Y104/(F104-E104+1)</f>
        <v>3283.23</v>
      </c>
      <c r="AF104" s="41">
        <f t="shared" si="39"/>
        <v>0</v>
      </c>
      <c r="AG104" s="41">
        <f t="shared" si="40"/>
        <v>0</v>
      </c>
      <c r="AH104" s="41">
        <f t="shared" si="41"/>
        <v>590.98140000000001</v>
      </c>
      <c r="AI104" s="60">
        <f t="shared" si="42"/>
        <v>131.32920000000001</v>
      </c>
      <c r="AJ104" s="60">
        <f t="shared" si="43"/>
        <v>738.72675000000004</v>
      </c>
      <c r="AK104" s="60">
        <f t="shared" si="44"/>
        <v>2374.7197808219175</v>
      </c>
      <c r="AL104" s="60">
        <f t="shared" si="45"/>
        <v>1745.4190389041094</v>
      </c>
      <c r="AM104" s="41">
        <f t="shared" si="46"/>
        <v>667.7550110958905</v>
      </c>
      <c r="AN104" s="42">
        <f t="shared" si="47"/>
        <v>45715</v>
      </c>
      <c r="AO104" s="43">
        <f t="shared" si="48"/>
        <v>3283.23</v>
      </c>
    </row>
    <row r="105" spans="1:41" s="24" customFormat="1" ht="15.75" customHeight="1" x14ac:dyDescent="0.35">
      <c r="A105" s="36" t="s">
        <v>27</v>
      </c>
      <c r="B105" s="36">
        <v>202506</v>
      </c>
      <c r="C105" s="24" t="s">
        <v>128</v>
      </c>
      <c r="D105" s="24" t="s">
        <v>129</v>
      </c>
      <c r="E105" s="62">
        <v>45818</v>
      </c>
      <c r="F105" s="62">
        <v>46182</v>
      </c>
      <c r="G105" s="37" t="s">
        <v>233</v>
      </c>
      <c r="H105" s="36">
        <v>1075</v>
      </c>
      <c r="I105" s="63">
        <v>31507</v>
      </c>
      <c r="J105" s="24" t="s">
        <v>881</v>
      </c>
      <c r="K105" s="63">
        <f t="shared" si="32"/>
        <v>45818</v>
      </c>
      <c r="L105" s="55">
        <f t="shared" si="33"/>
        <v>0.04</v>
      </c>
      <c r="M105" s="76">
        <v>0.22500000000000001</v>
      </c>
      <c r="N105" s="62">
        <v>45818</v>
      </c>
      <c r="O105" s="62">
        <v>46182</v>
      </c>
      <c r="P105" s="63"/>
      <c r="Q105" s="63"/>
      <c r="R105" s="82">
        <v>39</v>
      </c>
      <c r="S105" s="63" t="str">
        <f>VLOOKUP(R105,SA!$B$5:$C$11,2,1)</f>
        <v>36-45</v>
      </c>
      <c r="T105" s="38" t="s">
        <v>97</v>
      </c>
      <c r="U105" s="24" t="s">
        <v>115</v>
      </c>
      <c r="V105" s="24">
        <v>300000</v>
      </c>
      <c r="W105" s="39">
        <f t="shared" si="34"/>
        <v>0</v>
      </c>
      <c r="X105" s="29">
        <f t="shared" si="35"/>
        <v>0</v>
      </c>
      <c r="Y105" s="40">
        <f t="shared" si="36"/>
        <v>365</v>
      </c>
      <c r="Z105" s="38">
        <f t="shared" si="31"/>
        <v>46081</v>
      </c>
      <c r="AA105" s="41">
        <f t="shared" si="37"/>
        <v>264</v>
      </c>
      <c r="AB105" s="24" t="s">
        <v>125</v>
      </c>
      <c r="AC105" s="41">
        <f t="shared" si="38"/>
        <v>5017.3245999999999</v>
      </c>
      <c r="AD105" s="41">
        <v>1</v>
      </c>
      <c r="AE105" s="72">
        <f>IFERROR(INDEX(SA!$C$4:$E$11,MATCH(Details!S105,SA!$C$4:$C$11,0),MATCH(Details!V105,SA!$C$4:$E$4,0)),0)*Y105/(F105-E105+1)</f>
        <v>4251.97</v>
      </c>
      <c r="AF105" s="41">
        <f t="shared" si="39"/>
        <v>0</v>
      </c>
      <c r="AG105" s="41">
        <f t="shared" si="40"/>
        <v>0</v>
      </c>
      <c r="AH105" s="41">
        <f t="shared" si="41"/>
        <v>765.3546</v>
      </c>
      <c r="AI105" s="60">
        <f t="shared" si="42"/>
        <v>170.0788</v>
      </c>
      <c r="AJ105" s="60">
        <f t="shared" si="43"/>
        <v>956.69325000000003</v>
      </c>
      <c r="AK105" s="60">
        <f t="shared" si="44"/>
        <v>3075.397479452055</v>
      </c>
      <c r="AL105" s="60">
        <f t="shared" si="45"/>
        <v>2260.4171473972606</v>
      </c>
      <c r="AM105" s="41">
        <f t="shared" si="46"/>
        <v>864.78080260273941</v>
      </c>
      <c r="AN105" s="42">
        <f t="shared" si="47"/>
        <v>45715</v>
      </c>
      <c r="AO105" s="43">
        <f t="shared" si="48"/>
        <v>4251.97</v>
      </c>
    </row>
    <row r="106" spans="1:41" s="24" customFormat="1" ht="15.75" customHeight="1" x14ac:dyDescent="0.35">
      <c r="A106" s="36" t="s">
        <v>27</v>
      </c>
      <c r="B106" s="36">
        <v>202506</v>
      </c>
      <c r="C106" s="24" t="s">
        <v>128</v>
      </c>
      <c r="D106" s="24" t="s">
        <v>129</v>
      </c>
      <c r="E106" s="62">
        <v>45818</v>
      </c>
      <c r="F106" s="62">
        <v>46182</v>
      </c>
      <c r="G106" s="37" t="s">
        <v>234</v>
      </c>
      <c r="H106" s="36">
        <v>1076</v>
      </c>
      <c r="I106" s="63">
        <v>32846</v>
      </c>
      <c r="J106" s="24" t="s">
        <v>882</v>
      </c>
      <c r="K106" s="63">
        <f t="shared" si="32"/>
        <v>45818</v>
      </c>
      <c r="L106" s="55">
        <f t="shared" si="33"/>
        <v>0.04</v>
      </c>
      <c r="M106" s="76">
        <v>0.22500000000000001</v>
      </c>
      <c r="N106" s="62">
        <v>45818</v>
      </c>
      <c r="O106" s="62">
        <v>46182</v>
      </c>
      <c r="P106" s="63"/>
      <c r="Q106" s="63"/>
      <c r="R106" s="82">
        <v>35</v>
      </c>
      <c r="S106" s="63" t="str">
        <f>VLOOKUP(R106,SA!$B$5:$C$11,2,1)</f>
        <v>0-35</v>
      </c>
      <c r="T106" s="38" t="s">
        <v>96</v>
      </c>
      <c r="U106" s="24" t="s">
        <v>56</v>
      </c>
      <c r="V106" s="24">
        <v>300000</v>
      </c>
      <c r="W106" s="39">
        <f t="shared" si="34"/>
        <v>300000</v>
      </c>
      <c r="X106" s="29">
        <f t="shared" si="35"/>
        <v>1</v>
      </c>
      <c r="Y106" s="40">
        <f t="shared" si="36"/>
        <v>365</v>
      </c>
      <c r="Z106" s="38">
        <f t="shared" si="31"/>
        <v>46081</v>
      </c>
      <c r="AA106" s="41">
        <f t="shared" si="37"/>
        <v>264</v>
      </c>
      <c r="AB106" s="24" t="s">
        <v>125</v>
      </c>
      <c r="AC106" s="41">
        <f t="shared" si="38"/>
        <v>3874.2114000000001</v>
      </c>
      <c r="AD106" s="41">
        <v>1</v>
      </c>
      <c r="AE106" s="72">
        <f>IFERROR(INDEX(SA!$C$4:$E$11,MATCH(Details!S106,SA!$C$4:$C$11,0),MATCH(Details!V106,SA!$C$4:$E$4,0)),0)*Y106/(F106-E106+1)</f>
        <v>3283.23</v>
      </c>
      <c r="AF106" s="41">
        <f t="shared" si="39"/>
        <v>0</v>
      </c>
      <c r="AG106" s="41">
        <f t="shared" si="40"/>
        <v>0</v>
      </c>
      <c r="AH106" s="41">
        <f t="shared" si="41"/>
        <v>590.98140000000001</v>
      </c>
      <c r="AI106" s="60">
        <f t="shared" si="42"/>
        <v>131.32920000000001</v>
      </c>
      <c r="AJ106" s="60">
        <f t="shared" si="43"/>
        <v>738.72675000000004</v>
      </c>
      <c r="AK106" s="60">
        <f t="shared" si="44"/>
        <v>2374.7197808219175</v>
      </c>
      <c r="AL106" s="60">
        <f t="shared" si="45"/>
        <v>1745.4190389041094</v>
      </c>
      <c r="AM106" s="41">
        <f t="shared" si="46"/>
        <v>667.7550110958905</v>
      </c>
      <c r="AN106" s="42">
        <f t="shared" si="47"/>
        <v>45715</v>
      </c>
      <c r="AO106" s="43">
        <f t="shared" si="48"/>
        <v>3283.23</v>
      </c>
    </row>
    <row r="107" spans="1:41" s="24" customFormat="1" ht="15.75" customHeight="1" x14ac:dyDescent="0.35">
      <c r="A107" s="36" t="s">
        <v>27</v>
      </c>
      <c r="B107" s="36">
        <v>202506</v>
      </c>
      <c r="C107" s="24" t="s">
        <v>128</v>
      </c>
      <c r="D107" s="24" t="s">
        <v>129</v>
      </c>
      <c r="E107" s="62">
        <v>45818</v>
      </c>
      <c r="F107" s="62">
        <v>46182</v>
      </c>
      <c r="G107" s="37" t="s">
        <v>235</v>
      </c>
      <c r="H107" s="36">
        <v>1076</v>
      </c>
      <c r="I107" s="63">
        <v>33453</v>
      </c>
      <c r="J107" s="24" t="s">
        <v>883</v>
      </c>
      <c r="K107" s="63">
        <f t="shared" si="32"/>
        <v>45818</v>
      </c>
      <c r="L107" s="55">
        <f t="shared" si="33"/>
        <v>0.04</v>
      </c>
      <c r="M107" s="76">
        <v>0.22500000000000001</v>
      </c>
      <c r="N107" s="62">
        <v>45818</v>
      </c>
      <c r="O107" s="62">
        <v>46182</v>
      </c>
      <c r="P107" s="63"/>
      <c r="Q107" s="63"/>
      <c r="R107" s="82">
        <v>33</v>
      </c>
      <c r="S107" s="63" t="str">
        <f>VLOOKUP(R107,SA!$B$5:$C$11,2,1)</f>
        <v>0-35</v>
      </c>
      <c r="T107" s="38" t="s">
        <v>97</v>
      </c>
      <c r="U107" s="24" t="s">
        <v>115</v>
      </c>
      <c r="V107" s="24">
        <v>300000</v>
      </c>
      <c r="W107" s="39">
        <f t="shared" si="34"/>
        <v>0</v>
      </c>
      <c r="X107" s="29">
        <f t="shared" si="35"/>
        <v>0</v>
      </c>
      <c r="Y107" s="40">
        <f t="shared" si="36"/>
        <v>365</v>
      </c>
      <c r="Z107" s="38">
        <f t="shared" si="31"/>
        <v>46081</v>
      </c>
      <c r="AA107" s="41">
        <f t="shared" si="37"/>
        <v>264</v>
      </c>
      <c r="AB107" s="24" t="s">
        <v>125</v>
      </c>
      <c r="AC107" s="41">
        <f t="shared" si="38"/>
        <v>3874.2114000000001</v>
      </c>
      <c r="AD107" s="41">
        <v>1</v>
      </c>
      <c r="AE107" s="72">
        <f>IFERROR(INDEX(SA!$C$4:$E$11,MATCH(Details!S107,SA!$C$4:$C$11,0),MATCH(Details!V107,SA!$C$4:$E$4,0)),0)*Y107/(F107-E107+1)</f>
        <v>3283.23</v>
      </c>
      <c r="AF107" s="41">
        <f t="shared" si="39"/>
        <v>0</v>
      </c>
      <c r="AG107" s="41">
        <f t="shared" si="40"/>
        <v>0</v>
      </c>
      <c r="AH107" s="41">
        <f t="shared" si="41"/>
        <v>590.98140000000001</v>
      </c>
      <c r="AI107" s="60">
        <f t="shared" si="42"/>
        <v>131.32920000000001</v>
      </c>
      <c r="AJ107" s="60">
        <f t="shared" si="43"/>
        <v>738.72675000000004</v>
      </c>
      <c r="AK107" s="60">
        <f t="shared" si="44"/>
        <v>2374.7197808219175</v>
      </c>
      <c r="AL107" s="60">
        <f t="shared" si="45"/>
        <v>1745.4190389041094</v>
      </c>
      <c r="AM107" s="41">
        <f t="shared" si="46"/>
        <v>667.7550110958905</v>
      </c>
      <c r="AN107" s="42">
        <f t="shared" si="47"/>
        <v>45715</v>
      </c>
      <c r="AO107" s="43">
        <f t="shared" si="48"/>
        <v>3283.23</v>
      </c>
    </row>
    <row r="108" spans="1:41" s="24" customFormat="1" ht="15.75" customHeight="1" x14ac:dyDescent="0.35">
      <c r="A108" s="36" t="s">
        <v>27</v>
      </c>
      <c r="B108" s="36">
        <v>202506</v>
      </c>
      <c r="C108" s="24" t="s">
        <v>128</v>
      </c>
      <c r="D108" s="24" t="s">
        <v>129</v>
      </c>
      <c r="E108" s="62">
        <v>45818</v>
      </c>
      <c r="F108" s="62">
        <v>46182</v>
      </c>
      <c r="G108" s="37" t="s">
        <v>236</v>
      </c>
      <c r="H108" s="36">
        <v>1080</v>
      </c>
      <c r="I108" s="63">
        <v>30043</v>
      </c>
      <c r="J108" s="24" t="s">
        <v>884</v>
      </c>
      <c r="K108" s="63">
        <f t="shared" si="32"/>
        <v>45818</v>
      </c>
      <c r="L108" s="55">
        <f t="shared" si="33"/>
        <v>0.04</v>
      </c>
      <c r="M108" s="76">
        <v>0.22500000000000001</v>
      </c>
      <c r="N108" s="62">
        <v>45818</v>
      </c>
      <c r="O108" s="62">
        <v>46182</v>
      </c>
      <c r="P108" s="63"/>
      <c r="Q108" s="63"/>
      <c r="R108" s="82">
        <v>43</v>
      </c>
      <c r="S108" s="63" t="str">
        <f>VLOOKUP(R108,SA!$B$5:$C$11,2,1)</f>
        <v>36-45</v>
      </c>
      <c r="T108" s="38" t="s">
        <v>96</v>
      </c>
      <c r="U108" s="24" t="s">
        <v>56</v>
      </c>
      <c r="V108" s="24">
        <v>300000</v>
      </c>
      <c r="W108" s="39">
        <f t="shared" si="34"/>
        <v>300000</v>
      </c>
      <c r="X108" s="29">
        <f t="shared" si="35"/>
        <v>1</v>
      </c>
      <c r="Y108" s="40">
        <f t="shared" si="36"/>
        <v>365</v>
      </c>
      <c r="Z108" s="38">
        <f t="shared" si="31"/>
        <v>46081</v>
      </c>
      <c r="AA108" s="41">
        <f t="shared" si="37"/>
        <v>264</v>
      </c>
      <c r="AB108" s="24" t="s">
        <v>125</v>
      </c>
      <c r="AC108" s="41">
        <f t="shared" si="38"/>
        <v>5017.3245999999999</v>
      </c>
      <c r="AD108" s="41">
        <v>1</v>
      </c>
      <c r="AE108" s="72">
        <f>IFERROR(INDEX(SA!$C$4:$E$11,MATCH(Details!S108,SA!$C$4:$C$11,0),MATCH(Details!V108,SA!$C$4:$E$4,0)),0)*Y108/(F108-E108+1)</f>
        <v>4251.97</v>
      </c>
      <c r="AF108" s="41">
        <f t="shared" si="39"/>
        <v>0</v>
      </c>
      <c r="AG108" s="41">
        <f t="shared" si="40"/>
        <v>0</v>
      </c>
      <c r="AH108" s="41">
        <f t="shared" si="41"/>
        <v>765.3546</v>
      </c>
      <c r="AI108" s="60">
        <f t="shared" si="42"/>
        <v>170.0788</v>
      </c>
      <c r="AJ108" s="60">
        <f t="shared" si="43"/>
        <v>956.69325000000003</v>
      </c>
      <c r="AK108" s="60">
        <f t="shared" si="44"/>
        <v>3075.397479452055</v>
      </c>
      <c r="AL108" s="60">
        <f t="shared" si="45"/>
        <v>2260.4171473972606</v>
      </c>
      <c r="AM108" s="41">
        <f t="shared" si="46"/>
        <v>864.78080260273941</v>
      </c>
      <c r="AN108" s="42">
        <f t="shared" si="47"/>
        <v>45715</v>
      </c>
      <c r="AO108" s="43">
        <f t="shared" si="48"/>
        <v>4251.97</v>
      </c>
    </row>
    <row r="109" spans="1:41" s="24" customFormat="1" ht="15.75" customHeight="1" x14ac:dyDescent="0.35">
      <c r="A109" s="36" t="s">
        <v>27</v>
      </c>
      <c r="B109" s="36">
        <v>202506</v>
      </c>
      <c r="C109" s="24" t="s">
        <v>128</v>
      </c>
      <c r="D109" s="24" t="s">
        <v>129</v>
      </c>
      <c r="E109" s="62">
        <v>45818</v>
      </c>
      <c r="F109" s="62">
        <v>46182</v>
      </c>
      <c r="G109" s="37" t="s">
        <v>237</v>
      </c>
      <c r="H109" s="36">
        <v>1080</v>
      </c>
      <c r="I109" s="63">
        <v>31697</v>
      </c>
      <c r="J109" s="24" t="s">
        <v>885</v>
      </c>
      <c r="K109" s="63">
        <f t="shared" si="32"/>
        <v>45818</v>
      </c>
      <c r="L109" s="55">
        <f t="shared" si="33"/>
        <v>0.04</v>
      </c>
      <c r="M109" s="76">
        <v>0.22500000000000001</v>
      </c>
      <c r="N109" s="62">
        <v>45818</v>
      </c>
      <c r="O109" s="62">
        <v>46182</v>
      </c>
      <c r="P109" s="63"/>
      <c r="Q109" s="63"/>
      <c r="R109" s="82">
        <v>38</v>
      </c>
      <c r="S109" s="63" t="str">
        <f>VLOOKUP(R109,SA!$B$5:$C$11,2,1)</f>
        <v>36-45</v>
      </c>
      <c r="T109" s="38" t="s">
        <v>97</v>
      </c>
      <c r="U109" s="24" t="s">
        <v>115</v>
      </c>
      <c r="V109" s="24">
        <v>300000</v>
      </c>
      <c r="W109" s="39">
        <f t="shared" si="34"/>
        <v>0</v>
      </c>
      <c r="X109" s="29">
        <f t="shared" si="35"/>
        <v>0</v>
      </c>
      <c r="Y109" s="40">
        <f t="shared" si="36"/>
        <v>365</v>
      </c>
      <c r="Z109" s="38">
        <f t="shared" si="31"/>
        <v>46081</v>
      </c>
      <c r="AA109" s="41">
        <f t="shared" si="37"/>
        <v>264</v>
      </c>
      <c r="AB109" s="24" t="s">
        <v>125</v>
      </c>
      <c r="AC109" s="41">
        <f t="shared" si="38"/>
        <v>5017.3245999999999</v>
      </c>
      <c r="AD109" s="41">
        <v>1</v>
      </c>
      <c r="AE109" s="72">
        <f>IFERROR(INDEX(SA!$C$4:$E$11,MATCH(Details!S109,SA!$C$4:$C$11,0),MATCH(Details!V109,SA!$C$4:$E$4,0)),0)*Y109/(F109-E109+1)</f>
        <v>4251.97</v>
      </c>
      <c r="AF109" s="41">
        <f t="shared" si="39"/>
        <v>0</v>
      </c>
      <c r="AG109" s="41">
        <f t="shared" si="40"/>
        <v>0</v>
      </c>
      <c r="AH109" s="41">
        <f t="shared" si="41"/>
        <v>765.3546</v>
      </c>
      <c r="AI109" s="60">
        <f t="shared" si="42"/>
        <v>170.0788</v>
      </c>
      <c r="AJ109" s="60">
        <f t="shared" si="43"/>
        <v>956.69325000000003</v>
      </c>
      <c r="AK109" s="60">
        <f t="shared" si="44"/>
        <v>3075.397479452055</v>
      </c>
      <c r="AL109" s="60">
        <f t="shared" si="45"/>
        <v>2260.4171473972606</v>
      </c>
      <c r="AM109" s="41">
        <f t="shared" si="46"/>
        <v>864.78080260273941</v>
      </c>
      <c r="AN109" s="42">
        <f t="shared" si="47"/>
        <v>45715</v>
      </c>
      <c r="AO109" s="43">
        <f t="shared" si="48"/>
        <v>4251.97</v>
      </c>
    </row>
    <row r="110" spans="1:41" s="24" customFormat="1" ht="15.75" customHeight="1" x14ac:dyDescent="0.35">
      <c r="A110" s="36" t="s">
        <v>27</v>
      </c>
      <c r="B110" s="36">
        <v>202506</v>
      </c>
      <c r="C110" s="24" t="s">
        <v>128</v>
      </c>
      <c r="D110" s="24" t="s">
        <v>129</v>
      </c>
      <c r="E110" s="62">
        <v>45818</v>
      </c>
      <c r="F110" s="62">
        <v>46182</v>
      </c>
      <c r="G110" s="37" t="s">
        <v>238</v>
      </c>
      <c r="H110" s="36">
        <v>1080</v>
      </c>
      <c r="I110" s="63">
        <v>41488</v>
      </c>
      <c r="J110" s="24" t="s">
        <v>886</v>
      </c>
      <c r="K110" s="63">
        <f t="shared" si="32"/>
        <v>45818</v>
      </c>
      <c r="L110" s="55">
        <f t="shared" si="33"/>
        <v>0.04</v>
      </c>
      <c r="M110" s="76">
        <v>0.22500000000000001</v>
      </c>
      <c r="N110" s="62">
        <v>45818</v>
      </c>
      <c r="O110" s="62">
        <v>46182</v>
      </c>
      <c r="P110" s="63"/>
      <c r="Q110" s="63"/>
      <c r="R110" s="82">
        <v>11</v>
      </c>
      <c r="S110" s="63" t="str">
        <f>VLOOKUP(R110,SA!$B$5:$C$11,2,1)</f>
        <v>0-35</v>
      </c>
      <c r="T110" s="38" t="s">
        <v>96</v>
      </c>
      <c r="U110" s="24" t="s">
        <v>114</v>
      </c>
      <c r="V110" s="24">
        <v>300000</v>
      </c>
      <c r="W110" s="39">
        <f t="shared" si="34"/>
        <v>0</v>
      </c>
      <c r="X110" s="29">
        <f t="shared" si="35"/>
        <v>0</v>
      </c>
      <c r="Y110" s="40">
        <f t="shared" si="36"/>
        <v>365</v>
      </c>
      <c r="Z110" s="38">
        <f t="shared" si="31"/>
        <v>46081</v>
      </c>
      <c r="AA110" s="41">
        <f t="shared" si="37"/>
        <v>264</v>
      </c>
      <c r="AB110" s="24" t="s">
        <v>125</v>
      </c>
      <c r="AC110" s="41">
        <f t="shared" si="38"/>
        <v>3874.2114000000001</v>
      </c>
      <c r="AD110" s="41">
        <v>1</v>
      </c>
      <c r="AE110" s="72">
        <f>IFERROR(INDEX(SA!$C$4:$E$11,MATCH(Details!S110,SA!$C$4:$C$11,0),MATCH(Details!V110,SA!$C$4:$E$4,0)),0)*Y110/(F110-E110+1)</f>
        <v>3283.23</v>
      </c>
      <c r="AF110" s="41">
        <f t="shared" si="39"/>
        <v>0</v>
      </c>
      <c r="AG110" s="41">
        <f t="shared" si="40"/>
        <v>0</v>
      </c>
      <c r="AH110" s="41">
        <f t="shared" si="41"/>
        <v>590.98140000000001</v>
      </c>
      <c r="AI110" s="60">
        <f t="shared" si="42"/>
        <v>131.32920000000001</v>
      </c>
      <c r="AJ110" s="60">
        <f t="shared" si="43"/>
        <v>738.72675000000004</v>
      </c>
      <c r="AK110" s="60">
        <f t="shared" si="44"/>
        <v>2374.7197808219175</v>
      </c>
      <c r="AL110" s="60">
        <f t="shared" si="45"/>
        <v>1745.4190389041094</v>
      </c>
      <c r="AM110" s="41">
        <f t="shared" si="46"/>
        <v>667.7550110958905</v>
      </c>
      <c r="AN110" s="42">
        <f t="shared" si="47"/>
        <v>45715</v>
      </c>
      <c r="AO110" s="43">
        <f t="shared" si="48"/>
        <v>3283.23</v>
      </c>
    </row>
    <row r="111" spans="1:41" s="24" customFormat="1" ht="15.75" customHeight="1" x14ac:dyDescent="0.35">
      <c r="A111" s="36" t="s">
        <v>27</v>
      </c>
      <c r="B111" s="36">
        <v>202506</v>
      </c>
      <c r="C111" s="24" t="s">
        <v>128</v>
      </c>
      <c r="D111" s="24" t="s">
        <v>129</v>
      </c>
      <c r="E111" s="62">
        <v>45818</v>
      </c>
      <c r="F111" s="62">
        <v>46182</v>
      </c>
      <c r="G111" s="37" t="s">
        <v>239</v>
      </c>
      <c r="H111" s="36">
        <v>1085</v>
      </c>
      <c r="I111" s="63">
        <v>30502</v>
      </c>
      <c r="J111" s="24" t="s">
        <v>887</v>
      </c>
      <c r="K111" s="63">
        <f t="shared" si="32"/>
        <v>45818</v>
      </c>
      <c r="L111" s="55">
        <f t="shared" si="33"/>
        <v>0.04</v>
      </c>
      <c r="M111" s="76">
        <v>0.22500000000000001</v>
      </c>
      <c r="N111" s="62">
        <v>45818</v>
      </c>
      <c r="O111" s="62">
        <v>46182</v>
      </c>
      <c r="P111" s="63"/>
      <c r="Q111" s="63"/>
      <c r="R111" s="82">
        <v>41</v>
      </c>
      <c r="S111" s="63" t="str">
        <f>VLOOKUP(R111,SA!$B$5:$C$11,2,1)</f>
        <v>36-45</v>
      </c>
      <c r="T111" s="38" t="s">
        <v>96</v>
      </c>
      <c r="U111" s="24" t="s">
        <v>56</v>
      </c>
      <c r="V111" s="24">
        <v>300000</v>
      </c>
      <c r="W111" s="39">
        <f t="shared" si="34"/>
        <v>300000</v>
      </c>
      <c r="X111" s="29">
        <f t="shared" si="35"/>
        <v>1</v>
      </c>
      <c r="Y111" s="40">
        <f t="shared" si="36"/>
        <v>365</v>
      </c>
      <c r="Z111" s="38">
        <f t="shared" si="31"/>
        <v>46081</v>
      </c>
      <c r="AA111" s="41">
        <f t="shared" si="37"/>
        <v>264</v>
      </c>
      <c r="AB111" s="24" t="s">
        <v>125</v>
      </c>
      <c r="AC111" s="41">
        <f t="shared" si="38"/>
        <v>5017.3245999999999</v>
      </c>
      <c r="AD111" s="41">
        <v>1</v>
      </c>
      <c r="AE111" s="72">
        <f>IFERROR(INDEX(SA!$C$4:$E$11,MATCH(Details!S111,SA!$C$4:$C$11,0),MATCH(Details!V111,SA!$C$4:$E$4,0)),0)*Y111/(F111-E111+1)</f>
        <v>4251.97</v>
      </c>
      <c r="AF111" s="41">
        <f t="shared" si="39"/>
        <v>0</v>
      </c>
      <c r="AG111" s="41">
        <f t="shared" si="40"/>
        <v>0</v>
      </c>
      <c r="AH111" s="41">
        <f t="shared" si="41"/>
        <v>765.3546</v>
      </c>
      <c r="AI111" s="60">
        <f t="shared" si="42"/>
        <v>170.0788</v>
      </c>
      <c r="AJ111" s="60">
        <f t="shared" si="43"/>
        <v>956.69325000000003</v>
      </c>
      <c r="AK111" s="60">
        <f t="shared" si="44"/>
        <v>3075.397479452055</v>
      </c>
      <c r="AL111" s="60">
        <f t="shared" si="45"/>
        <v>2260.4171473972606</v>
      </c>
      <c r="AM111" s="41">
        <f t="shared" si="46"/>
        <v>864.78080260273941</v>
      </c>
      <c r="AN111" s="42">
        <f t="shared" si="47"/>
        <v>45715</v>
      </c>
      <c r="AO111" s="43">
        <f t="shared" si="48"/>
        <v>4251.97</v>
      </c>
    </row>
    <row r="112" spans="1:41" s="24" customFormat="1" ht="15.75" customHeight="1" x14ac:dyDescent="0.35">
      <c r="A112" s="36" t="s">
        <v>27</v>
      </c>
      <c r="B112" s="36">
        <v>202506</v>
      </c>
      <c r="C112" s="24" t="s">
        <v>128</v>
      </c>
      <c r="D112" s="24" t="s">
        <v>129</v>
      </c>
      <c r="E112" s="62">
        <v>45818</v>
      </c>
      <c r="F112" s="62">
        <v>46182</v>
      </c>
      <c r="G112" s="37" t="s">
        <v>240</v>
      </c>
      <c r="H112" s="36">
        <v>1085</v>
      </c>
      <c r="I112" s="63">
        <v>38909</v>
      </c>
      <c r="J112" s="24" t="s">
        <v>888</v>
      </c>
      <c r="K112" s="63">
        <f t="shared" si="32"/>
        <v>45818</v>
      </c>
      <c r="L112" s="55">
        <f t="shared" si="33"/>
        <v>0.04</v>
      </c>
      <c r="M112" s="76">
        <v>0.22500000000000001</v>
      </c>
      <c r="N112" s="62">
        <v>45818</v>
      </c>
      <c r="O112" s="62">
        <v>46182</v>
      </c>
      <c r="P112" s="63"/>
      <c r="Q112" s="63"/>
      <c r="R112" s="82">
        <v>18</v>
      </c>
      <c r="S112" s="63" t="str">
        <f>VLOOKUP(R112,SA!$B$5:$C$11,2,1)</f>
        <v>0-35</v>
      </c>
      <c r="T112" s="38" t="s">
        <v>96</v>
      </c>
      <c r="U112" s="24" t="s">
        <v>114</v>
      </c>
      <c r="V112" s="24">
        <v>300000</v>
      </c>
      <c r="W112" s="39">
        <f t="shared" si="34"/>
        <v>0</v>
      </c>
      <c r="X112" s="29">
        <f t="shared" si="35"/>
        <v>0</v>
      </c>
      <c r="Y112" s="40">
        <f t="shared" si="36"/>
        <v>365</v>
      </c>
      <c r="Z112" s="38">
        <f t="shared" si="31"/>
        <v>46081</v>
      </c>
      <c r="AA112" s="41">
        <f t="shared" si="37"/>
        <v>264</v>
      </c>
      <c r="AB112" s="24" t="s">
        <v>125</v>
      </c>
      <c r="AC112" s="41">
        <f t="shared" si="38"/>
        <v>3874.2114000000001</v>
      </c>
      <c r="AD112" s="41">
        <v>1</v>
      </c>
      <c r="AE112" s="72">
        <f>IFERROR(INDEX(SA!$C$4:$E$11,MATCH(Details!S112,SA!$C$4:$C$11,0),MATCH(Details!V112,SA!$C$4:$E$4,0)),0)*Y112/(F112-E112+1)</f>
        <v>3283.23</v>
      </c>
      <c r="AF112" s="41">
        <f t="shared" si="39"/>
        <v>0</v>
      </c>
      <c r="AG112" s="41">
        <f t="shared" si="40"/>
        <v>0</v>
      </c>
      <c r="AH112" s="41">
        <f t="shared" si="41"/>
        <v>590.98140000000001</v>
      </c>
      <c r="AI112" s="60">
        <f t="shared" si="42"/>
        <v>131.32920000000001</v>
      </c>
      <c r="AJ112" s="60">
        <f t="shared" si="43"/>
        <v>738.72675000000004</v>
      </c>
      <c r="AK112" s="60">
        <f t="shared" si="44"/>
        <v>2374.7197808219175</v>
      </c>
      <c r="AL112" s="60">
        <f t="shared" si="45"/>
        <v>1745.4190389041094</v>
      </c>
      <c r="AM112" s="41">
        <f t="shared" si="46"/>
        <v>667.7550110958905</v>
      </c>
      <c r="AN112" s="42">
        <f t="shared" si="47"/>
        <v>45715</v>
      </c>
      <c r="AO112" s="43">
        <f t="shared" si="48"/>
        <v>3283.23</v>
      </c>
    </row>
    <row r="113" spans="1:41" s="24" customFormat="1" ht="15.75" customHeight="1" x14ac:dyDescent="0.35">
      <c r="A113" s="36" t="s">
        <v>27</v>
      </c>
      <c r="B113" s="36">
        <v>202506</v>
      </c>
      <c r="C113" s="24" t="s">
        <v>128</v>
      </c>
      <c r="D113" s="24" t="s">
        <v>129</v>
      </c>
      <c r="E113" s="62">
        <v>45818</v>
      </c>
      <c r="F113" s="62">
        <v>46182</v>
      </c>
      <c r="G113" s="37" t="s">
        <v>241</v>
      </c>
      <c r="H113" s="36">
        <v>1085</v>
      </c>
      <c r="I113" s="63">
        <v>29234</v>
      </c>
      <c r="J113" s="24" t="s">
        <v>889</v>
      </c>
      <c r="K113" s="63">
        <f t="shared" si="32"/>
        <v>45818</v>
      </c>
      <c r="L113" s="55">
        <f t="shared" si="33"/>
        <v>0.04</v>
      </c>
      <c r="M113" s="76">
        <v>0.22500000000000001</v>
      </c>
      <c r="N113" s="62">
        <v>45818</v>
      </c>
      <c r="O113" s="62">
        <v>46182</v>
      </c>
      <c r="P113" s="63"/>
      <c r="Q113" s="63"/>
      <c r="R113" s="82">
        <v>45</v>
      </c>
      <c r="S113" s="63" t="str">
        <f>VLOOKUP(R113,SA!$B$5:$C$11,2,1)</f>
        <v>36-45</v>
      </c>
      <c r="T113" s="38" t="s">
        <v>97</v>
      </c>
      <c r="U113" s="24" t="s">
        <v>115</v>
      </c>
      <c r="V113" s="24">
        <v>300000</v>
      </c>
      <c r="W113" s="39">
        <f t="shared" si="34"/>
        <v>0</v>
      </c>
      <c r="X113" s="29">
        <f t="shared" si="35"/>
        <v>0</v>
      </c>
      <c r="Y113" s="40">
        <f t="shared" si="36"/>
        <v>365</v>
      </c>
      <c r="Z113" s="38">
        <f t="shared" si="31"/>
        <v>46081</v>
      </c>
      <c r="AA113" s="41">
        <f t="shared" si="37"/>
        <v>264</v>
      </c>
      <c r="AB113" s="24" t="s">
        <v>125</v>
      </c>
      <c r="AC113" s="41">
        <f t="shared" si="38"/>
        <v>5017.3245999999999</v>
      </c>
      <c r="AD113" s="41">
        <v>1</v>
      </c>
      <c r="AE113" s="72">
        <f>IFERROR(INDEX(SA!$C$4:$E$11,MATCH(Details!S113,SA!$C$4:$C$11,0),MATCH(Details!V113,SA!$C$4:$E$4,0)),0)*Y113/(F113-E113+1)</f>
        <v>4251.97</v>
      </c>
      <c r="AF113" s="41">
        <f t="shared" si="39"/>
        <v>0</v>
      </c>
      <c r="AG113" s="41">
        <f t="shared" si="40"/>
        <v>0</v>
      </c>
      <c r="AH113" s="41">
        <f t="shared" si="41"/>
        <v>765.3546</v>
      </c>
      <c r="AI113" s="60">
        <f t="shared" si="42"/>
        <v>170.0788</v>
      </c>
      <c r="AJ113" s="60">
        <f t="shared" si="43"/>
        <v>956.69325000000003</v>
      </c>
      <c r="AK113" s="60">
        <f t="shared" si="44"/>
        <v>3075.397479452055</v>
      </c>
      <c r="AL113" s="60">
        <f t="shared" si="45"/>
        <v>2260.4171473972606</v>
      </c>
      <c r="AM113" s="41">
        <f t="shared" si="46"/>
        <v>864.78080260273941</v>
      </c>
      <c r="AN113" s="42">
        <f t="shared" si="47"/>
        <v>45715</v>
      </c>
      <c r="AO113" s="43">
        <f t="shared" si="48"/>
        <v>4251.97</v>
      </c>
    </row>
    <row r="114" spans="1:41" s="24" customFormat="1" ht="15.75" customHeight="1" x14ac:dyDescent="0.35">
      <c r="A114" s="36" t="s">
        <v>27</v>
      </c>
      <c r="B114" s="36">
        <v>202506</v>
      </c>
      <c r="C114" s="24" t="s">
        <v>128</v>
      </c>
      <c r="D114" s="24" t="s">
        <v>129</v>
      </c>
      <c r="E114" s="62">
        <v>45818</v>
      </c>
      <c r="F114" s="62">
        <v>46182</v>
      </c>
      <c r="G114" s="37" t="s">
        <v>242</v>
      </c>
      <c r="H114" s="36">
        <v>1085</v>
      </c>
      <c r="I114" s="63">
        <v>40604</v>
      </c>
      <c r="J114" s="24" t="s">
        <v>890</v>
      </c>
      <c r="K114" s="63">
        <f t="shared" si="32"/>
        <v>45818</v>
      </c>
      <c r="L114" s="55">
        <f t="shared" si="33"/>
        <v>0.04</v>
      </c>
      <c r="M114" s="76">
        <v>0.22500000000000001</v>
      </c>
      <c r="N114" s="62">
        <v>45818</v>
      </c>
      <c r="O114" s="62">
        <v>46182</v>
      </c>
      <c r="P114" s="63"/>
      <c r="Q114" s="63"/>
      <c r="R114" s="82">
        <v>14</v>
      </c>
      <c r="S114" s="63" t="str">
        <f>VLOOKUP(R114,SA!$B$5:$C$11,2,1)</f>
        <v>0-35</v>
      </c>
      <c r="T114" s="38" t="s">
        <v>96</v>
      </c>
      <c r="U114" s="24" t="s">
        <v>114</v>
      </c>
      <c r="V114" s="24">
        <v>300000</v>
      </c>
      <c r="W114" s="39">
        <f t="shared" si="34"/>
        <v>0</v>
      </c>
      <c r="X114" s="29">
        <f t="shared" si="35"/>
        <v>0</v>
      </c>
      <c r="Y114" s="40">
        <f t="shared" si="36"/>
        <v>365</v>
      </c>
      <c r="Z114" s="38">
        <f t="shared" si="31"/>
        <v>46081</v>
      </c>
      <c r="AA114" s="41">
        <f t="shared" si="37"/>
        <v>264</v>
      </c>
      <c r="AB114" s="24" t="s">
        <v>125</v>
      </c>
      <c r="AC114" s="41">
        <f t="shared" si="38"/>
        <v>3874.2114000000001</v>
      </c>
      <c r="AD114" s="41">
        <v>1</v>
      </c>
      <c r="AE114" s="72">
        <f>IFERROR(INDEX(SA!$C$4:$E$11,MATCH(Details!S114,SA!$C$4:$C$11,0),MATCH(Details!V114,SA!$C$4:$E$4,0)),0)*Y114/(F114-E114+1)</f>
        <v>3283.23</v>
      </c>
      <c r="AF114" s="41">
        <f t="shared" si="39"/>
        <v>0</v>
      </c>
      <c r="AG114" s="41">
        <f t="shared" si="40"/>
        <v>0</v>
      </c>
      <c r="AH114" s="41">
        <f t="shared" si="41"/>
        <v>590.98140000000001</v>
      </c>
      <c r="AI114" s="60">
        <f t="shared" si="42"/>
        <v>131.32920000000001</v>
      </c>
      <c r="AJ114" s="60">
        <f t="shared" si="43"/>
        <v>738.72675000000004</v>
      </c>
      <c r="AK114" s="60">
        <f t="shared" si="44"/>
        <v>2374.7197808219175</v>
      </c>
      <c r="AL114" s="60">
        <f t="shared" si="45"/>
        <v>1745.4190389041094</v>
      </c>
      <c r="AM114" s="41">
        <f t="shared" si="46"/>
        <v>667.7550110958905</v>
      </c>
      <c r="AN114" s="42">
        <f t="shared" si="47"/>
        <v>45715</v>
      </c>
      <c r="AO114" s="43">
        <f t="shared" si="48"/>
        <v>3283.23</v>
      </c>
    </row>
    <row r="115" spans="1:41" s="24" customFormat="1" ht="15.75" customHeight="1" x14ac:dyDescent="0.35">
      <c r="A115" s="36" t="s">
        <v>27</v>
      </c>
      <c r="B115" s="36">
        <v>202506</v>
      </c>
      <c r="C115" s="24" t="s">
        <v>128</v>
      </c>
      <c r="D115" s="24" t="s">
        <v>129</v>
      </c>
      <c r="E115" s="62">
        <v>45818</v>
      </c>
      <c r="F115" s="62">
        <v>46182</v>
      </c>
      <c r="G115" s="37" t="s">
        <v>243</v>
      </c>
      <c r="H115" s="36">
        <v>1087</v>
      </c>
      <c r="I115" s="63">
        <v>24663</v>
      </c>
      <c r="J115" s="24" t="s">
        <v>891</v>
      </c>
      <c r="K115" s="63">
        <f t="shared" si="32"/>
        <v>45818</v>
      </c>
      <c r="L115" s="55">
        <f t="shared" si="33"/>
        <v>0.04</v>
      </c>
      <c r="M115" s="76">
        <v>0.22500000000000001</v>
      </c>
      <c r="N115" s="62">
        <v>45818</v>
      </c>
      <c r="O115" s="62">
        <v>46182</v>
      </c>
      <c r="P115" s="63"/>
      <c r="Q115" s="63"/>
      <c r="R115" s="82">
        <v>57</v>
      </c>
      <c r="S115" s="63" t="str">
        <f>VLOOKUP(R115,SA!$B$5:$C$11,2,1)</f>
        <v>56-65</v>
      </c>
      <c r="T115" s="38" t="s">
        <v>96</v>
      </c>
      <c r="U115" s="24" t="s">
        <v>56</v>
      </c>
      <c r="V115" s="24">
        <v>300000</v>
      </c>
      <c r="W115" s="39">
        <f t="shared" si="34"/>
        <v>300000</v>
      </c>
      <c r="X115" s="29">
        <f t="shared" si="35"/>
        <v>1</v>
      </c>
      <c r="Y115" s="40">
        <f t="shared" si="36"/>
        <v>365</v>
      </c>
      <c r="Z115" s="38">
        <f t="shared" si="31"/>
        <v>46081</v>
      </c>
      <c r="AA115" s="41">
        <f t="shared" si="37"/>
        <v>264</v>
      </c>
      <c r="AB115" s="24" t="s">
        <v>125</v>
      </c>
      <c r="AC115" s="41">
        <f t="shared" si="38"/>
        <v>16811.448199999999</v>
      </c>
      <c r="AD115" s="41">
        <v>1</v>
      </c>
      <c r="AE115" s="72">
        <f>IFERROR(INDEX(SA!$C$4:$E$11,MATCH(Details!S115,SA!$C$4:$C$11,0),MATCH(Details!V115,SA!$C$4:$E$4,0)),0)*Y115/(F115-E115+1)</f>
        <v>14246.99</v>
      </c>
      <c r="AF115" s="41">
        <f t="shared" si="39"/>
        <v>0</v>
      </c>
      <c r="AG115" s="41">
        <f t="shared" si="40"/>
        <v>0</v>
      </c>
      <c r="AH115" s="41">
        <f t="shared" si="41"/>
        <v>2564.4582</v>
      </c>
      <c r="AI115" s="60">
        <f t="shared" si="42"/>
        <v>569.87959999999998</v>
      </c>
      <c r="AJ115" s="60">
        <f t="shared" si="43"/>
        <v>3205.5727499999998</v>
      </c>
      <c r="AK115" s="60">
        <f t="shared" si="44"/>
        <v>10304.672219178083</v>
      </c>
      <c r="AL115" s="60">
        <f t="shared" si="45"/>
        <v>7573.9340810958911</v>
      </c>
      <c r="AM115" s="41">
        <f t="shared" si="46"/>
        <v>2897.6035689041087</v>
      </c>
      <c r="AN115" s="42">
        <f t="shared" si="47"/>
        <v>45715</v>
      </c>
      <c r="AO115" s="43">
        <f t="shared" si="48"/>
        <v>14246.99</v>
      </c>
    </row>
    <row r="116" spans="1:41" s="24" customFormat="1" ht="15.75" customHeight="1" x14ac:dyDescent="0.35">
      <c r="A116" s="36" t="s">
        <v>27</v>
      </c>
      <c r="B116" s="36">
        <v>202506</v>
      </c>
      <c r="C116" s="24" t="s">
        <v>128</v>
      </c>
      <c r="D116" s="24" t="s">
        <v>129</v>
      </c>
      <c r="E116" s="62">
        <v>45818</v>
      </c>
      <c r="F116" s="62">
        <v>46182</v>
      </c>
      <c r="G116" s="37" t="s">
        <v>244</v>
      </c>
      <c r="H116" s="36">
        <v>1087</v>
      </c>
      <c r="I116" s="63">
        <v>26078</v>
      </c>
      <c r="J116" s="24" t="s">
        <v>892</v>
      </c>
      <c r="K116" s="63">
        <f t="shared" si="32"/>
        <v>45818</v>
      </c>
      <c r="L116" s="55">
        <f t="shared" si="33"/>
        <v>0.04</v>
      </c>
      <c r="M116" s="76">
        <v>0.22500000000000001</v>
      </c>
      <c r="N116" s="62">
        <v>45818</v>
      </c>
      <c r="O116" s="62">
        <v>46182</v>
      </c>
      <c r="P116" s="63"/>
      <c r="Q116" s="63"/>
      <c r="R116" s="82">
        <v>54</v>
      </c>
      <c r="S116" s="63" t="str">
        <f>VLOOKUP(R116,SA!$B$5:$C$11,2,1)</f>
        <v>46-55</v>
      </c>
      <c r="T116" s="38" t="s">
        <v>97</v>
      </c>
      <c r="U116" s="24" t="s">
        <v>115</v>
      </c>
      <c r="V116" s="24">
        <v>300000</v>
      </c>
      <c r="W116" s="39">
        <f t="shared" si="34"/>
        <v>0</v>
      </c>
      <c r="X116" s="29">
        <f t="shared" si="35"/>
        <v>0</v>
      </c>
      <c r="Y116" s="40">
        <f t="shared" si="36"/>
        <v>365</v>
      </c>
      <c r="Z116" s="38">
        <f t="shared" si="31"/>
        <v>46081</v>
      </c>
      <c r="AA116" s="41">
        <f t="shared" si="37"/>
        <v>264</v>
      </c>
      <c r="AB116" s="24" t="s">
        <v>125</v>
      </c>
      <c r="AC116" s="41">
        <f t="shared" si="38"/>
        <v>9586.9925999999996</v>
      </c>
      <c r="AD116" s="41">
        <v>1</v>
      </c>
      <c r="AE116" s="72">
        <f>IFERROR(INDEX(SA!$C$4:$E$11,MATCH(Details!S116,SA!$C$4:$C$11,0),MATCH(Details!V116,SA!$C$4:$E$4,0)),0)*Y116/(F116-E116+1)</f>
        <v>8124.57</v>
      </c>
      <c r="AF116" s="41">
        <f t="shared" si="39"/>
        <v>0</v>
      </c>
      <c r="AG116" s="41">
        <f t="shared" si="40"/>
        <v>0</v>
      </c>
      <c r="AH116" s="41">
        <f t="shared" si="41"/>
        <v>1462.4225999999999</v>
      </c>
      <c r="AI116" s="60">
        <f t="shared" si="42"/>
        <v>324.9828</v>
      </c>
      <c r="AJ116" s="60">
        <f t="shared" si="43"/>
        <v>1828.0282500000001</v>
      </c>
      <c r="AK116" s="60">
        <f t="shared" si="44"/>
        <v>5876.4013150684932</v>
      </c>
      <c r="AL116" s="60">
        <f t="shared" si="45"/>
        <v>4319.1549665753428</v>
      </c>
      <c r="AM116" s="41">
        <f t="shared" si="46"/>
        <v>1652.4039834246571</v>
      </c>
      <c r="AN116" s="42">
        <f t="shared" si="47"/>
        <v>45715</v>
      </c>
      <c r="AO116" s="43">
        <f t="shared" si="48"/>
        <v>8124.57</v>
      </c>
    </row>
    <row r="117" spans="1:41" s="24" customFormat="1" ht="15.75" customHeight="1" x14ac:dyDescent="0.35">
      <c r="A117" s="36" t="s">
        <v>27</v>
      </c>
      <c r="B117" s="36">
        <v>202506</v>
      </c>
      <c r="C117" s="24" t="s">
        <v>128</v>
      </c>
      <c r="D117" s="24" t="s">
        <v>129</v>
      </c>
      <c r="E117" s="62">
        <v>45818</v>
      </c>
      <c r="F117" s="62">
        <v>46182</v>
      </c>
      <c r="G117" s="37" t="s">
        <v>245</v>
      </c>
      <c r="H117" s="36">
        <v>1088</v>
      </c>
      <c r="I117" s="63">
        <v>29771</v>
      </c>
      <c r="J117" s="24" t="s">
        <v>893</v>
      </c>
      <c r="K117" s="63">
        <f t="shared" si="32"/>
        <v>45818</v>
      </c>
      <c r="L117" s="55">
        <f t="shared" si="33"/>
        <v>0.04</v>
      </c>
      <c r="M117" s="76">
        <v>0.22500000000000001</v>
      </c>
      <c r="N117" s="62">
        <v>45818</v>
      </c>
      <c r="O117" s="62">
        <v>46182</v>
      </c>
      <c r="P117" s="63"/>
      <c r="Q117" s="63"/>
      <c r="R117" s="82">
        <v>43</v>
      </c>
      <c r="S117" s="63" t="str">
        <f>VLOOKUP(R117,SA!$B$5:$C$11,2,1)</f>
        <v>36-45</v>
      </c>
      <c r="T117" s="38" t="s">
        <v>96</v>
      </c>
      <c r="U117" s="24" t="s">
        <v>56</v>
      </c>
      <c r="V117" s="24">
        <v>300000</v>
      </c>
      <c r="W117" s="39">
        <f t="shared" si="34"/>
        <v>300000</v>
      </c>
      <c r="X117" s="29">
        <f t="shared" si="35"/>
        <v>1</v>
      </c>
      <c r="Y117" s="40">
        <f t="shared" si="36"/>
        <v>365</v>
      </c>
      <c r="Z117" s="38">
        <f t="shared" si="31"/>
        <v>46081</v>
      </c>
      <c r="AA117" s="41">
        <f t="shared" si="37"/>
        <v>264</v>
      </c>
      <c r="AB117" s="24" t="s">
        <v>125</v>
      </c>
      <c r="AC117" s="41">
        <f t="shared" si="38"/>
        <v>5017.3245999999999</v>
      </c>
      <c r="AD117" s="41">
        <v>1</v>
      </c>
      <c r="AE117" s="72">
        <f>IFERROR(INDEX(SA!$C$4:$E$11,MATCH(Details!S117,SA!$C$4:$C$11,0),MATCH(Details!V117,SA!$C$4:$E$4,0)),0)*Y117/(F117-E117+1)</f>
        <v>4251.97</v>
      </c>
      <c r="AF117" s="41">
        <f t="shared" si="39"/>
        <v>0</v>
      </c>
      <c r="AG117" s="41">
        <f t="shared" si="40"/>
        <v>0</v>
      </c>
      <c r="AH117" s="41">
        <f t="shared" si="41"/>
        <v>765.3546</v>
      </c>
      <c r="AI117" s="60">
        <f t="shared" si="42"/>
        <v>170.0788</v>
      </c>
      <c r="AJ117" s="60">
        <f t="shared" si="43"/>
        <v>956.69325000000003</v>
      </c>
      <c r="AK117" s="60">
        <f t="shared" si="44"/>
        <v>3075.397479452055</v>
      </c>
      <c r="AL117" s="60">
        <f t="shared" si="45"/>
        <v>2260.4171473972606</v>
      </c>
      <c r="AM117" s="41">
        <f t="shared" si="46"/>
        <v>864.78080260273941</v>
      </c>
      <c r="AN117" s="42">
        <f t="shared" si="47"/>
        <v>45715</v>
      </c>
      <c r="AO117" s="43">
        <f t="shared" si="48"/>
        <v>4251.97</v>
      </c>
    </row>
    <row r="118" spans="1:41" s="24" customFormat="1" ht="15.75" customHeight="1" x14ac:dyDescent="0.35">
      <c r="A118" s="36" t="s">
        <v>27</v>
      </c>
      <c r="B118" s="36">
        <v>202506</v>
      </c>
      <c r="C118" s="24" t="s">
        <v>128</v>
      </c>
      <c r="D118" s="24" t="s">
        <v>129</v>
      </c>
      <c r="E118" s="62">
        <v>45818</v>
      </c>
      <c r="F118" s="62">
        <v>46182</v>
      </c>
      <c r="G118" s="37" t="s">
        <v>246</v>
      </c>
      <c r="H118" s="36">
        <v>1088</v>
      </c>
      <c r="I118" s="63">
        <v>41254</v>
      </c>
      <c r="J118" s="24" t="s">
        <v>894</v>
      </c>
      <c r="K118" s="63">
        <f t="shared" si="32"/>
        <v>45818</v>
      </c>
      <c r="L118" s="55">
        <f t="shared" si="33"/>
        <v>0.04</v>
      </c>
      <c r="M118" s="76">
        <v>0.22500000000000001</v>
      </c>
      <c r="N118" s="62">
        <v>45818</v>
      </c>
      <c r="O118" s="62">
        <v>46182</v>
      </c>
      <c r="P118" s="63"/>
      <c r="Q118" s="63"/>
      <c r="R118" s="82">
        <v>12</v>
      </c>
      <c r="S118" s="63" t="str">
        <f>VLOOKUP(R118,SA!$B$5:$C$11,2,1)</f>
        <v>0-35</v>
      </c>
      <c r="T118" s="38" t="s">
        <v>97</v>
      </c>
      <c r="U118" s="24" t="s">
        <v>113</v>
      </c>
      <c r="V118" s="24">
        <v>300000</v>
      </c>
      <c r="W118" s="39">
        <f t="shared" si="34"/>
        <v>0</v>
      </c>
      <c r="X118" s="29">
        <f t="shared" si="35"/>
        <v>0</v>
      </c>
      <c r="Y118" s="40">
        <f t="shared" si="36"/>
        <v>365</v>
      </c>
      <c r="Z118" s="38">
        <f t="shared" si="31"/>
        <v>46081</v>
      </c>
      <c r="AA118" s="41">
        <f t="shared" si="37"/>
        <v>264</v>
      </c>
      <c r="AB118" s="24" t="s">
        <v>125</v>
      </c>
      <c r="AC118" s="41">
        <f t="shared" si="38"/>
        <v>3874.2114000000001</v>
      </c>
      <c r="AD118" s="41">
        <v>1</v>
      </c>
      <c r="AE118" s="72">
        <f>IFERROR(INDEX(SA!$C$4:$E$11,MATCH(Details!S118,SA!$C$4:$C$11,0),MATCH(Details!V118,SA!$C$4:$E$4,0)),0)*Y118/(F118-E118+1)</f>
        <v>3283.23</v>
      </c>
      <c r="AF118" s="41">
        <f t="shared" si="39"/>
        <v>0</v>
      </c>
      <c r="AG118" s="41">
        <f t="shared" si="40"/>
        <v>0</v>
      </c>
      <c r="AH118" s="41">
        <f t="shared" si="41"/>
        <v>590.98140000000001</v>
      </c>
      <c r="AI118" s="60">
        <f t="shared" si="42"/>
        <v>131.32920000000001</v>
      </c>
      <c r="AJ118" s="60">
        <f t="shared" si="43"/>
        <v>738.72675000000004</v>
      </c>
      <c r="AK118" s="60">
        <f t="shared" si="44"/>
        <v>2374.7197808219175</v>
      </c>
      <c r="AL118" s="60">
        <f t="shared" si="45"/>
        <v>1745.4190389041094</v>
      </c>
      <c r="AM118" s="41">
        <f t="shared" si="46"/>
        <v>667.7550110958905</v>
      </c>
      <c r="AN118" s="42">
        <f t="shared" si="47"/>
        <v>45715</v>
      </c>
      <c r="AO118" s="43">
        <f t="shared" si="48"/>
        <v>3283.23</v>
      </c>
    </row>
    <row r="119" spans="1:41" s="24" customFormat="1" ht="15.75" customHeight="1" x14ac:dyDescent="0.35">
      <c r="A119" s="36" t="s">
        <v>27</v>
      </c>
      <c r="B119" s="36">
        <v>202506</v>
      </c>
      <c r="C119" s="24" t="s">
        <v>128</v>
      </c>
      <c r="D119" s="24" t="s">
        <v>129</v>
      </c>
      <c r="E119" s="62">
        <v>45818</v>
      </c>
      <c r="F119" s="62">
        <v>46182</v>
      </c>
      <c r="G119" s="37" t="s">
        <v>247</v>
      </c>
      <c r="H119" s="36">
        <v>1088</v>
      </c>
      <c r="I119" s="63">
        <v>31841</v>
      </c>
      <c r="J119" s="24" t="s">
        <v>895</v>
      </c>
      <c r="K119" s="63">
        <f t="shared" si="32"/>
        <v>45818</v>
      </c>
      <c r="L119" s="55">
        <f t="shared" si="33"/>
        <v>0.04</v>
      </c>
      <c r="M119" s="76">
        <v>0.22500000000000001</v>
      </c>
      <c r="N119" s="62">
        <v>45818</v>
      </c>
      <c r="O119" s="62">
        <v>46182</v>
      </c>
      <c r="P119" s="63"/>
      <c r="Q119" s="63"/>
      <c r="R119" s="82">
        <v>38</v>
      </c>
      <c r="S119" s="63" t="str">
        <f>VLOOKUP(R119,SA!$B$5:$C$11,2,1)</f>
        <v>36-45</v>
      </c>
      <c r="T119" s="38" t="s">
        <v>97</v>
      </c>
      <c r="U119" s="24" t="s">
        <v>115</v>
      </c>
      <c r="V119" s="24">
        <v>300000</v>
      </c>
      <c r="W119" s="39">
        <f t="shared" si="34"/>
        <v>0</v>
      </c>
      <c r="X119" s="29">
        <f t="shared" si="35"/>
        <v>0</v>
      </c>
      <c r="Y119" s="40">
        <f t="shared" si="36"/>
        <v>365</v>
      </c>
      <c r="Z119" s="38">
        <f t="shared" si="31"/>
        <v>46081</v>
      </c>
      <c r="AA119" s="41">
        <f t="shared" si="37"/>
        <v>264</v>
      </c>
      <c r="AB119" s="24" t="s">
        <v>125</v>
      </c>
      <c r="AC119" s="41">
        <f t="shared" si="38"/>
        <v>5017.3245999999999</v>
      </c>
      <c r="AD119" s="41">
        <v>1</v>
      </c>
      <c r="AE119" s="72">
        <f>IFERROR(INDEX(SA!$C$4:$E$11,MATCH(Details!S119,SA!$C$4:$C$11,0),MATCH(Details!V119,SA!$C$4:$E$4,0)),0)*Y119/(F119-E119+1)</f>
        <v>4251.97</v>
      </c>
      <c r="AF119" s="41">
        <f t="shared" si="39"/>
        <v>0</v>
      </c>
      <c r="AG119" s="41">
        <f t="shared" si="40"/>
        <v>0</v>
      </c>
      <c r="AH119" s="41">
        <f t="shared" si="41"/>
        <v>765.3546</v>
      </c>
      <c r="AI119" s="60">
        <f t="shared" si="42"/>
        <v>170.0788</v>
      </c>
      <c r="AJ119" s="60">
        <f t="shared" si="43"/>
        <v>956.69325000000003</v>
      </c>
      <c r="AK119" s="60">
        <f t="shared" si="44"/>
        <v>3075.397479452055</v>
      </c>
      <c r="AL119" s="60">
        <f t="shared" si="45"/>
        <v>2260.4171473972606</v>
      </c>
      <c r="AM119" s="41">
        <f t="shared" si="46"/>
        <v>864.78080260273941</v>
      </c>
      <c r="AN119" s="42">
        <f t="shared" si="47"/>
        <v>45715</v>
      </c>
      <c r="AO119" s="43">
        <f t="shared" si="48"/>
        <v>4251.97</v>
      </c>
    </row>
    <row r="120" spans="1:41" s="24" customFormat="1" ht="15.75" customHeight="1" x14ac:dyDescent="0.35">
      <c r="A120" s="36" t="s">
        <v>27</v>
      </c>
      <c r="B120" s="36">
        <v>202506</v>
      </c>
      <c r="C120" s="24" t="s">
        <v>128</v>
      </c>
      <c r="D120" s="24" t="s">
        <v>129</v>
      </c>
      <c r="E120" s="62">
        <v>45818</v>
      </c>
      <c r="F120" s="62">
        <v>46182</v>
      </c>
      <c r="G120" s="37" t="s">
        <v>248</v>
      </c>
      <c r="H120" s="36">
        <v>1088</v>
      </c>
      <c r="I120" s="63">
        <v>39825</v>
      </c>
      <c r="J120" s="24" t="s">
        <v>896</v>
      </c>
      <c r="K120" s="63">
        <f t="shared" si="32"/>
        <v>45818</v>
      </c>
      <c r="L120" s="55">
        <f t="shared" si="33"/>
        <v>0.04</v>
      </c>
      <c r="M120" s="76">
        <v>0.22500000000000001</v>
      </c>
      <c r="N120" s="62">
        <v>45818</v>
      </c>
      <c r="O120" s="62">
        <v>46182</v>
      </c>
      <c r="P120" s="63"/>
      <c r="Q120" s="63"/>
      <c r="R120" s="82">
        <v>16</v>
      </c>
      <c r="S120" s="63" t="str">
        <f>VLOOKUP(R120,SA!$B$5:$C$11,2,1)</f>
        <v>0-35</v>
      </c>
      <c r="T120" s="38" t="s">
        <v>97</v>
      </c>
      <c r="U120" s="24" t="s">
        <v>113</v>
      </c>
      <c r="V120" s="24">
        <v>300000</v>
      </c>
      <c r="W120" s="39">
        <f t="shared" si="34"/>
        <v>0</v>
      </c>
      <c r="X120" s="29">
        <f t="shared" si="35"/>
        <v>0</v>
      </c>
      <c r="Y120" s="40">
        <f t="shared" si="36"/>
        <v>365</v>
      </c>
      <c r="Z120" s="38">
        <f t="shared" si="31"/>
        <v>46081</v>
      </c>
      <c r="AA120" s="41">
        <f t="shared" si="37"/>
        <v>264</v>
      </c>
      <c r="AB120" s="24" t="s">
        <v>125</v>
      </c>
      <c r="AC120" s="41">
        <f t="shared" si="38"/>
        <v>3874.2114000000001</v>
      </c>
      <c r="AD120" s="41">
        <v>1</v>
      </c>
      <c r="AE120" s="72">
        <f>IFERROR(INDEX(SA!$C$4:$E$11,MATCH(Details!S120,SA!$C$4:$C$11,0),MATCH(Details!V120,SA!$C$4:$E$4,0)),0)*Y120/(F120-E120+1)</f>
        <v>3283.23</v>
      </c>
      <c r="AF120" s="41">
        <f t="shared" si="39"/>
        <v>0</v>
      </c>
      <c r="AG120" s="41">
        <f t="shared" si="40"/>
        <v>0</v>
      </c>
      <c r="AH120" s="41">
        <f t="shared" si="41"/>
        <v>590.98140000000001</v>
      </c>
      <c r="AI120" s="60">
        <f t="shared" si="42"/>
        <v>131.32920000000001</v>
      </c>
      <c r="AJ120" s="60">
        <f t="shared" si="43"/>
        <v>738.72675000000004</v>
      </c>
      <c r="AK120" s="60">
        <f t="shared" si="44"/>
        <v>2374.7197808219175</v>
      </c>
      <c r="AL120" s="60">
        <f t="shared" si="45"/>
        <v>1745.4190389041094</v>
      </c>
      <c r="AM120" s="41">
        <f t="shared" si="46"/>
        <v>667.7550110958905</v>
      </c>
      <c r="AN120" s="42">
        <f t="shared" si="47"/>
        <v>45715</v>
      </c>
      <c r="AO120" s="43">
        <f t="shared" si="48"/>
        <v>3283.23</v>
      </c>
    </row>
    <row r="121" spans="1:41" s="24" customFormat="1" ht="15.75" customHeight="1" x14ac:dyDescent="0.35">
      <c r="A121" s="36" t="s">
        <v>27</v>
      </c>
      <c r="B121" s="36">
        <v>202506</v>
      </c>
      <c r="C121" s="24" t="s">
        <v>128</v>
      </c>
      <c r="D121" s="24" t="s">
        <v>129</v>
      </c>
      <c r="E121" s="62">
        <v>45818</v>
      </c>
      <c r="F121" s="62">
        <v>46182</v>
      </c>
      <c r="G121" s="37" t="s">
        <v>249</v>
      </c>
      <c r="H121" s="36">
        <v>1090</v>
      </c>
      <c r="I121" s="63">
        <v>27607</v>
      </c>
      <c r="J121" s="24" t="s">
        <v>897</v>
      </c>
      <c r="K121" s="63">
        <f t="shared" si="32"/>
        <v>45818</v>
      </c>
      <c r="L121" s="55">
        <f t="shared" si="33"/>
        <v>0.04</v>
      </c>
      <c r="M121" s="76">
        <v>0.22500000000000001</v>
      </c>
      <c r="N121" s="62">
        <v>45818</v>
      </c>
      <c r="O121" s="62">
        <v>46182</v>
      </c>
      <c r="P121" s="63"/>
      <c r="Q121" s="63"/>
      <c r="R121" s="82">
        <v>49</v>
      </c>
      <c r="S121" s="63" t="str">
        <f>VLOOKUP(R121,SA!$B$5:$C$11,2,1)</f>
        <v>46-55</v>
      </c>
      <c r="T121" s="38" t="s">
        <v>96</v>
      </c>
      <c r="U121" s="24" t="s">
        <v>56</v>
      </c>
      <c r="V121" s="24">
        <v>300000</v>
      </c>
      <c r="W121" s="39">
        <f t="shared" si="34"/>
        <v>300000</v>
      </c>
      <c r="X121" s="29">
        <f t="shared" si="35"/>
        <v>1</v>
      </c>
      <c r="Y121" s="40">
        <f t="shared" si="36"/>
        <v>365</v>
      </c>
      <c r="Z121" s="38">
        <f t="shared" si="31"/>
        <v>46081</v>
      </c>
      <c r="AA121" s="41">
        <f t="shared" si="37"/>
        <v>264</v>
      </c>
      <c r="AB121" s="24" t="s">
        <v>125</v>
      </c>
      <c r="AC121" s="41">
        <f t="shared" si="38"/>
        <v>9586.9925999999996</v>
      </c>
      <c r="AD121" s="41">
        <v>1</v>
      </c>
      <c r="AE121" s="72">
        <f>IFERROR(INDEX(SA!$C$4:$E$11,MATCH(Details!S121,SA!$C$4:$C$11,0),MATCH(Details!V121,SA!$C$4:$E$4,0)),0)*Y121/(F121-E121+1)</f>
        <v>8124.57</v>
      </c>
      <c r="AF121" s="41">
        <f t="shared" si="39"/>
        <v>0</v>
      </c>
      <c r="AG121" s="41">
        <f t="shared" si="40"/>
        <v>0</v>
      </c>
      <c r="AH121" s="41">
        <f t="shared" si="41"/>
        <v>1462.4225999999999</v>
      </c>
      <c r="AI121" s="60">
        <f t="shared" si="42"/>
        <v>324.9828</v>
      </c>
      <c r="AJ121" s="60">
        <f t="shared" si="43"/>
        <v>1828.0282500000001</v>
      </c>
      <c r="AK121" s="60">
        <f t="shared" si="44"/>
        <v>5876.4013150684932</v>
      </c>
      <c r="AL121" s="60">
        <f t="shared" si="45"/>
        <v>4319.1549665753428</v>
      </c>
      <c r="AM121" s="41">
        <f t="shared" si="46"/>
        <v>1652.4039834246571</v>
      </c>
      <c r="AN121" s="42">
        <f t="shared" si="47"/>
        <v>45715</v>
      </c>
      <c r="AO121" s="43">
        <f t="shared" si="48"/>
        <v>8124.57</v>
      </c>
    </row>
    <row r="122" spans="1:41" s="24" customFormat="1" ht="15.75" customHeight="1" x14ac:dyDescent="0.35">
      <c r="A122" s="36" t="s">
        <v>27</v>
      </c>
      <c r="B122" s="36">
        <v>202506</v>
      </c>
      <c r="C122" s="24" t="s">
        <v>128</v>
      </c>
      <c r="D122" s="24" t="s">
        <v>129</v>
      </c>
      <c r="E122" s="62">
        <v>45818</v>
      </c>
      <c r="F122" s="62">
        <v>46182</v>
      </c>
      <c r="G122" s="37" t="s">
        <v>250</v>
      </c>
      <c r="H122" s="36">
        <v>1090</v>
      </c>
      <c r="I122" s="63">
        <v>28627</v>
      </c>
      <c r="J122" s="24" t="s">
        <v>898</v>
      </c>
      <c r="K122" s="63">
        <f t="shared" si="32"/>
        <v>45818</v>
      </c>
      <c r="L122" s="55">
        <f t="shared" si="33"/>
        <v>0.04</v>
      </c>
      <c r="M122" s="76">
        <v>0.22500000000000001</v>
      </c>
      <c r="N122" s="62">
        <v>45818</v>
      </c>
      <c r="O122" s="62">
        <v>46182</v>
      </c>
      <c r="P122" s="63"/>
      <c r="Q122" s="63"/>
      <c r="R122" s="82">
        <v>47</v>
      </c>
      <c r="S122" s="63" t="str">
        <f>VLOOKUP(R122,SA!$B$5:$C$11,2,1)</f>
        <v>46-55</v>
      </c>
      <c r="T122" s="38" t="s">
        <v>97</v>
      </c>
      <c r="U122" s="24" t="s">
        <v>115</v>
      </c>
      <c r="V122" s="24">
        <v>300000</v>
      </c>
      <c r="W122" s="39">
        <f t="shared" si="34"/>
        <v>0</v>
      </c>
      <c r="X122" s="29">
        <f t="shared" si="35"/>
        <v>0</v>
      </c>
      <c r="Y122" s="40">
        <f t="shared" si="36"/>
        <v>365</v>
      </c>
      <c r="Z122" s="38">
        <f t="shared" si="31"/>
        <v>46081</v>
      </c>
      <c r="AA122" s="41">
        <f t="shared" si="37"/>
        <v>264</v>
      </c>
      <c r="AB122" s="24" t="s">
        <v>125</v>
      </c>
      <c r="AC122" s="41">
        <f t="shared" si="38"/>
        <v>9586.9925999999996</v>
      </c>
      <c r="AD122" s="41">
        <v>1</v>
      </c>
      <c r="AE122" s="72">
        <f>IFERROR(INDEX(SA!$C$4:$E$11,MATCH(Details!S122,SA!$C$4:$C$11,0),MATCH(Details!V122,SA!$C$4:$E$4,0)),0)*Y122/(F122-E122+1)</f>
        <v>8124.57</v>
      </c>
      <c r="AF122" s="41">
        <f t="shared" si="39"/>
        <v>0</v>
      </c>
      <c r="AG122" s="41">
        <f t="shared" si="40"/>
        <v>0</v>
      </c>
      <c r="AH122" s="41">
        <f t="shared" si="41"/>
        <v>1462.4225999999999</v>
      </c>
      <c r="AI122" s="60">
        <f t="shared" si="42"/>
        <v>324.9828</v>
      </c>
      <c r="AJ122" s="60">
        <f t="shared" si="43"/>
        <v>1828.0282500000001</v>
      </c>
      <c r="AK122" s="60">
        <f t="shared" si="44"/>
        <v>5876.4013150684932</v>
      </c>
      <c r="AL122" s="60">
        <f t="shared" si="45"/>
        <v>4319.1549665753428</v>
      </c>
      <c r="AM122" s="41">
        <f t="shared" si="46"/>
        <v>1652.4039834246571</v>
      </c>
      <c r="AN122" s="42">
        <f t="shared" si="47"/>
        <v>45715</v>
      </c>
      <c r="AO122" s="43">
        <f t="shared" si="48"/>
        <v>8124.57</v>
      </c>
    </row>
    <row r="123" spans="1:41" s="24" customFormat="1" ht="15.75" customHeight="1" x14ac:dyDescent="0.35">
      <c r="A123" s="36" t="s">
        <v>27</v>
      </c>
      <c r="B123" s="36">
        <v>202506</v>
      </c>
      <c r="C123" s="24" t="s">
        <v>128</v>
      </c>
      <c r="D123" s="24" t="s">
        <v>129</v>
      </c>
      <c r="E123" s="62">
        <v>45818</v>
      </c>
      <c r="F123" s="62">
        <v>46182</v>
      </c>
      <c r="G123" s="37" t="s">
        <v>251</v>
      </c>
      <c r="H123" s="36">
        <v>1090</v>
      </c>
      <c r="I123" s="63">
        <v>36883</v>
      </c>
      <c r="J123" s="24" t="s">
        <v>899</v>
      </c>
      <c r="K123" s="63">
        <f t="shared" si="32"/>
        <v>45818</v>
      </c>
      <c r="L123" s="55">
        <f t="shared" si="33"/>
        <v>0.04</v>
      </c>
      <c r="M123" s="76">
        <v>0.22500000000000001</v>
      </c>
      <c r="N123" s="62">
        <v>45818</v>
      </c>
      <c r="O123" s="62">
        <v>46182</v>
      </c>
      <c r="P123" s="63"/>
      <c r="Q123" s="63"/>
      <c r="R123" s="82">
        <v>24</v>
      </c>
      <c r="S123" s="63" t="str">
        <f>VLOOKUP(R123,SA!$B$5:$C$11,2,1)</f>
        <v>0-35</v>
      </c>
      <c r="T123" s="38" t="s">
        <v>97</v>
      </c>
      <c r="U123" s="24" t="s">
        <v>113</v>
      </c>
      <c r="V123" s="24">
        <v>300000</v>
      </c>
      <c r="W123" s="39">
        <f t="shared" si="34"/>
        <v>0</v>
      </c>
      <c r="X123" s="29">
        <f t="shared" si="35"/>
        <v>0</v>
      </c>
      <c r="Y123" s="40">
        <f t="shared" si="36"/>
        <v>365</v>
      </c>
      <c r="Z123" s="38">
        <f t="shared" si="31"/>
        <v>46081</v>
      </c>
      <c r="AA123" s="41">
        <f t="shared" si="37"/>
        <v>264</v>
      </c>
      <c r="AB123" s="24" t="s">
        <v>125</v>
      </c>
      <c r="AC123" s="41">
        <f t="shared" si="38"/>
        <v>3874.2114000000001</v>
      </c>
      <c r="AD123" s="41">
        <v>1</v>
      </c>
      <c r="AE123" s="72">
        <f>IFERROR(INDEX(SA!$C$4:$E$11,MATCH(Details!S123,SA!$C$4:$C$11,0),MATCH(Details!V123,SA!$C$4:$E$4,0)),0)*Y123/(F123-E123+1)</f>
        <v>3283.23</v>
      </c>
      <c r="AF123" s="41">
        <f t="shared" si="39"/>
        <v>0</v>
      </c>
      <c r="AG123" s="41">
        <f t="shared" si="40"/>
        <v>0</v>
      </c>
      <c r="AH123" s="41">
        <f t="shared" si="41"/>
        <v>590.98140000000001</v>
      </c>
      <c r="AI123" s="60">
        <f t="shared" si="42"/>
        <v>131.32920000000001</v>
      </c>
      <c r="AJ123" s="60">
        <f t="shared" si="43"/>
        <v>738.72675000000004</v>
      </c>
      <c r="AK123" s="60">
        <f t="shared" si="44"/>
        <v>2374.7197808219175</v>
      </c>
      <c r="AL123" s="60">
        <f t="shared" si="45"/>
        <v>1745.4190389041094</v>
      </c>
      <c r="AM123" s="41">
        <f t="shared" si="46"/>
        <v>667.7550110958905</v>
      </c>
      <c r="AN123" s="42">
        <f t="shared" si="47"/>
        <v>45715</v>
      </c>
      <c r="AO123" s="43">
        <f t="shared" si="48"/>
        <v>3283.23</v>
      </c>
    </row>
    <row r="124" spans="1:41" s="24" customFormat="1" ht="15.75" customHeight="1" x14ac:dyDescent="0.35">
      <c r="A124" s="36" t="s">
        <v>27</v>
      </c>
      <c r="B124" s="36">
        <v>202506</v>
      </c>
      <c r="C124" s="24" t="s">
        <v>128</v>
      </c>
      <c r="D124" s="24" t="s">
        <v>129</v>
      </c>
      <c r="E124" s="62">
        <v>45818</v>
      </c>
      <c r="F124" s="62">
        <v>46182</v>
      </c>
      <c r="G124" s="37" t="s">
        <v>252</v>
      </c>
      <c r="H124" s="36">
        <v>1090</v>
      </c>
      <c r="I124" s="63">
        <v>37499</v>
      </c>
      <c r="J124" s="24" t="s">
        <v>900</v>
      </c>
      <c r="K124" s="63">
        <f t="shared" si="32"/>
        <v>45818</v>
      </c>
      <c r="L124" s="55">
        <f t="shared" si="33"/>
        <v>0.04</v>
      </c>
      <c r="M124" s="76">
        <v>0.22500000000000001</v>
      </c>
      <c r="N124" s="62">
        <v>45818</v>
      </c>
      <c r="O124" s="62">
        <v>46182</v>
      </c>
      <c r="P124" s="63"/>
      <c r="Q124" s="63"/>
      <c r="R124" s="82">
        <v>22</v>
      </c>
      <c r="S124" s="63" t="str">
        <f>VLOOKUP(R124,SA!$B$5:$C$11,2,1)</f>
        <v>0-35</v>
      </c>
      <c r="T124" s="38" t="s">
        <v>96</v>
      </c>
      <c r="U124" s="24" t="s">
        <v>114</v>
      </c>
      <c r="V124" s="24">
        <v>300000</v>
      </c>
      <c r="W124" s="39">
        <f t="shared" si="34"/>
        <v>0</v>
      </c>
      <c r="X124" s="29">
        <f t="shared" si="35"/>
        <v>0</v>
      </c>
      <c r="Y124" s="40">
        <f t="shared" si="36"/>
        <v>365</v>
      </c>
      <c r="Z124" s="38">
        <f t="shared" si="31"/>
        <v>46081</v>
      </c>
      <c r="AA124" s="41">
        <f t="shared" si="37"/>
        <v>264</v>
      </c>
      <c r="AB124" s="24" t="s">
        <v>125</v>
      </c>
      <c r="AC124" s="41">
        <f t="shared" si="38"/>
        <v>3874.2114000000001</v>
      </c>
      <c r="AD124" s="41">
        <v>1</v>
      </c>
      <c r="AE124" s="72">
        <f>IFERROR(INDEX(SA!$C$4:$E$11,MATCH(Details!S124,SA!$C$4:$C$11,0),MATCH(Details!V124,SA!$C$4:$E$4,0)),0)*Y124/(F124-E124+1)</f>
        <v>3283.23</v>
      </c>
      <c r="AF124" s="41">
        <f t="shared" si="39"/>
        <v>0</v>
      </c>
      <c r="AG124" s="41">
        <f t="shared" si="40"/>
        <v>0</v>
      </c>
      <c r="AH124" s="41">
        <f t="shared" si="41"/>
        <v>590.98140000000001</v>
      </c>
      <c r="AI124" s="60">
        <f t="shared" si="42"/>
        <v>131.32920000000001</v>
      </c>
      <c r="AJ124" s="60">
        <f t="shared" si="43"/>
        <v>738.72675000000004</v>
      </c>
      <c r="AK124" s="60">
        <f t="shared" si="44"/>
        <v>2374.7197808219175</v>
      </c>
      <c r="AL124" s="60">
        <f t="shared" si="45"/>
        <v>1745.4190389041094</v>
      </c>
      <c r="AM124" s="41">
        <f t="shared" si="46"/>
        <v>667.7550110958905</v>
      </c>
      <c r="AN124" s="42">
        <f t="shared" si="47"/>
        <v>45715</v>
      </c>
      <c r="AO124" s="43">
        <f t="shared" si="48"/>
        <v>3283.23</v>
      </c>
    </row>
    <row r="125" spans="1:41" s="24" customFormat="1" ht="15.75" customHeight="1" x14ac:dyDescent="0.35">
      <c r="A125" s="36" t="s">
        <v>27</v>
      </c>
      <c r="B125" s="36">
        <v>202506</v>
      </c>
      <c r="C125" s="24" t="s">
        <v>128</v>
      </c>
      <c r="D125" s="24" t="s">
        <v>129</v>
      </c>
      <c r="E125" s="62">
        <v>45818</v>
      </c>
      <c r="F125" s="62">
        <v>46182</v>
      </c>
      <c r="G125" s="37" t="s">
        <v>253</v>
      </c>
      <c r="H125" s="36">
        <v>1098</v>
      </c>
      <c r="I125" s="63">
        <v>30689</v>
      </c>
      <c r="J125" s="24" t="s">
        <v>901</v>
      </c>
      <c r="K125" s="63">
        <f t="shared" si="32"/>
        <v>45818</v>
      </c>
      <c r="L125" s="55">
        <f t="shared" si="33"/>
        <v>0.04</v>
      </c>
      <c r="M125" s="76">
        <v>0.22500000000000001</v>
      </c>
      <c r="N125" s="62">
        <v>45818</v>
      </c>
      <c r="O125" s="62">
        <v>46182</v>
      </c>
      <c r="P125" s="63"/>
      <c r="Q125" s="63"/>
      <c r="R125" s="82">
        <v>41</v>
      </c>
      <c r="S125" s="63" t="str">
        <f>VLOOKUP(R125,SA!$B$5:$C$11,2,1)</f>
        <v>36-45</v>
      </c>
      <c r="T125" s="38" t="s">
        <v>96</v>
      </c>
      <c r="U125" s="24" t="s">
        <v>56</v>
      </c>
      <c r="V125" s="24">
        <v>300000</v>
      </c>
      <c r="W125" s="39">
        <f t="shared" si="34"/>
        <v>300000</v>
      </c>
      <c r="X125" s="29">
        <f t="shared" si="35"/>
        <v>1</v>
      </c>
      <c r="Y125" s="40">
        <f t="shared" si="36"/>
        <v>365</v>
      </c>
      <c r="Z125" s="38">
        <f t="shared" si="31"/>
        <v>46081</v>
      </c>
      <c r="AA125" s="41">
        <f t="shared" si="37"/>
        <v>264</v>
      </c>
      <c r="AB125" s="24" t="s">
        <v>125</v>
      </c>
      <c r="AC125" s="41">
        <f t="shared" si="38"/>
        <v>5017.3245999999999</v>
      </c>
      <c r="AD125" s="41">
        <v>1</v>
      </c>
      <c r="AE125" s="72">
        <f>IFERROR(INDEX(SA!$C$4:$E$11,MATCH(Details!S125,SA!$C$4:$C$11,0),MATCH(Details!V125,SA!$C$4:$E$4,0)),0)*Y125/(F125-E125+1)</f>
        <v>4251.97</v>
      </c>
      <c r="AF125" s="41">
        <f t="shared" si="39"/>
        <v>0</v>
      </c>
      <c r="AG125" s="41">
        <f t="shared" si="40"/>
        <v>0</v>
      </c>
      <c r="AH125" s="41">
        <f t="shared" si="41"/>
        <v>765.3546</v>
      </c>
      <c r="AI125" s="60">
        <f t="shared" si="42"/>
        <v>170.0788</v>
      </c>
      <c r="AJ125" s="60">
        <f t="shared" si="43"/>
        <v>956.69325000000003</v>
      </c>
      <c r="AK125" s="60">
        <f t="shared" si="44"/>
        <v>3075.397479452055</v>
      </c>
      <c r="AL125" s="60">
        <f t="shared" si="45"/>
        <v>2260.4171473972606</v>
      </c>
      <c r="AM125" s="41">
        <f t="shared" si="46"/>
        <v>864.78080260273941</v>
      </c>
      <c r="AN125" s="42">
        <f t="shared" si="47"/>
        <v>45715</v>
      </c>
      <c r="AO125" s="43">
        <f t="shared" si="48"/>
        <v>4251.97</v>
      </c>
    </row>
    <row r="126" spans="1:41" s="24" customFormat="1" ht="15.75" customHeight="1" x14ac:dyDescent="0.35">
      <c r="A126" s="36" t="s">
        <v>27</v>
      </c>
      <c r="B126" s="36">
        <v>202506</v>
      </c>
      <c r="C126" s="24" t="s">
        <v>128</v>
      </c>
      <c r="D126" s="24" t="s">
        <v>129</v>
      </c>
      <c r="E126" s="62">
        <v>45818</v>
      </c>
      <c r="F126" s="62">
        <v>46182</v>
      </c>
      <c r="G126" s="37" t="s">
        <v>254</v>
      </c>
      <c r="H126" s="36">
        <v>1098</v>
      </c>
      <c r="I126" s="63">
        <v>31200</v>
      </c>
      <c r="J126" s="24" t="s">
        <v>902</v>
      </c>
      <c r="K126" s="63">
        <f t="shared" si="32"/>
        <v>45818</v>
      </c>
      <c r="L126" s="55">
        <f t="shared" si="33"/>
        <v>0.04</v>
      </c>
      <c r="M126" s="76">
        <v>0.22500000000000001</v>
      </c>
      <c r="N126" s="62">
        <v>45818</v>
      </c>
      <c r="O126" s="62">
        <v>46182</v>
      </c>
      <c r="P126" s="63"/>
      <c r="Q126" s="63"/>
      <c r="R126" s="82">
        <v>40</v>
      </c>
      <c r="S126" s="63" t="str">
        <f>VLOOKUP(R126,SA!$B$5:$C$11,2,1)</f>
        <v>36-45</v>
      </c>
      <c r="T126" s="38" t="s">
        <v>97</v>
      </c>
      <c r="U126" s="24" t="s">
        <v>115</v>
      </c>
      <c r="V126" s="24">
        <v>300000</v>
      </c>
      <c r="W126" s="39">
        <f t="shared" si="34"/>
        <v>0</v>
      </c>
      <c r="X126" s="29">
        <f t="shared" si="35"/>
        <v>0</v>
      </c>
      <c r="Y126" s="40">
        <f t="shared" si="36"/>
        <v>365</v>
      </c>
      <c r="Z126" s="38">
        <f t="shared" si="31"/>
        <v>46081</v>
      </c>
      <c r="AA126" s="41">
        <f t="shared" si="37"/>
        <v>264</v>
      </c>
      <c r="AB126" s="24" t="s">
        <v>125</v>
      </c>
      <c r="AC126" s="41">
        <f t="shared" si="38"/>
        <v>5017.3245999999999</v>
      </c>
      <c r="AD126" s="41">
        <v>1</v>
      </c>
      <c r="AE126" s="72">
        <f>IFERROR(INDEX(SA!$C$4:$E$11,MATCH(Details!S126,SA!$C$4:$C$11,0),MATCH(Details!V126,SA!$C$4:$E$4,0)),0)*Y126/(F126-E126+1)</f>
        <v>4251.97</v>
      </c>
      <c r="AF126" s="41">
        <f t="shared" si="39"/>
        <v>0</v>
      </c>
      <c r="AG126" s="41">
        <f t="shared" si="40"/>
        <v>0</v>
      </c>
      <c r="AH126" s="41">
        <f t="shared" si="41"/>
        <v>765.3546</v>
      </c>
      <c r="AI126" s="60">
        <f t="shared" si="42"/>
        <v>170.0788</v>
      </c>
      <c r="AJ126" s="60">
        <f t="shared" si="43"/>
        <v>956.69325000000003</v>
      </c>
      <c r="AK126" s="60">
        <f t="shared" si="44"/>
        <v>3075.397479452055</v>
      </c>
      <c r="AL126" s="60">
        <f t="shared" si="45"/>
        <v>2260.4171473972606</v>
      </c>
      <c r="AM126" s="41">
        <f t="shared" si="46"/>
        <v>864.78080260273941</v>
      </c>
      <c r="AN126" s="42">
        <f t="shared" si="47"/>
        <v>45715</v>
      </c>
      <c r="AO126" s="43">
        <f t="shared" si="48"/>
        <v>4251.97</v>
      </c>
    </row>
    <row r="127" spans="1:41" s="24" customFormat="1" ht="15.75" customHeight="1" x14ac:dyDescent="0.35">
      <c r="A127" s="36" t="s">
        <v>27</v>
      </c>
      <c r="B127" s="36">
        <v>202506</v>
      </c>
      <c r="C127" s="24" t="s">
        <v>128</v>
      </c>
      <c r="D127" s="24" t="s">
        <v>129</v>
      </c>
      <c r="E127" s="62">
        <v>45818</v>
      </c>
      <c r="F127" s="62">
        <v>46182</v>
      </c>
      <c r="G127" s="37" t="s">
        <v>255</v>
      </c>
      <c r="H127" s="36">
        <v>1099</v>
      </c>
      <c r="I127" s="63">
        <v>29957</v>
      </c>
      <c r="J127" s="24" t="s">
        <v>903</v>
      </c>
      <c r="K127" s="63">
        <f t="shared" si="32"/>
        <v>45818</v>
      </c>
      <c r="L127" s="55">
        <f t="shared" si="33"/>
        <v>0.04</v>
      </c>
      <c r="M127" s="76">
        <v>0.22500000000000001</v>
      </c>
      <c r="N127" s="62">
        <v>45818</v>
      </c>
      <c r="O127" s="62">
        <v>46182</v>
      </c>
      <c r="P127" s="63"/>
      <c r="Q127" s="63"/>
      <c r="R127" s="82">
        <v>43</v>
      </c>
      <c r="S127" s="63" t="str">
        <f>VLOOKUP(R127,SA!$B$5:$C$11,2,1)</f>
        <v>36-45</v>
      </c>
      <c r="T127" s="38" t="s">
        <v>96</v>
      </c>
      <c r="U127" s="24" t="s">
        <v>56</v>
      </c>
      <c r="V127" s="24">
        <v>300000</v>
      </c>
      <c r="W127" s="39">
        <f t="shared" si="34"/>
        <v>300000</v>
      </c>
      <c r="X127" s="29">
        <f t="shared" si="35"/>
        <v>1</v>
      </c>
      <c r="Y127" s="40">
        <f t="shared" si="36"/>
        <v>365</v>
      </c>
      <c r="Z127" s="38">
        <f t="shared" si="31"/>
        <v>46081</v>
      </c>
      <c r="AA127" s="41">
        <f t="shared" si="37"/>
        <v>264</v>
      </c>
      <c r="AB127" s="24" t="s">
        <v>125</v>
      </c>
      <c r="AC127" s="41">
        <f t="shared" si="38"/>
        <v>5017.3245999999999</v>
      </c>
      <c r="AD127" s="41">
        <v>1</v>
      </c>
      <c r="AE127" s="72">
        <f>IFERROR(INDEX(SA!$C$4:$E$11,MATCH(Details!S127,SA!$C$4:$C$11,0),MATCH(Details!V127,SA!$C$4:$E$4,0)),0)*Y127/(F127-E127+1)</f>
        <v>4251.97</v>
      </c>
      <c r="AF127" s="41">
        <f t="shared" si="39"/>
        <v>0</v>
      </c>
      <c r="AG127" s="41">
        <f t="shared" si="40"/>
        <v>0</v>
      </c>
      <c r="AH127" s="41">
        <f t="shared" si="41"/>
        <v>765.3546</v>
      </c>
      <c r="AI127" s="60">
        <f t="shared" si="42"/>
        <v>170.0788</v>
      </c>
      <c r="AJ127" s="60">
        <f t="shared" si="43"/>
        <v>956.69325000000003</v>
      </c>
      <c r="AK127" s="60">
        <f t="shared" si="44"/>
        <v>3075.397479452055</v>
      </c>
      <c r="AL127" s="60">
        <f t="shared" si="45"/>
        <v>2260.4171473972606</v>
      </c>
      <c r="AM127" s="41">
        <f t="shared" si="46"/>
        <v>864.78080260273941</v>
      </c>
      <c r="AN127" s="42">
        <f t="shared" si="47"/>
        <v>45715</v>
      </c>
      <c r="AO127" s="43">
        <f t="shared" si="48"/>
        <v>4251.97</v>
      </c>
    </row>
    <row r="128" spans="1:41" s="24" customFormat="1" ht="15.75" customHeight="1" x14ac:dyDescent="0.35">
      <c r="A128" s="36" t="s">
        <v>27</v>
      </c>
      <c r="B128" s="36">
        <v>202506</v>
      </c>
      <c r="C128" s="24" t="s">
        <v>128</v>
      </c>
      <c r="D128" s="24" t="s">
        <v>129</v>
      </c>
      <c r="E128" s="62">
        <v>45818</v>
      </c>
      <c r="F128" s="62">
        <v>46182</v>
      </c>
      <c r="G128" s="37" t="s">
        <v>256</v>
      </c>
      <c r="H128" s="36">
        <v>1099</v>
      </c>
      <c r="I128" s="63">
        <v>31002</v>
      </c>
      <c r="J128" s="24" t="s">
        <v>904</v>
      </c>
      <c r="K128" s="63">
        <f t="shared" si="32"/>
        <v>45818</v>
      </c>
      <c r="L128" s="55">
        <f t="shared" si="33"/>
        <v>0.04</v>
      </c>
      <c r="M128" s="76">
        <v>0.22500000000000001</v>
      </c>
      <c r="N128" s="62">
        <v>45818</v>
      </c>
      <c r="O128" s="62">
        <v>46182</v>
      </c>
      <c r="P128" s="63"/>
      <c r="Q128" s="63"/>
      <c r="R128" s="82">
        <v>40</v>
      </c>
      <c r="S128" s="63" t="str">
        <f>VLOOKUP(R128,SA!$B$5:$C$11,2,1)</f>
        <v>36-45</v>
      </c>
      <c r="T128" s="38" t="s">
        <v>97</v>
      </c>
      <c r="U128" s="24" t="s">
        <v>115</v>
      </c>
      <c r="V128" s="24">
        <v>300000</v>
      </c>
      <c r="W128" s="39">
        <f t="shared" si="34"/>
        <v>0</v>
      </c>
      <c r="X128" s="29">
        <f t="shared" si="35"/>
        <v>0</v>
      </c>
      <c r="Y128" s="40">
        <f t="shared" si="36"/>
        <v>365</v>
      </c>
      <c r="Z128" s="38">
        <f t="shared" si="31"/>
        <v>46081</v>
      </c>
      <c r="AA128" s="41">
        <f t="shared" si="37"/>
        <v>264</v>
      </c>
      <c r="AB128" s="24" t="s">
        <v>125</v>
      </c>
      <c r="AC128" s="41">
        <f t="shared" si="38"/>
        <v>5017.3245999999999</v>
      </c>
      <c r="AD128" s="41">
        <v>1</v>
      </c>
      <c r="AE128" s="72">
        <f>IFERROR(INDEX(SA!$C$4:$E$11,MATCH(Details!S128,SA!$C$4:$C$11,0),MATCH(Details!V128,SA!$C$4:$E$4,0)),0)*Y128/(F128-E128+1)</f>
        <v>4251.97</v>
      </c>
      <c r="AF128" s="41">
        <f t="shared" si="39"/>
        <v>0</v>
      </c>
      <c r="AG128" s="41">
        <f t="shared" si="40"/>
        <v>0</v>
      </c>
      <c r="AH128" s="41">
        <f t="shared" si="41"/>
        <v>765.3546</v>
      </c>
      <c r="AI128" s="60">
        <f t="shared" si="42"/>
        <v>170.0788</v>
      </c>
      <c r="AJ128" s="60">
        <f t="shared" si="43"/>
        <v>956.69325000000003</v>
      </c>
      <c r="AK128" s="60">
        <f t="shared" si="44"/>
        <v>3075.397479452055</v>
      </c>
      <c r="AL128" s="60">
        <f t="shared" si="45"/>
        <v>2260.4171473972606</v>
      </c>
      <c r="AM128" s="41">
        <f t="shared" si="46"/>
        <v>864.78080260273941</v>
      </c>
      <c r="AN128" s="42">
        <f t="shared" si="47"/>
        <v>45715</v>
      </c>
      <c r="AO128" s="43">
        <f t="shared" si="48"/>
        <v>4251.97</v>
      </c>
    </row>
    <row r="129" spans="1:41" s="24" customFormat="1" ht="15.75" customHeight="1" x14ac:dyDescent="0.35">
      <c r="A129" s="36" t="s">
        <v>27</v>
      </c>
      <c r="B129" s="36">
        <v>202506</v>
      </c>
      <c r="C129" s="24" t="s">
        <v>128</v>
      </c>
      <c r="D129" s="24" t="s">
        <v>129</v>
      </c>
      <c r="E129" s="62">
        <v>45818</v>
      </c>
      <c r="F129" s="62">
        <v>46182</v>
      </c>
      <c r="G129" s="37" t="s">
        <v>257</v>
      </c>
      <c r="H129" s="36">
        <v>1099</v>
      </c>
      <c r="I129" s="63">
        <v>41246</v>
      </c>
      <c r="J129" s="24" t="s">
        <v>905</v>
      </c>
      <c r="K129" s="63">
        <f t="shared" si="32"/>
        <v>45818</v>
      </c>
      <c r="L129" s="55">
        <f t="shared" si="33"/>
        <v>0.04</v>
      </c>
      <c r="M129" s="76">
        <v>0.22500000000000001</v>
      </c>
      <c r="N129" s="62">
        <v>45818</v>
      </c>
      <c r="O129" s="62">
        <v>46182</v>
      </c>
      <c r="P129" s="63"/>
      <c r="Q129" s="63"/>
      <c r="R129" s="82">
        <v>12</v>
      </c>
      <c r="S129" s="63" t="str">
        <f>VLOOKUP(R129,SA!$B$5:$C$11,2,1)</f>
        <v>0-35</v>
      </c>
      <c r="T129" s="38" t="s">
        <v>96</v>
      </c>
      <c r="U129" s="24" t="s">
        <v>114</v>
      </c>
      <c r="V129" s="24">
        <v>300000</v>
      </c>
      <c r="W129" s="39">
        <f t="shared" si="34"/>
        <v>0</v>
      </c>
      <c r="X129" s="29">
        <f t="shared" si="35"/>
        <v>0</v>
      </c>
      <c r="Y129" s="40">
        <f t="shared" si="36"/>
        <v>365</v>
      </c>
      <c r="Z129" s="38">
        <f t="shared" si="31"/>
        <v>46081</v>
      </c>
      <c r="AA129" s="41">
        <f t="shared" si="37"/>
        <v>264</v>
      </c>
      <c r="AB129" s="24" t="s">
        <v>125</v>
      </c>
      <c r="AC129" s="41">
        <f t="shared" si="38"/>
        <v>3874.2114000000001</v>
      </c>
      <c r="AD129" s="41">
        <v>1</v>
      </c>
      <c r="AE129" s="72">
        <f>IFERROR(INDEX(SA!$C$4:$E$11,MATCH(Details!S129,SA!$C$4:$C$11,0),MATCH(Details!V129,SA!$C$4:$E$4,0)),0)*Y129/(F129-E129+1)</f>
        <v>3283.23</v>
      </c>
      <c r="AF129" s="41">
        <f t="shared" si="39"/>
        <v>0</v>
      </c>
      <c r="AG129" s="41">
        <f t="shared" si="40"/>
        <v>0</v>
      </c>
      <c r="AH129" s="41">
        <f t="shared" si="41"/>
        <v>590.98140000000001</v>
      </c>
      <c r="AI129" s="60">
        <f t="shared" si="42"/>
        <v>131.32920000000001</v>
      </c>
      <c r="AJ129" s="60">
        <f t="shared" si="43"/>
        <v>738.72675000000004</v>
      </c>
      <c r="AK129" s="60">
        <f t="shared" si="44"/>
        <v>2374.7197808219175</v>
      </c>
      <c r="AL129" s="60">
        <f t="shared" si="45"/>
        <v>1745.4190389041094</v>
      </c>
      <c r="AM129" s="41">
        <f t="shared" si="46"/>
        <v>667.7550110958905</v>
      </c>
      <c r="AN129" s="42">
        <f t="shared" si="47"/>
        <v>45715</v>
      </c>
      <c r="AO129" s="43">
        <f t="shared" si="48"/>
        <v>3283.23</v>
      </c>
    </row>
    <row r="130" spans="1:41" s="24" customFormat="1" ht="15.75" customHeight="1" x14ac:dyDescent="0.35">
      <c r="A130" s="36" t="s">
        <v>27</v>
      </c>
      <c r="B130" s="36">
        <v>202506</v>
      </c>
      <c r="C130" s="24" t="s">
        <v>128</v>
      </c>
      <c r="D130" s="24" t="s">
        <v>129</v>
      </c>
      <c r="E130" s="62">
        <v>45818</v>
      </c>
      <c r="F130" s="62">
        <v>46182</v>
      </c>
      <c r="G130" s="37" t="s">
        <v>258</v>
      </c>
      <c r="H130" s="36">
        <v>1103</v>
      </c>
      <c r="I130" s="63">
        <v>31248</v>
      </c>
      <c r="J130" s="24" t="s">
        <v>906</v>
      </c>
      <c r="K130" s="63">
        <f t="shared" si="32"/>
        <v>45818</v>
      </c>
      <c r="L130" s="55">
        <f t="shared" si="33"/>
        <v>0.04</v>
      </c>
      <c r="M130" s="76">
        <v>0.22500000000000001</v>
      </c>
      <c r="N130" s="62">
        <v>45818</v>
      </c>
      <c r="O130" s="62">
        <v>46182</v>
      </c>
      <c r="P130" s="63"/>
      <c r="Q130" s="63"/>
      <c r="R130" s="82">
        <v>39</v>
      </c>
      <c r="S130" s="63" t="str">
        <f>VLOOKUP(R130,SA!$B$5:$C$11,2,1)</f>
        <v>36-45</v>
      </c>
      <c r="T130" s="38" t="s">
        <v>96</v>
      </c>
      <c r="U130" s="24" t="s">
        <v>56</v>
      </c>
      <c r="V130" s="24">
        <v>300000</v>
      </c>
      <c r="W130" s="39">
        <f t="shared" si="34"/>
        <v>300000</v>
      </c>
      <c r="X130" s="29">
        <f t="shared" si="35"/>
        <v>1</v>
      </c>
      <c r="Y130" s="40">
        <f t="shared" si="36"/>
        <v>365</v>
      </c>
      <c r="Z130" s="38">
        <f t="shared" si="31"/>
        <v>46081</v>
      </c>
      <c r="AA130" s="41">
        <f t="shared" si="37"/>
        <v>264</v>
      </c>
      <c r="AB130" s="24" t="s">
        <v>125</v>
      </c>
      <c r="AC130" s="41">
        <f t="shared" si="38"/>
        <v>5017.3245999999999</v>
      </c>
      <c r="AD130" s="41">
        <v>1</v>
      </c>
      <c r="AE130" s="72">
        <f>IFERROR(INDEX(SA!$C$4:$E$11,MATCH(Details!S130,SA!$C$4:$C$11,0),MATCH(Details!V130,SA!$C$4:$E$4,0)),0)*Y130/(F130-E130+1)</f>
        <v>4251.97</v>
      </c>
      <c r="AF130" s="41">
        <f t="shared" si="39"/>
        <v>0</v>
      </c>
      <c r="AG130" s="41">
        <f t="shared" si="40"/>
        <v>0</v>
      </c>
      <c r="AH130" s="41">
        <f t="shared" si="41"/>
        <v>765.3546</v>
      </c>
      <c r="AI130" s="60">
        <f t="shared" si="42"/>
        <v>170.0788</v>
      </c>
      <c r="AJ130" s="60">
        <f t="shared" si="43"/>
        <v>956.69325000000003</v>
      </c>
      <c r="AK130" s="60">
        <f t="shared" si="44"/>
        <v>3075.397479452055</v>
      </c>
      <c r="AL130" s="60">
        <f t="shared" si="45"/>
        <v>2260.4171473972606</v>
      </c>
      <c r="AM130" s="41">
        <f t="shared" si="46"/>
        <v>864.78080260273941</v>
      </c>
      <c r="AN130" s="42">
        <f t="shared" si="47"/>
        <v>45715</v>
      </c>
      <c r="AO130" s="43">
        <f t="shared" si="48"/>
        <v>4251.97</v>
      </c>
    </row>
    <row r="131" spans="1:41" s="24" customFormat="1" ht="15.75" customHeight="1" x14ac:dyDescent="0.35">
      <c r="A131" s="36" t="s">
        <v>27</v>
      </c>
      <c r="B131" s="36">
        <v>202506</v>
      </c>
      <c r="C131" s="24" t="s">
        <v>128</v>
      </c>
      <c r="D131" s="24" t="s">
        <v>129</v>
      </c>
      <c r="E131" s="62">
        <v>45818</v>
      </c>
      <c r="F131" s="62">
        <v>46182</v>
      </c>
      <c r="G131" s="37" t="s">
        <v>259</v>
      </c>
      <c r="H131" s="36">
        <v>1103</v>
      </c>
      <c r="I131" s="63">
        <v>43682</v>
      </c>
      <c r="J131" s="24" t="s">
        <v>907</v>
      </c>
      <c r="K131" s="63">
        <f t="shared" si="32"/>
        <v>45818</v>
      </c>
      <c r="L131" s="55">
        <f t="shared" si="33"/>
        <v>0.04</v>
      </c>
      <c r="M131" s="76">
        <v>0.22500000000000001</v>
      </c>
      <c r="N131" s="62">
        <v>45818</v>
      </c>
      <c r="O131" s="62">
        <v>46182</v>
      </c>
      <c r="P131" s="63"/>
      <c r="Q131" s="63"/>
      <c r="R131" s="82">
        <v>5</v>
      </c>
      <c r="S131" s="63" t="str">
        <f>VLOOKUP(R131,SA!$B$5:$C$11,2,1)</f>
        <v>0-35</v>
      </c>
      <c r="T131" s="38" t="s">
        <v>97</v>
      </c>
      <c r="U131" s="24" t="s">
        <v>113</v>
      </c>
      <c r="V131" s="24">
        <v>300000</v>
      </c>
      <c r="W131" s="39">
        <f t="shared" si="34"/>
        <v>0</v>
      </c>
      <c r="X131" s="29">
        <f t="shared" si="35"/>
        <v>0</v>
      </c>
      <c r="Y131" s="40">
        <f t="shared" si="36"/>
        <v>365</v>
      </c>
      <c r="Z131" s="38">
        <f t="shared" ref="Z131:Z194" si="49">$Z$1</f>
        <v>46081</v>
      </c>
      <c r="AA131" s="41">
        <f t="shared" si="37"/>
        <v>264</v>
      </c>
      <c r="AB131" s="24" t="s">
        <v>125</v>
      </c>
      <c r="AC131" s="41">
        <f t="shared" si="38"/>
        <v>3874.2114000000001</v>
      </c>
      <c r="AD131" s="41">
        <v>1</v>
      </c>
      <c r="AE131" s="72">
        <f>IFERROR(INDEX(SA!$C$4:$E$11,MATCH(Details!S131,SA!$C$4:$C$11,0),MATCH(Details!V131,SA!$C$4:$E$4,0)),0)*Y131/(F131-E131+1)</f>
        <v>3283.23</v>
      </c>
      <c r="AF131" s="41">
        <f t="shared" si="39"/>
        <v>0</v>
      </c>
      <c r="AG131" s="41">
        <f t="shared" si="40"/>
        <v>0</v>
      </c>
      <c r="AH131" s="41">
        <f t="shared" si="41"/>
        <v>590.98140000000001</v>
      </c>
      <c r="AI131" s="60">
        <f t="shared" si="42"/>
        <v>131.32920000000001</v>
      </c>
      <c r="AJ131" s="60">
        <f t="shared" si="43"/>
        <v>738.72675000000004</v>
      </c>
      <c r="AK131" s="60">
        <f t="shared" si="44"/>
        <v>2374.7197808219175</v>
      </c>
      <c r="AL131" s="60">
        <f t="shared" si="45"/>
        <v>1745.4190389041094</v>
      </c>
      <c r="AM131" s="41">
        <f t="shared" si="46"/>
        <v>667.7550110958905</v>
      </c>
      <c r="AN131" s="42">
        <f t="shared" si="47"/>
        <v>45715</v>
      </c>
      <c r="AO131" s="43">
        <f t="shared" si="48"/>
        <v>3283.23</v>
      </c>
    </row>
    <row r="132" spans="1:41" s="24" customFormat="1" ht="15.75" customHeight="1" x14ac:dyDescent="0.35">
      <c r="A132" s="36" t="s">
        <v>27</v>
      </c>
      <c r="B132" s="36">
        <v>202506</v>
      </c>
      <c r="C132" s="24" t="s">
        <v>128</v>
      </c>
      <c r="D132" s="24" t="s">
        <v>129</v>
      </c>
      <c r="E132" s="62">
        <v>45818</v>
      </c>
      <c r="F132" s="62">
        <v>46182</v>
      </c>
      <c r="G132" s="37" t="s">
        <v>260</v>
      </c>
      <c r="H132" s="36">
        <v>1103</v>
      </c>
      <c r="I132" s="63">
        <v>34822</v>
      </c>
      <c r="J132" s="24" t="s">
        <v>908</v>
      </c>
      <c r="K132" s="63">
        <f t="shared" ref="K132:K195" si="50">N132</f>
        <v>45818</v>
      </c>
      <c r="L132" s="55">
        <f t="shared" ref="L132:L195" si="51">IF(K132&gt;=DATE(2022,4,1),4%,5%)</f>
        <v>0.04</v>
      </c>
      <c r="M132" s="76">
        <v>0.22500000000000001</v>
      </c>
      <c r="N132" s="62">
        <v>45818</v>
      </c>
      <c r="O132" s="62">
        <v>46182</v>
      </c>
      <c r="P132" s="63"/>
      <c r="Q132" s="63"/>
      <c r="R132" s="82">
        <v>30</v>
      </c>
      <c r="S132" s="63" t="str">
        <f>VLOOKUP(R132,SA!$B$5:$C$11,2,1)</f>
        <v>0-35</v>
      </c>
      <c r="T132" s="38" t="s">
        <v>97</v>
      </c>
      <c r="U132" s="24" t="s">
        <v>115</v>
      </c>
      <c r="V132" s="24">
        <v>300000</v>
      </c>
      <c r="W132" s="39">
        <f t="shared" ref="W132:W195" si="52">IF(U132="self",V132,0)</f>
        <v>0</v>
      </c>
      <c r="X132" s="29">
        <f t="shared" ref="X132:X195" si="53">IF(U132="self",1,0)</f>
        <v>0</v>
      </c>
      <c r="Y132" s="40">
        <f t="shared" ref="Y132:Y195" si="54">O132-N132+1</f>
        <v>365</v>
      </c>
      <c r="Z132" s="38">
        <f t="shared" si="49"/>
        <v>46081</v>
      </c>
      <c r="AA132" s="41">
        <f t="shared" ref="AA132:AA195" si="55">IF(MIN((Z132-N132)+1,Y132)&lt;0,0,MIN((Z132-N132)+1,Y132))</f>
        <v>264</v>
      </c>
      <c r="AB132" s="24" t="s">
        <v>125</v>
      </c>
      <c r="AC132" s="41">
        <f t="shared" ref="AC132:AC195" si="56">AE132+AF132+AG132+AH132</f>
        <v>3874.2114000000001</v>
      </c>
      <c r="AD132" s="41">
        <v>1</v>
      </c>
      <c r="AE132" s="72">
        <f>IFERROR(INDEX(SA!$C$4:$E$11,MATCH(Details!S132,SA!$C$4:$C$11,0),MATCH(Details!V132,SA!$C$4:$E$4,0)),0)*Y132/(F132-E132+1)</f>
        <v>3283.23</v>
      </c>
      <c r="AF132" s="41">
        <f t="shared" ref="AF132:AF195" si="57">IF(AB132="Karnataka",AE132*9%,0)</f>
        <v>0</v>
      </c>
      <c r="AG132" s="41">
        <f t="shared" ref="AG132:AG195" si="58">IF(AB132="Karnataka",AE132*9%,0)</f>
        <v>0</v>
      </c>
      <c r="AH132" s="41">
        <f t="shared" ref="AH132:AH195" si="59">IF(AF132+AG132&gt;0,0,AE132*18%)</f>
        <v>590.98140000000001</v>
      </c>
      <c r="AI132" s="60">
        <f t="shared" ref="AI132:AI195" si="60">AE132*L132</f>
        <v>131.32920000000001</v>
      </c>
      <c r="AJ132" s="60">
        <f t="shared" ref="AJ132:AJ195" si="61">$AE132*M132</f>
        <v>738.72675000000004</v>
      </c>
      <c r="AK132" s="60">
        <f t="shared" ref="AK132:AK195" si="62">(AE132)*AA132/Y132</f>
        <v>2374.7197808219175</v>
      </c>
      <c r="AL132" s="60">
        <f t="shared" ref="AL132:AL195" si="63">AK132*(1-L132-M132)</f>
        <v>1745.4190389041094</v>
      </c>
      <c r="AM132" s="41">
        <f t="shared" ref="AM132:AM195" si="64">AE132-AI132-AL132-AJ132</f>
        <v>667.7550110958905</v>
      </c>
      <c r="AN132" s="42">
        <f t="shared" ref="AN132:AN195" si="65">Z132-366</f>
        <v>45715</v>
      </c>
      <c r="AO132" s="43">
        <f t="shared" ref="AO132:AO195" si="66">IF(AND(O132&gt;Z132,N132&gt;AN132),AE132,0)</f>
        <v>3283.23</v>
      </c>
    </row>
    <row r="133" spans="1:41" s="24" customFormat="1" ht="15.75" customHeight="1" x14ac:dyDescent="0.35">
      <c r="A133" s="36" t="s">
        <v>27</v>
      </c>
      <c r="B133" s="36">
        <v>202506</v>
      </c>
      <c r="C133" s="24" t="s">
        <v>128</v>
      </c>
      <c r="D133" s="24" t="s">
        <v>129</v>
      </c>
      <c r="E133" s="62">
        <v>45818</v>
      </c>
      <c r="F133" s="62">
        <v>46182</v>
      </c>
      <c r="G133" s="37" t="s">
        <v>261</v>
      </c>
      <c r="H133" s="36">
        <v>1103</v>
      </c>
      <c r="I133" s="63">
        <v>42024</v>
      </c>
      <c r="J133" s="24" t="s">
        <v>909</v>
      </c>
      <c r="K133" s="63">
        <f t="shared" si="50"/>
        <v>45818</v>
      </c>
      <c r="L133" s="55">
        <f t="shared" si="51"/>
        <v>0.04</v>
      </c>
      <c r="M133" s="76">
        <v>0.22500000000000001</v>
      </c>
      <c r="N133" s="62">
        <v>45818</v>
      </c>
      <c r="O133" s="62">
        <v>46182</v>
      </c>
      <c r="P133" s="63"/>
      <c r="Q133" s="63"/>
      <c r="R133" s="82">
        <v>10</v>
      </c>
      <c r="S133" s="63" t="str">
        <f>VLOOKUP(R133,SA!$B$5:$C$11,2,1)</f>
        <v>0-35</v>
      </c>
      <c r="T133" s="38" t="s">
        <v>96</v>
      </c>
      <c r="U133" s="24" t="s">
        <v>114</v>
      </c>
      <c r="V133" s="24">
        <v>300000</v>
      </c>
      <c r="W133" s="39">
        <f t="shared" si="52"/>
        <v>0</v>
      </c>
      <c r="X133" s="29">
        <f t="shared" si="53"/>
        <v>0</v>
      </c>
      <c r="Y133" s="40">
        <f t="shared" si="54"/>
        <v>365</v>
      </c>
      <c r="Z133" s="38">
        <f t="shared" si="49"/>
        <v>46081</v>
      </c>
      <c r="AA133" s="41">
        <f t="shared" si="55"/>
        <v>264</v>
      </c>
      <c r="AB133" s="24" t="s">
        <v>125</v>
      </c>
      <c r="AC133" s="41">
        <f t="shared" si="56"/>
        <v>3874.2114000000001</v>
      </c>
      <c r="AD133" s="41">
        <v>1</v>
      </c>
      <c r="AE133" s="72">
        <f>IFERROR(INDEX(SA!$C$4:$E$11,MATCH(Details!S133,SA!$C$4:$C$11,0),MATCH(Details!V133,SA!$C$4:$E$4,0)),0)*Y133/(F133-E133+1)</f>
        <v>3283.23</v>
      </c>
      <c r="AF133" s="41">
        <f t="shared" si="57"/>
        <v>0</v>
      </c>
      <c r="AG133" s="41">
        <f t="shared" si="58"/>
        <v>0</v>
      </c>
      <c r="AH133" s="41">
        <f t="shared" si="59"/>
        <v>590.98140000000001</v>
      </c>
      <c r="AI133" s="60">
        <f t="shared" si="60"/>
        <v>131.32920000000001</v>
      </c>
      <c r="AJ133" s="60">
        <f t="shared" si="61"/>
        <v>738.72675000000004</v>
      </c>
      <c r="AK133" s="60">
        <f t="shared" si="62"/>
        <v>2374.7197808219175</v>
      </c>
      <c r="AL133" s="60">
        <f t="shared" si="63"/>
        <v>1745.4190389041094</v>
      </c>
      <c r="AM133" s="41">
        <f t="shared" si="64"/>
        <v>667.7550110958905</v>
      </c>
      <c r="AN133" s="42">
        <f t="shared" si="65"/>
        <v>45715</v>
      </c>
      <c r="AO133" s="43">
        <f t="shared" si="66"/>
        <v>3283.23</v>
      </c>
    </row>
    <row r="134" spans="1:41" s="24" customFormat="1" ht="15.75" customHeight="1" x14ac:dyDescent="0.35">
      <c r="A134" s="36" t="s">
        <v>27</v>
      </c>
      <c r="B134" s="36">
        <v>202506</v>
      </c>
      <c r="C134" s="24" t="s">
        <v>128</v>
      </c>
      <c r="D134" s="24" t="s">
        <v>129</v>
      </c>
      <c r="E134" s="62">
        <v>45818</v>
      </c>
      <c r="F134" s="62">
        <v>46182</v>
      </c>
      <c r="G134" s="37" t="s">
        <v>262</v>
      </c>
      <c r="H134" s="36">
        <v>1104</v>
      </c>
      <c r="I134" s="63">
        <v>28398</v>
      </c>
      <c r="J134" s="24" t="s">
        <v>910</v>
      </c>
      <c r="K134" s="63">
        <f t="shared" si="50"/>
        <v>45818</v>
      </c>
      <c r="L134" s="55">
        <f t="shared" si="51"/>
        <v>0.04</v>
      </c>
      <c r="M134" s="76">
        <v>0.22500000000000001</v>
      </c>
      <c r="N134" s="62">
        <v>45818</v>
      </c>
      <c r="O134" s="62">
        <v>46182</v>
      </c>
      <c r="P134" s="63"/>
      <c r="Q134" s="63"/>
      <c r="R134" s="82">
        <v>47</v>
      </c>
      <c r="S134" s="63" t="str">
        <f>VLOOKUP(R134,SA!$B$5:$C$11,2,1)</f>
        <v>46-55</v>
      </c>
      <c r="T134" s="38" t="s">
        <v>96</v>
      </c>
      <c r="U134" s="24" t="s">
        <v>56</v>
      </c>
      <c r="V134" s="24">
        <v>300000</v>
      </c>
      <c r="W134" s="39">
        <f t="shared" si="52"/>
        <v>300000</v>
      </c>
      <c r="X134" s="29">
        <f t="shared" si="53"/>
        <v>1</v>
      </c>
      <c r="Y134" s="40">
        <f t="shared" si="54"/>
        <v>365</v>
      </c>
      <c r="Z134" s="38">
        <f t="shared" si="49"/>
        <v>46081</v>
      </c>
      <c r="AA134" s="41">
        <f t="shared" si="55"/>
        <v>264</v>
      </c>
      <c r="AB134" s="24" t="s">
        <v>125</v>
      </c>
      <c r="AC134" s="41">
        <f t="shared" si="56"/>
        <v>9586.9925999999996</v>
      </c>
      <c r="AD134" s="41">
        <v>1</v>
      </c>
      <c r="AE134" s="72">
        <f>IFERROR(INDEX(SA!$C$4:$E$11,MATCH(Details!S134,SA!$C$4:$C$11,0),MATCH(Details!V134,SA!$C$4:$E$4,0)),0)*Y134/(F134-E134+1)</f>
        <v>8124.57</v>
      </c>
      <c r="AF134" s="41">
        <f t="shared" si="57"/>
        <v>0</v>
      </c>
      <c r="AG134" s="41">
        <f t="shared" si="58"/>
        <v>0</v>
      </c>
      <c r="AH134" s="41">
        <f t="shared" si="59"/>
        <v>1462.4225999999999</v>
      </c>
      <c r="AI134" s="60">
        <f t="shared" si="60"/>
        <v>324.9828</v>
      </c>
      <c r="AJ134" s="60">
        <f t="shared" si="61"/>
        <v>1828.0282500000001</v>
      </c>
      <c r="AK134" s="60">
        <f t="shared" si="62"/>
        <v>5876.4013150684932</v>
      </c>
      <c r="AL134" s="60">
        <f t="shared" si="63"/>
        <v>4319.1549665753428</v>
      </c>
      <c r="AM134" s="41">
        <f t="shared" si="64"/>
        <v>1652.4039834246571</v>
      </c>
      <c r="AN134" s="42">
        <f t="shared" si="65"/>
        <v>45715</v>
      </c>
      <c r="AO134" s="43">
        <f t="shared" si="66"/>
        <v>8124.57</v>
      </c>
    </row>
    <row r="135" spans="1:41" s="24" customFormat="1" ht="15.75" customHeight="1" x14ac:dyDescent="0.35">
      <c r="A135" s="36" t="s">
        <v>27</v>
      </c>
      <c r="B135" s="36">
        <v>202506</v>
      </c>
      <c r="C135" s="24" t="s">
        <v>128</v>
      </c>
      <c r="D135" s="24" t="s">
        <v>129</v>
      </c>
      <c r="E135" s="62">
        <v>45818</v>
      </c>
      <c r="F135" s="62">
        <v>46182</v>
      </c>
      <c r="G135" s="37" t="s">
        <v>263</v>
      </c>
      <c r="H135" s="36">
        <v>1104</v>
      </c>
      <c r="I135" s="63">
        <v>28216</v>
      </c>
      <c r="J135" s="24" t="s">
        <v>911</v>
      </c>
      <c r="K135" s="63">
        <f t="shared" si="50"/>
        <v>45818</v>
      </c>
      <c r="L135" s="55">
        <f t="shared" si="51"/>
        <v>0.04</v>
      </c>
      <c r="M135" s="76">
        <v>0.22500000000000001</v>
      </c>
      <c r="N135" s="62">
        <v>45818</v>
      </c>
      <c r="O135" s="62">
        <v>46182</v>
      </c>
      <c r="P135" s="63"/>
      <c r="Q135" s="63"/>
      <c r="R135" s="82">
        <v>48</v>
      </c>
      <c r="S135" s="63" t="str">
        <f>VLOOKUP(R135,SA!$B$5:$C$11,2,1)</f>
        <v>46-55</v>
      </c>
      <c r="T135" s="38" t="s">
        <v>97</v>
      </c>
      <c r="U135" s="24" t="s">
        <v>115</v>
      </c>
      <c r="V135" s="24">
        <v>300000</v>
      </c>
      <c r="W135" s="39">
        <f t="shared" si="52"/>
        <v>0</v>
      </c>
      <c r="X135" s="29">
        <f t="shared" si="53"/>
        <v>0</v>
      </c>
      <c r="Y135" s="40">
        <f t="shared" si="54"/>
        <v>365</v>
      </c>
      <c r="Z135" s="38">
        <f t="shared" si="49"/>
        <v>46081</v>
      </c>
      <c r="AA135" s="41">
        <f t="shared" si="55"/>
        <v>264</v>
      </c>
      <c r="AB135" s="24" t="s">
        <v>125</v>
      </c>
      <c r="AC135" s="41">
        <f t="shared" si="56"/>
        <v>9586.9925999999996</v>
      </c>
      <c r="AD135" s="41">
        <v>1</v>
      </c>
      <c r="AE135" s="72">
        <f>IFERROR(INDEX(SA!$C$4:$E$11,MATCH(Details!S135,SA!$C$4:$C$11,0),MATCH(Details!V135,SA!$C$4:$E$4,0)),0)*Y135/(F135-E135+1)</f>
        <v>8124.57</v>
      </c>
      <c r="AF135" s="41">
        <f t="shared" si="57"/>
        <v>0</v>
      </c>
      <c r="AG135" s="41">
        <f t="shared" si="58"/>
        <v>0</v>
      </c>
      <c r="AH135" s="41">
        <f t="shared" si="59"/>
        <v>1462.4225999999999</v>
      </c>
      <c r="AI135" s="60">
        <f t="shared" si="60"/>
        <v>324.9828</v>
      </c>
      <c r="AJ135" s="60">
        <f t="shared" si="61"/>
        <v>1828.0282500000001</v>
      </c>
      <c r="AK135" s="60">
        <f t="shared" si="62"/>
        <v>5876.4013150684932</v>
      </c>
      <c r="AL135" s="60">
        <f t="shared" si="63"/>
        <v>4319.1549665753428</v>
      </c>
      <c r="AM135" s="41">
        <f t="shared" si="64"/>
        <v>1652.4039834246571</v>
      </c>
      <c r="AN135" s="42">
        <f t="shared" si="65"/>
        <v>45715</v>
      </c>
      <c r="AO135" s="43">
        <f t="shared" si="66"/>
        <v>8124.57</v>
      </c>
    </row>
    <row r="136" spans="1:41" s="24" customFormat="1" ht="15.75" customHeight="1" x14ac:dyDescent="0.35">
      <c r="A136" s="36" t="s">
        <v>27</v>
      </c>
      <c r="B136" s="36">
        <v>202506</v>
      </c>
      <c r="C136" s="24" t="s">
        <v>128</v>
      </c>
      <c r="D136" s="24" t="s">
        <v>129</v>
      </c>
      <c r="E136" s="62">
        <v>45818</v>
      </c>
      <c r="F136" s="62">
        <v>46182</v>
      </c>
      <c r="G136" s="37" t="s">
        <v>264</v>
      </c>
      <c r="H136" s="36">
        <v>1104</v>
      </c>
      <c r="I136" s="63">
        <v>37826</v>
      </c>
      <c r="J136" s="24" t="s">
        <v>912</v>
      </c>
      <c r="K136" s="63">
        <f t="shared" si="50"/>
        <v>45818</v>
      </c>
      <c r="L136" s="55">
        <f t="shared" si="51"/>
        <v>0.04</v>
      </c>
      <c r="M136" s="76">
        <v>0.22500000000000001</v>
      </c>
      <c r="N136" s="62">
        <v>45818</v>
      </c>
      <c r="O136" s="62">
        <v>46182</v>
      </c>
      <c r="P136" s="63"/>
      <c r="Q136" s="63"/>
      <c r="R136" s="82">
        <v>21</v>
      </c>
      <c r="S136" s="63" t="str">
        <f>VLOOKUP(R136,SA!$B$5:$C$11,2,1)</f>
        <v>0-35</v>
      </c>
      <c r="T136" s="38" t="s">
        <v>96</v>
      </c>
      <c r="U136" s="24" t="s">
        <v>114</v>
      </c>
      <c r="V136" s="24">
        <v>300000</v>
      </c>
      <c r="W136" s="39">
        <f t="shared" si="52"/>
        <v>0</v>
      </c>
      <c r="X136" s="29">
        <f t="shared" si="53"/>
        <v>0</v>
      </c>
      <c r="Y136" s="40">
        <f t="shared" si="54"/>
        <v>365</v>
      </c>
      <c r="Z136" s="38">
        <f t="shared" si="49"/>
        <v>46081</v>
      </c>
      <c r="AA136" s="41">
        <f t="shared" si="55"/>
        <v>264</v>
      </c>
      <c r="AB136" s="24" t="s">
        <v>125</v>
      </c>
      <c r="AC136" s="41">
        <f t="shared" si="56"/>
        <v>3874.2114000000001</v>
      </c>
      <c r="AD136" s="41">
        <v>1</v>
      </c>
      <c r="AE136" s="72">
        <f>IFERROR(INDEX(SA!$C$4:$E$11,MATCH(Details!S136,SA!$C$4:$C$11,0),MATCH(Details!V136,SA!$C$4:$E$4,0)),0)*Y136/(F136-E136+1)</f>
        <v>3283.23</v>
      </c>
      <c r="AF136" s="41">
        <f t="shared" si="57"/>
        <v>0</v>
      </c>
      <c r="AG136" s="41">
        <f t="shared" si="58"/>
        <v>0</v>
      </c>
      <c r="AH136" s="41">
        <f t="shared" si="59"/>
        <v>590.98140000000001</v>
      </c>
      <c r="AI136" s="60">
        <f t="shared" si="60"/>
        <v>131.32920000000001</v>
      </c>
      <c r="AJ136" s="60">
        <f t="shared" si="61"/>
        <v>738.72675000000004</v>
      </c>
      <c r="AK136" s="60">
        <f t="shared" si="62"/>
        <v>2374.7197808219175</v>
      </c>
      <c r="AL136" s="60">
        <f t="shared" si="63"/>
        <v>1745.4190389041094</v>
      </c>
      <c r="AM136" s="41">
        <f t="shared" si="64"/>
        <v>667.7550110958905</v>
      </c>
      <c r="AN136" s="42">
        <f t="shared" si="65"/>
        <v>45715</v>
      </c>
      <c r="AO136" s="43">
        <f t="shared" si="66"/>
        <v>3283.23</v>
      </c>
    </row>
    <row r="137" spans="1:41" s="24" customFormat="1" ht="15.75" customHeight="1" x14ac:dyDescent="0.35">
      <c r="A137" s="36" t="s">
        <v>27</v>
      </c>
      <c r="B137" s="36">
        <v>202506</v>
      </c>
      <c r="C137" s="24" t="s">
        <v>128</v>
      </c>
      <c r="D137" s="24" t="s">
        <v>129</v>
      </c>
      <c r="E137" s="62">
        <v>45818</v>
      </c>
      <c r="F137" s="62">
        <v>46182</v>
      </c>
      <c r="G137" s="37" t="s">
        <v>265</v>
      </c>
      <c r="H137" s="36">
        <v>1104</v>
      </c>
      <c r="I137" s="63">
        <v>41430</v>
      </c>
      <c r="J137" s="24" t="s">
        <v>913</v>
      </c>
      <c r="K137" s="63">
        <f t="shared" si="50"/>
        <v>45818</v>
      </c>
      <c r="L137" s="55">
        <f t="shared" si="51"/>
        <v>0.04</v>
      </c>
      <c r="M137" s="76">
        <v>0.22500000000000001</v>
      </c>
      <c r="N137" s="62">
        <v>45818</v>
      </c>
      <c r="O137" s="62">
        <v>46182</v>
      </c>
      <c r="P137" s="63"/>
      <c r="Q137" s="63"/>
      <c r="R137" s="82">
        <v>12</v>
      </c>
      <c r="S137" s="63" t="str">
        <f>VLOOKUP(R137,SA!$B$5:$C$11,2,1)</f>
        <v>0-35</v>
      </c>
      <c r="T137" s="38" t="s">
        <v>96</v>
      </c>
      <c r="U137" s="24" t="s">
        <v>114</v>
      </c>
      <c r="V137" s="24">
        <v>300000</v>
      </c>
      <c r="W137" s="39">
        <f t="shared" si="52"/>
        <v>0</v>
      </c>
      <c r="X137" s="29">
        <f t="shared" si="53"/>
        <v>0</v>
      </c>
      <c r="Y137" s="40">
        <f t="shared" si="54"/>
        <v>365</v>
      </c>
      <c r="Z137" s="38">
        <f t="shared" si="49"/>
        <v>46081</v>
      </c>
      <c r="AA137" s="41">
        <f t="shared" si="55"/>
        <v>264</v>
      </c>
      <c r="AB137" s="24" t="s">
        <v>125</v>
      </c>
      <c r="AC137" s="41">
        <f t="shared" si="56"/>
        <v>3874.2114000000001</v>
      </c>
      <c r="AD137" s="41">
        <v>1</v>
      </c>
      <c r="AE137" s="72">
        <f>IFERROR(INDEX(SA!$C$4:$E$11,MATCH(Details!S137,SA!$C$4:$C$11,0),MATCH(Details!V137,SA!$C$4:$E$4,0)),0)*Y137/(F137-E137+1)</f>
        <v>3283.23</v>
      </c>
      <c r="AF137" s="41">
        <f t="shared" si="57"/>
        <v>0</v>
      </c>
      <c r="AG137" s="41">
        <f t="shared" si="58"/>
        <v>0</v>
      </c>
      <c r="AH137" s="41">
        <f t="shared" si="59"/>
        <v>590.98140000000001</v>
      </c>
      <c r="AI137" s="60">
        <f t="shared" si="60"/>
        <v>131.32920000000001</v>
      </c>
      <c r="AJ137" s="60">
        <f t="shared" si="61"/>
        <v>738.72675000000004</v>
      </c>
      <c r="AK137" s="60">
        <f t="shared" si="62"/>
        <v>2374.7197808219175</v>
      </c>
      <c r="AL137" s="60">
        <f t="shared" si="63"/>
        <v>1745.4190389041094</v>
      </c>
      <c r="AM137" s="41">
        <f t="shared" si="64"/>
        <v>667.7550110958905</v>
      </c>
      <c r="AN137" s="42">
        <f t="shared" si="65"/>
        <v>45715</v>
      </c>
      <c r="AO137" s="43">
        <f t="shared" si="66"/>
        <v>3283.23</v>
      </c>
    </row>
    <row r="138" spans="1:41" s="24" customFormat="1" ht="15.75" customHeight="1" x14ac:dyDescent="0.35">
      <c r="A138" s="36" t="s">
        <v>27</v>
      </c>
      <c r="B138" s="36">
        <v>202506</v>
      </c>
      <c r="C138" s="24" t="s">
        <v>128</v>
      </c>
      <c r="D138" s="24" t="s">
        <v>129</v>
      </c>
      <c r="E138" s="62">
        <v>45818</v>
      </c>
      <c r="F138" s="62">
        <v>46182</v>
      </c>
      <c r="G138" s="37" t="s">
        <v>266</v>
      </c>
      <c r="H138" s="36">
        <v>1107</v>
      </c>
      <c r="I138" s="63">
        <v>28245</v>
      </c>
      <c r="J138" s="24" t="s">
        <v>914</v>
      </c>
      <c r="K138" s="63">
        <f t="shared" si="50"/>
        <v>45818</v>
      </c>
      <c r="L138" s="55">
        <f t="shared" si="51"/>
        <v>0.04</v>
      </c>
      <c r="M138" s="76">
        <v>0.22500000000000001</v>
      </c>
      <c r="N138" s="62">
        <v>45818</v>
      </c>
      <c r="O138" s="62">
        <v>46182</v>
      </c>
      <c r="P138" s="63"/>
      <c r="Q138" s="63"/>
      <c r="R138" s="82">
        <v>48</v>
      </c>
      <c r="S138" s="63" t="str">
        <f>VLOOKUP(R138,SA!$B$5:$C$11,2,1)</f>
        <v>46-55</v>
      </c>
      <c r="T138" s="38" t="s">
        <v>96</v>
      </c>
      <c r="U138" s="24" t="s">
        <v>56</v>
      </c>
      <c r="V138" s="24">
        <v>300000</v>
      </c>
      <c r="W138" s="39">
        <f t="shared" si="52"/>
        <v>300000</v>
      </c>
      <c r="X138" s="29">
        <f t="shared" si="53"/>
        <v>1</v>
      </c>
      <c r="Y138" s="40">
        <f t="shared" si="54"/>
        <v>365</v>
      </c>
      <c r="Z138" s="38">
        <f t="shared" si="49"/>
        <v>46081</v>
      </c>
      <c r="AA138" s="41">
        <f t="shared" si="55"/>
        <v>264</v>
      </c>
      <c r="AB138" s="24" t="s">
        <v>125</v>
      </c>
      <c r="AC138" s="41">
        <f t="shared" si="56"/>
        <v>9586.9925999999996</v>
      </c>
      <c r="AD138" s="41">
        <v>1</v>
      </c>
      <c r="AE138" s="72">
        <f>IFERROR(INDEX(SA!$C$4:$E$11,MATCH(Details!S138,SA!$C$4:$C$11,0),MATCH(Details!V138,SA!$C$4:$E$4,0)),0)*Y138/(F138-E138+1)</f>
        <v>8124.57</v>
      </c>
      <c r="AF138" s="41">
        <f t="shared" si="57"/>
        <v>0</v>
      </c>
      <c r="AG138" s="41">
        <f t="shared" si="58"/>
        <v>0</v>
      </c>
      <c r="AH138" s="41">
        <f t="shared" si="59"/>
        <v>1462.4225999999999</v>
      </c>
      <c r="AI138" s="60">
        <f t="shared" si="60"/>
        <v>324.9828</v>
      </c>
      <c r="AJ138" s="60">
        <f t="shared" si="61"/>
        <v>1828.0282500000001</v>
      </c>
      <c r="AK138" s="60">
        <f t="shared" si="62"/>
        <v>5876.4013150684932</v>
      </c>
      <c r="AL138" s="60">
        <f t="shared" si="63"/>
        <v>4319.1549665753428</v>
      </c>
      <c r="AM138" s="41">
        <f t="shared" si="64"/>
        <v>1652.4039834246571</v>
      </c>
      <c r="AN138" s="42">
        <f t="shared" si="65"/>
        <v>45715</v>
      </c>
      <c r="AO138" s="43">
        <f t="shared" si="66"/>
        <v>8124.57</v>
      </c>
    </row>
    <row r="139" spans="1:41" s="24" customFormat="1" ht="15.75" customHeight="1" x14ac:dyDescent="0.35">
      <c r="A139" s="36" t="s">
        <v>27</v>
      </c>
      <c r="B139" s="36">
        <v>202506</v>
      </c>
      <c r="C139" s="24" t="s">
        <v>128</v>
      </c>
      <c r="D139" s="24" t="s">
        <v>129</v>
      </c>
      <c r="E139" s="62">
        <v>45818</v>
      </c>
      <c r="F139" s="62">
        <v>46182</v>
      </c>
      <c r="G139" s="37" t="s">
        <v>267</v>
      </c>
      <c r="H139" s="36">
        <v>1107</v>
      </c>
      <c r="I139" s="63">
        <v>39771</v>
      </c>
      <c r="J139" s="24" t="s">
        <v>915</v>
      </c>
      <c r="K139" s="63">
        <f t="shared" si="50"/>
        <v>45818</v>
      </c>
      <c r="L139" s="55">
        <f t="shared" si="51"/>
        <v>0.04</v>
      </c>
      <c r="M139" s="76">
        <v>0.22500000000000001</v>
      </c>
      <c r="N139" s="62">
        <v>45818</v>
      </c>
      <c r="O139" s="62">
        <v>46182</v>
      </c>
      <c r="P139" s="63"/>
      <c r="Q139" s="63"/>
      <c r="R139" s="82">
        <v>16</v>
      </c>
      <c r="S139" s="63" t="str">
        <f>VLOOKUP(R139,SA!$B$5:$C$11,2,1)</f>
        <v>0-35</v>
      </c>
      <c r="T139" s="38" t="s">
        <v>97</v>
      </c>
      <c r="U139" s="24" t="s">
        <v>113</v>
      </c>
      <c r="V139" s="24">
        <v>300000</v>
      </c>
      <c r="W139" s="39">
        <f t="shared" si="52"/>
        <v>0</v>
      </c>
      <c r="X139" s="29">
        <f t="shared" si="53"/>
        <v>0</v>
      </c>
      <c r="Y139" s="40">
        <f t="shared" si="54"/>
        <v>365</v>
      </c>
      <c r="Z139" s="38">
        <f t="shared" si="49"/>
        <v>46081</v>
      </c>
      <c r="AA139" s="41">
        <f t="shared" si="55"/>
        <v>264</v>
      </c>
      <c r="AB139" s="24" t="s">
        <v>125</v>
      </c>
      <c r="AC139" s="41">
        <f t="shared" si="56"/>
        <v>3874.2114000000001</v>
      </c>
      <c r="AD139" s="41">
        <v>1</v>
      </c>
      <c r="AE139" s="72">
        <f>IFERROR(INDEX(SA!$C$4:$E$11,MATCH(Details!S139,SA!$C$4:$C$11,0),MATCH(Details!V139,SA!$C$4:$E$4,0)),0)*Y139/(F139-E139+1)</f>
        <v>3283.23</v>
      </c>
      <c r="AF139" s="41">
        <f t="shared" si="57"/>
        <v>0</v>
      </c>
      <c r="AG139" s="41">
        <f t="shared" si="58"/>
        <v>0</v>
      </c>
      <c r="AH139" s="41">
        <f t="shared" si="59"/>
        <v>590.98140000000001</v>
      </c>
      <c r="AI139" s="60">
        <f t="shared" si="60"/>
        <v>131.32920000000001</v>
      </c>
      <c r="AJ139" s="60">
        <f t="shared" si="61"/>
        <v>738.72675000000004</v>
      </c>
      <c r="AK139" s="60">
        <f t="shared" si="62"/>
        <v>2374.7197808219175</v>
      </c>
      <c r="AL139" s="60">
        <f t="shared" si="63"/>
        <v>1745.4190389041094</v>
      </c>
      <c r="AM139" s="41">
        <f t="shared" si="64"/>
        <v>667.7550110958905</v>
      </c>
      <c r="AN139" s="42">
        <f t="shared" si="65"/>
        <v>45715</v>
      </c>
      <c r="AO139" s="43">
        <f t="shared" si="66"/>
        <v>3283.23</v>
      </c>
    </row>
    <row r="140" spans="1:41" s="24" customFormat="1" ht="15.75" customHeight="1" x14ac:dyDescent="0.35">
      <c r="A140" s="36" t="s">
        <v>27</v>
      </c>
      <c r="B140" s="36">
        <v>202506</v>
      </c>
      <c r="C140" s="24" t="s">
        <v>128</v>
      </c>
      <c r="D140" s="24" t="s">
        <v>129</v>
      </c>
      <c r="E140" s="62">
        <v>45818</v>
      </c>
      <c r="F140" s="62">
        <v>46182</v>
      </c>
      <c r="G140" s="37" t="s">
        <v>268</v>
      </c>
      <c r="H140" s="36">
        <v>1107</v>
      </c>
      <c r="I140" s="63">
        <v>28338</v>
      </c>
      <c r="J140" s="24" t="s">
        <v>916</v>
      </c>
      <c r="K140" s="63">
        <f t="shared" si="50"/>
        <v>45818</v>
      </c>
      <c r="L140" s="55">
        <f t="shared" si="51"/>
        <v>0.04</v>
      </c>
      <c r="M140" s="76">
        <v>0.22500000000000001</v>
      </c>
      <c r="N140" s="62">
        <v>45818</v>
      </c>
      <c r="O140" s="62">
        <v>46182</v>
      </c>
      <c r="P140" s="63"/>
      <c r="Q140" s="63"/>
      <c r="R140" s="82">
        <v>47</v>
      </c>
      <c r="S140" s="63" t="str">
        <f>VLOOKUP(R140,SA!$B$5:$C$11,2,1)</f>
        <v>46-55</v>
      </c>
      <c r="T140" s="38" t="s">
        <v>97</v>
      </c>
      <c r="U140" s="24" t="s">
        <v>115</v>
      </c>
      <c r="V140" s="24">
        <v>300000</v>
      </c>
      <c r="W140" s="39">
        <f t="shared" si="52"/>
        <v>0</v>
      </c>
      <c r="X140" s="29">
        <f t="shared" si="53"/>
        <v>0</v>
      </c>
      <c r="Y140" s="40">
        <f t="shared" si="54"/>
        <v>365</v>
      </c>
      <c r="Z140" s="38">
        <f t="shared" si="49"/>
        <v>46081</v>
      </c>
      <c r="AA140" s="41">
        <f t="shared" si="55"/>
        <v>264</v>
      </c>
      <c r="AB140" s="24" t="s">
        <v>125</v>
      </c>
      <c r="AC140" s="41">
        <f t="shared" si="56"/>
        <v>9586.9925999999996</v>
      </c>
      <c r="AD140" s="41">
        <v>1</v>
      </c>
      <c r="AE140" s="72">
        <f>IFERROR(INDEX(SA!$C$4:$E$11,MATCH(Details!S140,SA!$C$4:$C$11,0),MATCH(Details!V140,SA!$C$4:$E$4,0)),0)*Y140/(F140-E140+1)</f>
        <v>8124.57</v>
      </c>
      <c r="AF140" s="41">
        <f t="shared" si="57"/>
        <v>0</v>
      </c>
      <c r="AG140" s="41">
        <f t="shared" si="58"/>
        <v>0</v>
      </c>
      <c r="AH140" s="41">
        <f t="shared" si="59"/>
        <v>1462.4225999999999</v>
      </c>
      <c r="AI140" s="60">
        <f t="shared" si="60"/>
        <v>324.9828</v>
      </c>
      <c r="AJ140" s="60">
        <f t="shared" si="61"/>
        <v>1828.0282500000001</v>
      </c>
      <c r="AK140" s="60">
        <f t="shared" si="62"/>
        <v>5876.4013150684932</v>
      </c>
      <c r="AL140" s="60">
        <f t="shared" si="63"/>
        <v>4319.1549665753428</v>
      </c>
      <c r="AM140" s="41">
        <f t="shared" si="64"/>
        <v>1652.4039834246571</v>
      </c>
      <c r="AN140" s="42">
        <f t="shared" si="65"/>
        <v>45715</v>
      </c>
      <c r="AO140" s="43">
        <f t="shared" si="66"/>
        <v>8124.57</v>
      </c>
    </row>
    <row r="141" spans="1:41" s="24" customFormat="1" ht="15.75" customHeight="1" x14ac:dyDescent="0.35">
      <c r="A141" s="36" t="s">
        <v>27</v>
      </c>
      <c r="B141" s="36">
        <v>202506</v>
      </c>
      <c r="C141" s="24" t="s">
        <v>128</v>
      </c>
      <c r="D141" s="24" t="s">
        <v>129</v>
      </c>
      <c r="E141" s="62">
        <v>45818</v>
      </c>
      <c r="F141" s="62">
        <v>46182</v>
      </c>
      <c r="G141" s="37" t="s">
        <v>269</v>
      </c>
      <c r="H141" s="36">
        <v>1107</v>
      </c>
      <c r="I141" s="63">
        <v>37192</v>
      </c>
      <c r="J141" s="24" t="s">
        <v>917</v>
      </c>
      <c r="K141" s="63">
        <f t="shared" si="50"/>
        <v>45818</v>
      </c>
      <c r="L141" s="55">
        <f t="shared" si="51"/>
        <v>0.04</v>
      </c>
      <c r="M141" s="76">
        <v>0.22500000000000001</v>
      </c>
      <c r="N141" s="62">
        <v>45818</v>
      </c>
      <c r="O141" s="62">
        <v>46182</v>
      </c>
      <c r="P141" s="63"/>
      <c r="Q141" s="63"/>
      <c r="R141" s="82">
        <v>23</v>
      </c>
      <c r="S141" s="63" t="str">
        <f>VLOOKUP(R141,SA!$B$5:$C$11,2,1)</f>
        <v>0-35</v>
      </c>
      <c r="T141" s="38" t="s">
        <v>97</v>
      </c>
      <c r="U141" s="24" t="s">
        <v>113</v>
      </c>
      <c r="V141" s="24">
        <v>300000</v>
      </c>
      <c r="W141" s="39">
        <f t="shared" si="52"/>
        <v>0</v>
      </c>
      <c r="X141" s="29">
        <f t="shared" si="53"/>
        <v>0</v>
      </c>
      <c r="Y141" s="40">
        <f t="shared" si="54"/>
        <v>365</v>
      </c>
      <c r="Z141" s="38">
        <f t="shared" si="49"/>
        <v>46081</v>
      </c>
      <c r="AA141" s="41">
        <f t="shared" si="55"/>
        <v>264</v>
      </c>
      <c r="AB141" s="24" t="s">
        <v>125</v>
      </c>
      <c r="AC141" s="41">
        <f t="shared" si="56"/>
        <v>3874.2114000000001</v>
      </c>
      <c r="AD141" s="41">
        <v>1</v>
      </c>
      <c r="AE141" s="72">
        <f>IFERROR(INDEX(SA!$C$4:$E$11,MATCH(Details!S141,SA!$C$4:$C$11,0),MATCH(Details!V141,SA!$C$4:$E$4,0)),0)*Y141/(F141-E141+1)</f>
        <v>3283.23</v>
      </c>
      <c r="AF141" s="41">
        <f t="shared" si="57"/>
        <v>0</v>
      </c>
      <c r="AG141" s="41">
        <f t="shared" si="58"/>
        <v>0</v>
      </c>
      <c r="AH141" s="41">
        <f t="shared" si="59"/>
        <v>590.98140000000001</v>
      </c>
      <c r="AI141" s="60">
        <f t="shared" si="60"/>
        <v>131.32920000000001</v>
      </c>
      <c r="AJ141" s="60">
        <f t="shared" si="61"/>
        <v>738.72675000000004</v>
      </c>
      <c r="AK141" s="60">
        <f t="shared" si="62"/>
        <v>2374.7197808219175</v>
      </c>
      <c r="AL141" s="60">
        <f t="shared" si="63"/>
        <v>1745.4190389041094</v>
      </c>
      <c r="AM141" s="41">
        <f t="shared" si="64"/>
        <v>667.7550110958905</v>
      </c>
      <c r="AN141" s="42">
        <f t="shared" si="65"/>
        <v>45715</v>
      </c>
      <c r="AO141" s="43">
        <f t="shared" si="66"/>
        <v>3283.23</v>
      </c>
    </row>
    <row r="142" spans="1:41" s="24" customFormat="1" ht="15.75" customHeight="1" x14ac:dyDescent="0.35">
      <c r="A142" s="36" t="s">
        <v>27</v>
      </c>
      <c r="B142" s="36">
        <v>202506</v>
      </c>
      <c r="C142" s="24" t="s">
        <v>128</v>
      </c>
      <c r="D142" s="24" t="s">
        <v>129</v>
      </c>
      <c r="E142" s="62">
        <v>45818</v>
      </c>
      <c r="F142" s="62">
        <v>46182</v>
      </c>
      <c r="G142" s="37" t="s">
        <v>270</v>
      </c>
      <c r="H142" s="36">
        <v>1109</v>
      </c>
      <c r="I142" s="63">
        <v>30802</v>
      </c>
      <c r="J142" s="24" t="s">
        <v>918</v>
      </c>
      <c r="K142" s="63">
        <f t="shared" si="50"/>
        <v>45818</v>
      </c>
      <c r="L142" s="55">
        <f t="shared" si="51"/>
        <v>0.04</v>
      </c>
      <c r="M142" s="76">
        <v>0.22500000000000001</v>
      </c>
      <c r="N142" s="62">
        <v>45818</v>
      </c>
      <c r="O142" s="62">
        <v>46182</v>
      </c>
      <c r="P142" s="63"/>
      <c r="Q142" s="63"/>
      <c r="R142" s="82">
        <v>41</v>
      </c>
      <c r="S142" s="63" t="str">
        <f>VLOOKUP(R142,SA!$B$5:$C$11,2,1)</f>
        <v>36-45</v>
      </c>
      <c r="T142" s="38" t="s">
        <v>96</v>
      </c>
      <c r="U142" s="24" t="s">
        <v>56</v>
      </c>
      <c r="V142" s="24">
        <v>300000</v>
      </c>
      <c r="W142" s="39">
        <f t="shared" si="52"/>
        <v>300000</v>
      </c>
      <c r="X142" s="29">
        <f t="shared" si="53"/>
        <v>1</v>
      </c>
      <c r="Y142" s="40">
        <f t="shared" si="54"/>
        <v>365</v>
      </c>
      <c r="Z142" s="38">
        <f t="shared" si="49"/>
        <v>46081</v>
      </c>
      <c r="AA142" s="41">
        <f t="shared" si="55"/>
        <v>264</v>
      </c>
      <c r="AB142" s="24" t="s">
        <v>125</v>
      </c>
      <c r="AC142" s="41">
        <f t="shared" si="56"/>
        <v>5017.3245999999999</v>
      </c>
      <c r="AD142" s="41">
        <v>1</v>
      </c>
      <c r="AE142" s="72">
        <f>IFERROR(INDEX(SA!$C$4:$E$11,MATCH(Details!S142,SA!$C$4:$C$11,0),MATCH(Details!V142,SA!$C$4:$E$4,0)),0)*Y142/(F142-E142+1)</f>
        <v>4251.97</v>
      </c>
      <c r="AF142" s="41">
        <f t="shared" si="57"/>
        <v>0</v>
      </c>
      <c r="AG142" s="41">
        <f t="shared" si="58"/>
        <v>0</v>
      </c>
      <c r="AH142" s="41">
        <f t="shared" si="59"/>
        <v>765.3546</v>
      </c>
      <c r="AI142" s="60">
        <f t="shared" si="60"/>
        <v>170.0788</v>
      </c>
      <c r="AJ142" s="60">
        <f t="shared" si="61"/>
        <v>956.69325000000003</v>
      </c>
      <c r="AK142" s="60">
        <f t="shared" si="62"/>
        <v>3075.397479452055</v>
      </c>
      <c r="AL142" s="60">
        <f t="shared" si="63"/>
        <v>2260.4171473972606</v>
      </c>
      <c r="AM142" s="41">
        <f t="shared" si="64"/>
        <v>864.78080260273941</v>
      </c>
      <c r="AN142" s="42">
        <f t="shared" si="65"/>
        <v>45715</v>
      </c>
      <c r="AO142" s="43">
        <f t="shared" si="66"/>
        <v>4251.97</v>
      </c>
    </row>
    <row r="143" spans="1:41" s="24" customFormat="1" ht="15.75" customHeight="1" x14ac:dyDescent="0.35">
      <c r="A143" s="36" t="s">
        <v>27</v>
      </c>
      <c r="B143" s="36">
        <v>202506</v>
      </c>
      <c r="C143" s="24" t="s">
        <v>128</v>
      </c>
      <c r="D143" s="24" t="s">
        <v>129</v>
      </c>
      <c r="E143" s="62">
        <v>45818</v>
      </c>
      <c r="F143" s="62">
        <v>46182</v>
      </c>
      <c r="G143" s="37" t="s">
        <v>271</v>
      </c>
      <c r="H143" s="36">
        <v>1109</v>
      </c>
      <c r="I143" s="63">
        <v>38696</v>
      </c>
      <c r="J143" s="24" t="s">
        <v>919</v>
      </c>
      <c r="K143" s="63">
        <f t="shared" si="50"/>
        <v>45818</v>
      </c>
      <c r="L143" s="55">
        <f t="shared" si="51"/>
        <v>0.04</v>
      </c>
      <c r="M143" s="76">
        <v>0.22500000000000001</v>
      </c>
      <c r="N143" s="62">
        <v>45818</v>
      </c>
      <c r="O143" s="62">
        <v>46182</v>
      </c>
      <c r="P143" s="63"/>
      <c r="Q143" s="63"/>
      <c r="R143" s="82">
        <v>19</v>
      </c>
      <c r="S143" s="63" t="str">
        <f>VLOOKUP(R143,SA!$B$5:$C$11,2,1)</f>
        <v>0-35</v>
      </c>
      <c r="T143" s="38" t="s">
        <v>97</v>
      </c>
      <c r="U143" s="24" t="s">
        <v>113</v>
      </c>
      <c r="V143" s="24">
        <v>300000</v>
      </c>
      <c r="W143" s="39">
        <f t="shared" si="52"/>
        <v>0</v>
      </c>
      <c r="X143" s="29">
        <f t="shared" si="53"/>
        <v>0</v>
      </c>
      <c r="Y143" s="40">
        <f t="shared" si="54"/>
        <v>365</v>
      </c>
      <c r="Z143" s="38">
        <f t="shared" si="49"/>
        <v>46081</v>
      </c>
      <c r="AA143" s="41">
        <f t="shared" si="55"/>
        <v>264</v>
      </c>
      <c r="AB143" s="24" t="s">
        <v>125</v>
      </c>
      <c r="AC143" s="41">
        <f t="shared" si="56"/>
        <v>3874.2114000000001</v>
      </c>
      <c r="AD143" s="41">
        <v>1</v>
      </c>
      <c r="AE143" s="72">
        <f>IFERROR(INDEX(SA!$C$4:$E$11,MATCH(Details!S143,SA!$C$4:$C$11,0),MATCH(Details!V143,SA!$C$4:$E$4,0)),0)*Y143/(F143-E143+1)</f>
        <v>3283.23</v>
      </c>
      <c r="AF143" s="41">
        <f t="shared" si="57"/>
        <v>0</v>
      </c>
      <c r="AG143" s="41">
        <f t="shared" si="58"/>
        <v>0</v>
      </c>
      <c r="AH143" s="41">
        <f t="shared" si="59"/>
        <v>590.98140000000001</v>
      </c>
      <c r="AI143" s="60">
        <f t="shared" si="60"/>
        <v>131.32920000000001</v>
      </c>
      <c r="AJ143" s="60">
        <f t="shared" si="61"/>
        <v>738.72675000000004</v>
      </c>
      <c r="AK143" s="60">
        <f t="shared" si="62"/>
        <v>2374.7197808219175</v>
      </c>
      <c r="AL143" s="60">
        <f t="shared" si="63"/>
        <v>1745.4190389041094</v>
      </c>
      <c r="AM143" s="41">
        <f t="shared" si="64"/>
        <v>667.7550110958905</v>
      </c>
      <c r="AN143" s="42">
        <f t="shared" si="65"/>
        <v>45715</v>
      </c>
      <c r="AO143" s="43">
        <f t="shared" si="66"/>
        <v>3283.23</v>
      </c>
    </row>
    <row r="144" spans="1:41" s="24" customFormat="1" ht="15.75" customHeight="1" x14ac:dyDescent="0.35">
      <c r="A144" s="36" t="s">
        <v>27</v>
      </c>
      <c r="B144" s="36">
        <v>202506</v>
      </c>
      <c r="C144" s="24" t="s">
        <v>128</v>
      </c>
      <c r="D144" s="24" t="s">
        <v>129</v>
      </c>
      <c r="E144" s="62">
        <v>45818</v>
      </c>
      <c r="F144" s="62">
        <v>46182</v>
      </c>
      <c r="G144" s="37" t="s">
        <v>272</v>
      </c>
      <c r="H144" s="36">
        <v>1109</v>
      </c>
      <c r="I144" s="63">
        <v>39481</v>
      </c>
      <c r="J144" s="24" t="s">
        <v>920</v>
      </c>
      <c r="K144" s="63">
        <f t="shared" si="50"/>
        <v>45818</v>
      </c>
      <c r="L144" s="55">
        <f t="shared" si="51"/>
        <v>0.04</v>
      </c>
      <c r="M144" s="76">
        <v>0.22500000000000001</v>
      </c>
      <c r="N144" s="62">
        <v>45818</v>
      </c>
      <c r="O144" s="62">
        <v>46182</v>
      </c>
      <c r="P144" s="63"/>
      <c r="Q144" s="63"/>
      <c r="R144" s="82">
        <v>17</v>
      </c>
      <c r="S144" s="63" t="str">
        <f>VLOOKUP(R144,SA!$B$5:$C$11,2,1)</f>
        <v>0-35</v>
      </c>
      <c r="T144" s="38" t="s">
        <v>96</v>
      </c>
      <c r="U144" s="24" t="s">
        <v>114</v>
      </c>
      <c r="V144" s="24">
        <v>300000</v>
      </c>
      <c r="W144" s="39">
        <f t="shared" si="52"/>
        <v>0</v>
      </c>
      <c r="X144" s="29">
        <f t="shared" si="53"/>
        <v>0</v>
      </c>
      <c r="Y144" s="40">
        <f t="shared" si="54"/>
        <v>365</v>
      </c>
      <c r="Z144" s="38">
        <f t="shared" si="49"/>
        <v>46081</v>
      </c>
      <c r="AA144" s="41">
        <f t="shared" si="55"/>
        <v>264</v>
      </c>
      <c r="AB144" s="24" t="s">
        <v>125</v>
      </c>
      <c r="AC144" s="41">
        <f t="shared" si="56"/>
        <v>3874.2114000000001</v>
      </c>
      <c r="AD144" s="41">
        <v>1</v>
      </c>
      <c r="AE144" s="72">
        <f>IFERROR(INDEX(SA!$C$4:$E$11,MATCH(Details!S144,SA!$C$4:$C$11,0),MATCH(Details!V144,SA!$C$4:$E$4,0)),0)*Y144/(F144-E144+1)</f>
        <v>3283.23</v>
      </c>
      <c r="AF144" s="41">
        <f t="shared" si="57"/>
        <v>0</v>
      </c>
      <c r="AG144" s="41">
        <f t="shared" si="58"/>
        <v>0</v>
      </c>
      <c r="AH144" s="41">
        <f t="shared" si="59"/>
        <v>590.98140000000001</v>
      </c>
      <c r="AI144" s="60">
        <f t="shared" si="60"/>
        <v>131.32920000000001</v>
      </c>
      <c r="AJ144" s="60">
        <f t="shared" si="61"/>
        <v>738.72675000000004</v>
      </c>
      <c r="AK144" s="60">
        <f t="shared" si="62"/>
        <v>2374.7197808219175</v>
      </c>
      <c r="AL144" s="60">
        <f t="shared" si="63"/>
        <v>1745.4190389041094</v>
      </c>
      <c r="AM144" s="41">
        <f t="shared" si="64"/>
        <v>667.7550110958905</v>
      </c>
      <c r="AN144" s="42">
        <f t="shared" si="65"/>
        <v>45715</v>
      </c>
      <c r="AO144" s="43">
        <f t="shared" si="66"/>
        <v>3283.23</v>
      </c>
    </row>
    <row r="145" spans="1:41" s="24" customFormat="1" ht="15.75" customHeight="1" x14ac:dyDescent="0.35">
      <c r="A145" s="36" t="s">
        <v>27</v>
      </c>
      <c r="B145" s="36">
        <v>202506</v>
      </c>
      <c r="C145" s="24" t="s">
        <v>128</v>
      </c>
      <c r="D145" s="24" t="s">
        <v>129</v>
      </c>
      <c r="E145" s="62">
        <v>45818</v>
      </c>
      <c r="F145" s="62">
        <v>46182</v>
      </c>
      <c r="G145" s="37" t="s">
        <v>273</v>
      </c>
      <c r="H145" s="36">
        <v>1109</v>
      </c>
      <c r="I145" s="63">
        <v>31709</v>
      </c>
      <c r="J145" s="24" t="s">
        <v>921</v>
      </c>
      <c r="K145" s="63">
        <f t="shared" si="50"/>
        <v>45818</v>
      </c>
      <c r="L145" s="55">
        <f t="shared" si="51"/>
        <v>0.04</v>
      </c>
      <c r="M145" s="76">
        <v>0.22500000000000001</v>
      </c>
      <c r="N145" s="62">
        <v>45818</v>
      </c>
      <c r="O145" s="62">
        <v>46182</v>
      </c>
      <c r="P145" s="63"/>
      <c r="Q145" s="63"/>
      <c r="R145" s="82">
        <v>38</v>
      </c>
      <c r="S145" s="63" t="str">
        <f>VLOOKUP(R145,SA!$B$5:$C$11,2,1)</f>
        <v>36-45</v>
      </c>
      <c r="T145" s="38" t="s">
        <v>97</v>
      </c>
      <c r="U145" s="24" t="s">
        <v>115</v>
      </c>
      <c r="V145" s="24">
        <v>300000</v>
      </c>
      <c r="W145" s="39">
        <f t="shared" si="52"/>
        <v>0</v>
      </c>
      <c r="X145" s="29">
        <f t="shared" si="53"/>
        <v>0</v>
      </c>
      <c r="Y145" s="40">
        <f t="shared" si="54"/>
        <v>365</v>
      </c>
      <c r="Z145" s="38">
        <f t="shared" si="49"/>
        <v>46081</v>
      </c>
      <c r="AA145" s="41">
        <f t="shared" si="55"/>
        <v>264</v>
      </c>
      <c r="AB145" s="24" t="s">
        <v>125</v>
      </c>
      <c r="AC145" s="41">
        <f t="shared" si="56"/>
        <v>5017.3245999999999</v>
      </c>
      <c r="AD145" s="41">
        <v>1</v>
      </c>
      <c r="AE145" s="72">
        <f>IFERROR(INDEX(SA!$C$4:$E$11,MATCH(Details!S145,SA!$C$4:$C$11,0),MATCH(Details!V145,SA!$C$4:$E$4,0)),0)*Y145/(F145-E145+1)</f>
        <v>4251.97</v>
      </c>
      <c r="AF145" s="41">
        <f t="shared" si="57"/>
        <v>0</v>
      </c>
      <c r="AG145" s="41">
        <f t="shared" si="58"/>
        <v>0</v>
      </c>
      <c r="AH145" s="41">
        <f t="shared" si="59"/>
        <v>765.3546</v>
      </c>
      <c r="AI145" s="60">
        <f t="shared" si="60"/>
        <v>170.0788</v>
      </c>
      <c r="AJ145" s="60">
        <f t="shared" si="61"/>
        <v>956.69325000000003</v>
      </c>
      <c r="AK145" s="60">
        <f t="shared" si="62"/>
        <v>3075.397479452055</v>
      </c>
      <c r="AL145" s="60">
        <f t="shared" si="63"/>
        <v>2260.4171473972606</v>
      </c>
      <c r="AM145" s="41">
        <f t="shared" si="64"/>
        <v>864.78080260273941</v>
      </c>
      <c r="AN145" s="42">
        <f t="shared" si="65"/>
        <v>45715</v>
      </c>
      <c r="AO145" s="43">
        <f t="shared" si="66"/>
        <v>4251.97</v>
      </c>
    </row>
    <row r="146" spans="1:41" s="24" customFormat="1" ht="15.75" customHeight="1" x14ac:dyDescent="0.35">
      <c r="A146" s="36" t="s">
        <v>27</v>
      </c>
      <c r="B146" s="36">
        <v>202506</v>
      </c>
      <c r="C146" s="24" t="s">
        <v>128</v>
      </c>
      <c r="D146" s="24" t="s">
        <v>129</v>
      </c>
      <c r="E146" s="62">
        <v>45818</v>
      </c>
      <c r="F146" s="62">
        <v>46182</v>
      </c>
      <c r="G146" s="37" t="s">
        <v>274</v>
      </c>
      <c r="H146" s="36">
        <v>1112</v>
      </c>
      <c r="I146" s="63">
        <v>30539</v>
      </c>
      <c r="J146" s="24" t="s">
        <v>922</v>
      </c>
      <c r="K146" s="63">
        <f t="shared" si="50"/>
        <v>45818</v>
      </c>
      <c r="L146" s="55">
        <f t="shared" si="51"/>
        <v>0.04</v>
      </c>
      <c r="M146" s="76">
        <v>0.22500000000000001</v>
      </c>
      <c r="N146" s="62">
        <v>45818</v>
      </c>
      <c r="O146" s="62">
        <v>46182</v>
      </c>
      <c r="P146" s="63"/>
      <c r="Q146" s="63"/>
      <c r="R146" s="82">
        <v>41</v>
      </c>
      <c r="S146" s="63" t="str">
        <f>VLOOKUP(R146,SA!$B$5:$C$11,2,1)</f>
        <v>36-45</v>
      </c>
      <c r="T146" s="38" t="s">
        <v>96</v>
      </c>
      <c r="U146" s="24" t="s">
        <v>56</v>
      </c>
      <c r="V146" s="24">
        <v>300000</v>
      </c>
      <c r="W146" s="39">
        <f t="shared" si="52"/>
        <v>300000</v>
      </c>
      <c r="X146" s="29">
        <f t="shared" si="53"/>
        <v>1</v>
      </c>
      <c r="Y146" s="40">
        <f t="shared" si="54"/>
        <v>365</v>
      </c>
      <c r="Z146" s="38">
        <f t="shared" si="49"/>
        <v>46081</v>
      </c>
      <c r="AA146" s="41">
        <f t="shared" si="55"/>
        <v>264</v>
      </c>
      <c r="AB146" s="24" t="s">
        <v>125</v>
      </c>
      <c r="AC146" s="41">
        <f t="shared" si="56"/>
        <v>5017.3245999999999</v>
      </c>
      <c r="AD146" s="41">
        <v>1</v>
      </c>
      <c r="AE146" s="72">
        <f>IFERROR(INDEX(SA!$C$4:$E$11,MATCH(Details!S146,SA!$C$4:$C$11,0),MATCH(Details!V146,SA!$C$4:$E$4,0)),0)*Y146/(F146-E146+1)</f>
        <v>4251.97</v>
      </c>
      <c r="AF146" s="41">
        <f t="shared" si="57"/>
        <v>0</v>
      </c>
      <c r="AG146" s="41">
        <f t="shared" si="58"/>
        <v>0</v>
      </c>
      <c r="AH146" s="41">
        <f t="shared" si="59"/>
        <v>765.3546</v>
      </c>
      <c r="AI146" s="60">
        <f t="shared" si="60"/>
        <v>170.0788</v>
      </c>
      <c r="AJ146" s="60">
        <f t="shared" si="61"/>
        <v>956.69325000000003</v>
      </c>
      <c r="AK146" s="60">
        <f t="shared" si="62"/>
        <v>3075.397479452055</v>
      </c>
      <c r="AL146" s="60">
        <f t="shared" si="63"/>
        <v>2260.4171473972606</v>
      </c>
      <c r="AM146" s="41">
        <f t="shared" si="64"/>
        <v>864.78080260273941</v>
      </c>
      <c r="AN146" s="42">
        <f t="shared" si="65"/>
        <v>45715</v>
      </c>
      <c r="AO146" s="43">
        <f t="shared" si="66"/>
        <v>4251.97</v>
      </c>
    </row>
    <row r="147" spans="1:41" s="24" customFormat="1" ht="15.75" customHeight="1" x14ac:dyDescent="0.35">
      <c r="A147" s="36" t="s">
        <v>27</v>
      </c>
      <c r="B147" s="36">
        <v>202506</v>
      </c>
      <c r="C147" s="24" t="s">
        <v>128</v>
      </c>
      <c r="D147" s="24" t="s">
        <v>129</v>
      </c>
      <c r="E147" s="62">
        <v>45818</v>
      </c>
      <c r="F147" s="62">
        <v>46182</v>
      </c>
      <c r="G147" s="37" t="s">
        <v>275</v>
      </c>
      <c r="H147" s="36">
        <v>1112</v>
      </c>
      <c r="I147" s="63">
        <v>41856</v>
      </c>
      <c r="J147" s="24" t="s">
        <v>923</v>
      </c>
      <c r="K147" s="63">
        <f t="shared" si="50"/>
        <v>45818</v>
      </c>
      <c r="L147" s="55">
        <f t="shared" si="51"/>
        <v>0.04</v>
      </c>
      <c r="M147" s="76">
        <v>0.22500000000000001</v>
      </c>
      <c r="N147" s="62">
        <v>45818</v>
      </c>
      <c r="O147" s="62">
        <v>46182</v>
      </c>
      <c r="P147" s="63"/>
      <c r="Q147" s="63"/>
      <c r="R147" s="82">
        <v>10</v>
      </c>
      <c r="S147" s="63" t="str">
        <f>VLOOKUP(R147,SA!$B$5:$C$11,2,1)</f>
        <v>0-35</v>
      </c>
      <c r="T147" s="38" t="s">
        <v>97</v>
      </c>
      <c r="U147" s="24" t="s">
        <v>113</v>
      </c>
      <c r="V147" s="24">
        <v>300000</v>
      </c>
      <c r="W147" s="39">
        <f t="shared" si="52"/>
        <v>0</v>
      </c>
      <c r="X147" s="29">
        <f t="shared" si="53"/>
        <v>0</v>
      </c>
      <c r="Y147" s="40">
        <f t="shared" si="54"/>
        <v>365</v>
      </c>
      <c r="Z147" s="38">
        <f t="shared" si="49"/>
        <v>46081</v>
      </c>
      <c r="AA147" s="41">
        <f t="shared" si="55"/>
        <v>264</v>
      </c>
      <c r="AB147" s="24" t="s">
        <v>125</v>
      </c>
      <c r="AC147" s="41">
        <f t="shared" si="56"/>
        <v>3874.2114000000001</v>
      </c>
      <c r="AD147" s="41">
        <v>1</v>
      </c>
      <c r="AE147" s="72">
        <f>IFERROR(INDEX(SA!$C$4:$E$11,MATCH(Details!S147,SA!$C$4:$C$11,0),MATCH(Details!V147,SA!$C$4:$E$4,0)),0)*Y147/(F147-E147+1)</f>
        <v>3283.23</v>
      </c>
      <c r="AF147" s="41">
        <f t="shared" si="57"/>
        <v>0</v>
      </c>
      <c r="AG147" s="41">
        <f t="shared" si="58"/>
        <v>0</v>
      </c>
      <c r="AH147" s="41">
        <f t="shared" si="59"/>
        <v>590.98140000000001</v>
      </c>
      <c r="AI147" s="60">
        <f t="shared" si="60"/>
        <v>131.32920000000001</v>
      </c>
      <c r="AJ147" s="60">
        <f t="shared" si="61"/>
        <v>738.72675000000004</v>
      </c>
      <c r="AK147" s="60">
        <f t="shared" si="62"/>
        <v>2374.7197808219175</v>
      </c>
      <c r="AL147" s="60">
        <f t="shared" si="63"/>
        <v>1745.4190389041094</v>
      </c>
      <c r="AM147" s="41">
        <f t="shared" si="64"/>
        <v>667.7550110958905</v>
      </c>
      <c r="AN147" s="42">
        <f t="shared" si="65"/>
        <v>45715</v>
      </c>
      <c r="AO147" s="43">
        <f t="shared" si="66"/>
        <v>3283.23</v>
      </c>
    </row>
    <row r="148" spans="1:41" s="24" customFormat="1" ht="15.75" customHeight="1" x14ac:dyDescent="0.35">
      <c r="A148" s="36" t="s">
        <v>27</v>
      </c>
      <c r="B148" s="36">
        <v>202506</v>
      </c>
      <c r="C148" s="24" t="s">
        <v>128</v>
      </c>
      <c r="D148" s="24" t="s">
        <v>129</v>
      </c>
      <c r="E148" s="62">
        <v>45818</v>
      </c>
      <c r="F148" s="62">
        <v>46182</v>
      </c>
      <c r="G148" s="37" t="s">
        <v>276</v>
      </c>
      <c r="H148" s="36">
        <v>1112</v>
      </c>
      <c r="I148" s="63">
        <v>31453</v>
      </c>
      <c r="J148" s="24" t="s">
        <v>924</v>
      </c>
      <c r="K148" s="63">
        <f t="shared" si="50"/>
        <v>45818</v>
      </c>
      <c r="L148" s="55">
        <f t="shared" si="51"/>
        <v>0.04</v>
      </c>
      <c r="M148" s="76">
        <v>0.22500000000000001</v>
      </c>
      <c r="N148" s="62">
        <v>45818</v>
      </c>
      <c r="O148" s="62">
        <v>46182</v>
      </c>
      <c r="P148" s="63"/>
      <c r="Q148" s="63"/>
      <c r="R148" s="82">
        <v>39</v>
      </c>
      <c r="S148" s="63" t="str">
        <f>VLOOKUP(R148,SA!$B$5:$C$11,2,1)</f>
        <v>36-45</v>
      </c>
      <c r="T148" s="38" t="s">
        <v>97</v>
      </c>
      <c r="U148" s="24" t="s">
        <v>115</v>
      </c>
      <c r="V148" s="24">
        <v>300000</v>
      </c>
      <c r="W148" s="39">
        <f t="shared" si="52"/>
        <v>0</v>
      </c>
      <c r="X148" s="29">
        <f t="shared" si="53"/>
        <v>0</v>
      </c>
      <c r="Y148" s="40">
        <f t="shared" si="54"/>
        <v>365</v>
      </c>
      <c r="Z148" s="38">
        <f t="shared" si="49"/>
        <v>46081</v>
      </c>
      <c r="AA148" s="41">
        <f t="shared" si="55"/>
        <v>264</v>
      </c>
      <c r="AB148" s="24" t="s">
        <v>125</v>
      </c>
      <c r="AC148" s="41">
        <f t="shared" si="56"/>
        <v>5017.3245999999999</v>
      </c>
      <c r="AD148" s="41">
        <v>1</v>
      </c>
      <c r="AE148" s="72">
        <f>IFERROR(INDEX(SA!$C$4:$E$11,MATCH(Details!S148,SA!$C$4:$C$11,0),MATCH(Details!V148,SA!$C$4:$E$4,0)),0)*Y148/(F148-E148+1)</f>
        <v>4251.97</v>
      </c>
      <c r="AF148" s="41">
        <f t="shared" si="57"/>
        <v>0</v>
      </c>
      <c r="AG148" s="41">
        <f t="shared" si="58"/>
        <v>0</v>
      </c>
      <c r="AH148" s="41">
        <f t="shared" si="59"/>
        <v>765.3546</v>
      </c>
      <c r="AI148" s="60">
        <f t="shared" si="60"/>
        <v>170.0788</v>
      </c>
      <c r="AJ148" s="60">
        <f t="shared" si="61"/>
        <v>956.69325000000003</v>
      </c>
      <c r="AK148" s="60">
        <f t="shared" si="62"/>
        <v>3075.397479452055</v>
      </c>
      <c r="AL148" s="60">
        <f t="shared" si="63"/>
        <v>2260.4171473972606</v>
      </c>
      <c r="AM148" s="41">
        <f t="shared" si="64"/>
        <v>864.78080260273941</v>
      </c>
      <c r="AN148" s="42">
        <f t="shared" si="65"/>
        <v>45715</v>
      </c>
      <c r="AO148" s="43">
        <f t="shared" si="66"/>
        <v>4251.97</v>
      </c>
    </row>
    <row r="149" spans="1:41" s="24" customFormat="1" ht="15.75" customHeight="1" x14ac:dyDescent="0.35">
      <c r="A149" s="36" t="s">
        <v>27</v>
      </c>
      <c r="B149" s="36">
        <v>202506</v>
      </c>
      <c r="C149" s="24" t="s">
        <v>128</v>
      </c>
      <c r="D149" s="24" t="s">
        <v>129</v>
      </c>
      <c r="E149" s="62">
        <v>45818</v>
      </c>
      <c r="F149" s="62">
        <v>46182</v>
      </c>
      <c r="G149" s="37" t="s">
        <v>277</v>
      </c>
      <c r="H149" s="36">
        <v>1112</v>
      </c>
      <c r="I149" s="63">
        <v>42765</v>
      </c>
      <c r="J149" s="24" t="s">
        <v>925</v>
      </c>
      <c r="K149" s="63">
        <f t="shared" si="50"/>
        <v>45818</v>
      </c>
      <c r="L149" s="55">
        <f t="shared" si="51"/>
        <v>0.04</v>
      </c>
      <c r="M149" s="76">
        <v>0.22500000000000001</v>
      </c>
      <c r="N149" s="62">
        <v>45818</v>
      </c>
      <c r="O149" s="62">
        <v>46182</v>
      </c>
      <c r="P149" s="63"/>
      <c r="Q149" s="63"/>
      <c r="R149" s="82">
        <v>8</v>
      </c>
      <c r="S149" s="63" t="str">
        <f>VLOOKUP(R149,SA!$B$5:$C$11,2,1)</f>
        <v>0-35</v>
      </c>
      <c r="T149" s="38" t="s">
        <v>96</v>
      </c>
      <c r="U149" s="24" t="s">
        <v>114</v>
      </c>
      <c r="V149" s="24">
        <v>300000</v>
      </c>
      <c r="W149" s="39">
        <f t="shared" si="52"/>
        <v>0</v>
      </c>
      <c r="X149" s="29">
        <f t="shared" si="53"/>
        <v>0</v>
      </c>
      <c r="Y149" s="40">
        <f t="shared" si="54"/>
        <v>365</v>
      </c>
      <c r="Z149" s="38">
        <f t="shared" si="49"/>
        <v>46081</v>
      </c>
      <c r="AA149" s="41">
        <f t="shared" si="55"/>
        <v>264</v>
      </c>
      <c r="AB149" s="24" t="s">
        <v>125</v>
      </c>
      <c r="AC149" s="41">
        <f t="shared" si="56"/>
        <v>3874.2114000000001</v>
      </c>
      <c r="AD149" s="41">
        <v>1</v>
      </c>
      <c r="AE149" s="72">
        <f>IFERROR(INDEX(SA!$C$4:$E$11,MATCH(Details!S149,SA!$C$4:$C$11,0),MATCH(Details!V149,SA!$C$4:$E$4,0)),0)*Y149/(F149-E149+1)</f>
        <v>3283.23</v>
      </c>
      <c r="AF149" s="41">
        <f t="shared" si="57"/>
        <v>0</v>
      </c>
      <c r="AG149" s="41">
        <f t="shared" si="58"/>
        <v>0</v>
      </c>
      <c r="AH149" s="41">
        <f t="shared" si="59"/>
        <v>590.98140000000001</v>
      </c>
      <c r="AI149" s="60">
        <f t="shared" si="60"/>
        <v>131.32920000000001</v>
      </c>
      <c r="AJ149" s="60">
        <f t="shared" si="61"/>
        <v>738.72675000000004</v>
      </c>
      <c r="AK149" s="60">
        <f t="shared" si="62"/>
        <v>2374.7197808219175</v>
      </c>
      <c r="AL149" s="60">
        <f t="shared" si="63"/>
        <v>1745.4190389041094</v>
      </c>
      <c r="AM149" s="41">
        <f t="shared" si="64"/>
        <v>667.7550110958905</v>
      </c>
      <c r="AN149" s="42">
        <f t="shared" si="65"/>
        <v>45715</v>
      </c>
      <c r="AO149" s="43">
        <f t="shared" si="66"/>
        <v>3283.23</v>
      </c>
    </row>
    <row r="150" spans="1:41" s="24" customFormat="1" ht="15.75" customHeight="1" x14ac:dyDescent="0.35">
      <c r="A150" s="36" t="s">
        <v>27</v>
      </c>
      <c r="B150" s="36">
        <v>202506</v>
      </c>
      <c r="C150" s="24" t="s">
        <v>128</v>
      </c>
      <c r="D150" s="24" t="s">
        <v>129</v>
      </c>
      <c r="E150" s="62">
        <v>45818</v>
      </c>
      <c r="F150" s="62">
        <v>46182</v>
      </c>
      <c r="G150" s="37" t="s">
        <v>278</v>
      </c>
      <c r="H150" s="36">
        <v>1114</v>
      </c>
      <c r="I150" s="63">
        <v>31050</v>
      </c>
      <c r="J150" s="24" t="s">
        <v>926</v>
      </c>
      <c r="K150" s="63">
        <f t="shared" si="50"/>
        <v>45818</v>
      </c>
      <c r="L150" s="55">
        <f t="shared" si="51"/>
        <v>0.04</v>
      </c>
      <c r="M150" s="76">
        <v>0.22500000000000001</v>
      </c>
      <c r="N150" s="62">
        <v>45818</v>
      </c>
      <c r="O150" s="62">
        <v>46182</v>
      </c>
      <c r="P150" s="63"/>
      <c r="Q150" s="63"/>
      <c r="R150" s="82">
        <v>40</v>
      </c>
      <c r="S150" s="63" t="str">
        <f>VLOOKUP(R150,SA!$B$5:$C$11,2,1)</f>
        <v>36-45</v>
      </c>
      <c r="T150" s="38" t="s">
        <v>96</v>
      </c>
      <c r="U150" s="24" t="s">
        <v>56</v>
      </c>
      <c r="V150" s="24">
        <v>300000</v>
      </c>
      <c r="W150" s="39">
        <f t="shared" si="52"/>
        <v>300000</v>
      </c>
      <c r="X150" s="29">
        <f t="shared" si="53"/>
        <v>1</v>
      </c>
      <c r="Y150" s="40">
        <f t="shared" si="54"/>
        <v>365</v>
      </c>
      <c r="Z150" s="38">
        <f t="shared" si="49"/>
        <v>46081</v>
      </c>
      <c r="AA150" s="41">
        <f t="shared" si="55"/>
        <v>264</v>
      </c>
      <c r="AB150" s="24" t="s">
        <v>125</v>
      </c>
      <c r="AC150" s="41">
        <f t="shared" si="56"/>
        <v>5017.3245999999999</v>
      </c>
      <c r="AD150" s="41">
        <v>1</v>
      </c>
      <c r="AE150" s="72">
        <f>IFERROR(INDEX(SA!$C$4:$E$11,MATCH(Details!S150,SA!$C$4:$C$11,0),MATCH(Details!V150,SA!$C$4:$E$4,0)),0)*Y150/(F150-E150+1)</f>
        <v>4251.97</v>
      </c>
      <c r="AF150" s="41">
        <f t="shared" si="57"/>
        <v>0</v>
      </c>
      <c r="AG150" s="41">
        <f t="shared" si="58"/>
        <v>0</v>
      </c>
      <c r="AH150" s="41">
        <f t="shared" si="59"/>
        <v>765.3546</v>
      </c>
      <c r="AI150" s="60">
        <f t="shared" si="60"/>
        <v>170.0788</v>
      </c>
      <c r="AJ150" s="60">
        <f t="shared" si="61"/>
        <v>956.69325000000003</v>
      </c>
      <c r="AK150" s="60">
        <f t="shared" si="62"/>
        <v>3075.397479452055</v>
      </c>
      <c r="AL150" s="60">
        <f t="shared" si="63"/>
        <v>2260.4171473972606</v>
      </c>
      <c r="AM150" s="41">
        <f t="shared" si="64"/>
        <v>864.78080260273941</v>
      </c>
      <c r="AN150" s="42">
        <f t="shared" si="65"/>
        <v>45715</v>
      </c>
      <c r="AO150" s="43">
        <f t="shared" si="66"/>
        <v>4251.97</v>
      </c>
    </row>
    <row r="151" spans="1:41" s="24" customFormat="1" ht="15.75" customHeight="1" x14ac:dyDescent="0.35">
      <c r="A151" s="36" t="s">
        <v>27</v>
      </c>
      <c r="B151" s="36">
        <v>202506</v>
      </c>
      <c r="C151" s="24" t="s">
        <v>128</v>
      </c>
      <c r="D151" s="24" t="s">
        <v>129</v>
      </c>
      <c r="E151" s="62">
        <v>45818</v>
      </c>
      <c r="F151" s="62">
        <v>46182</v>
      </c>
      <c r="G151" s="37" t="s">
        <v>279</v>
      </c>
      <c r="H151" s="36">
        <v>1114</v>
      </c>
      <c r="I151" s="63">
        <v>32739</v>
      </c>
      <c r="J151" s="24" t="s">
        <v>927</v>
      </c>
      <c r="K151" s="63">
        <f t="shared" si="50"/>
        <v>45818</v>
      </c>
      <c r="L151" s="55">
        <f t="shared" si="51"/>
        <v>0.04</v>
      </c>
      <c r="M151" s="76">
        <v>0.22500000000000001</v>
      </c>
      <c r="N151" s="62">
        <v>45818</v>
      </c>
      <c r="O151" s="62">
        <v>46182</v>
      </c>
      <c r="P151" s="63"/>
      <c r="Q151" s="63"/>
      <c r="R151" s="82">
        <v>35</v>
      </c>
      <c r="S151" s="63" t="str">
        <f>VLOOKUP(R151,SA!$B$5:$C$11,2,1)</f>
        <v>0-35</v>
      </c>
      <c r="T151" s="38" t="s">
        <v>97</v>
      </c>
      <c r="U151" s="24" t="s">
        <v>115</v>
      </c>
      <c r="V151" s="24">
        <v>300000</v>
      </c>
      <c r="W151" s="39">
        <f t="shared" si="52"/>
        <v>0</v>
      </c>
      <c r="X151" s="29">
        <f t="shared" si="53"/>
        <v>0</v>
      </c>
      <c r="Y151" s="40">
        <f t="shared" si="54"/>
        <v>365</v>
      </c>
      <c r="Z151" s="38">
        <f t="shared" si="49"/>
        <v>46081</v>
      </c>
      <c r="AA151" s="41">
        <f t="shared" si="55"/>
        <v>264</v>
      </c>
      <c r="AB151" s="24" t="s">
        <v>125</v>
      </c>
      <c r="AC151" s="41">
        <f t="shared" si="56"/>
        <v>3874.2114000000001</v>
      </c>
      <c r="AD151" s="41">
        <v>1</v>
      </c>
      <c r="AE151" s="72">
        <f>IFERROR(INDEX(SA!$C$4:$E$11,MATCH(Details!S151,SA!$C$4:$C$11,0),MATCH(Details!V151,SA!$C$4:$E$4,0)),0)*Y151/(F151-E151+1)</f>
        <v>3283.23</v>
      </c>
      <c r="AF151" s="41">
        <f t="shared" si="57"/>
        <v>0</v>
      </c>
      <c r="AG151" s="41">
        <f t="shared" si="58"/>
        <v>0</v>
      </c>
      <c r="AH151" s="41">
        <f t="shared" si="59"/>
        <v>590.98140000000001</v>
      </c>
      <c r="AI151" s="60">
        <f t="shared" si="60"/>
        <v>131.32920000000001</v>
      </c>
      <c r="AJ151" s="60">
        <f t="shared" si="61"/>
        <v>738.72675000000004</v>
      </c>
      <c r="AK151" s="60">
        <f t="shared" si="62"/>
        <v>2374.7197808219175</v>
      </c>
      <c r="AL151" s="60">
        <f t="shared" si="63"/>
        <v>1745.4190389041094</v>
      </c>
      <c r="AM151" s="41">
        <f t="shared" si="64"/>
        <v>667.7550110958905</v>
      </c>
      <c r="AN151" s="42">
        <f t="shared" si="65"/>
        <v>45715</v>
      </c>
      <c r="AO151" s="43">
        <f t="shared" si="66"/>
        <v>3283.23</v>
      </c>
    </row>
    <row r="152" spans="1:41" s="24" customFormat="1" ht="15.75" customHeight="1" x14ac:dyDescent="0.35">
      <c r="A152" s="36" t="s">
        <v>27</v>
      </c>
      <c r="B152" s="36">
        <v>202506</v>
      </c>
      <c r="C152" s="24" t="s">
        <v>128</v>
      </c>
      <c r="D152" s="24" t="s">
        <v>129</v>
      </c>
      <c r="E152" s="62">
        <v>45818</v>
      </c>
      <c r="F152" s="62">
        <v>46182</v>
      </c>
      <c r="G152" s="37" t="s">
        <v>280</v>
      </c>
      <c r="H152" s="36">
        <v>1114</v>
      </c>
      <c r="I152" s="63">
        <v>42884</v>
      </c>
      <c r="J152" s="24" t="s">
        <v>928</v>
      </c>
      <c r="K152" s="63">
        <f t="shared" si="50"/>
        <v>45818</v>
      </c>
      <c r="L152" s="55">
        <f t="shared" si="51"/>
        <v>0.04</v>
      </c>
      <c r="M152" s="76">
        <v>0.22500000000000001</v>
      </c>
      <c r="N152" s="62">
        <v>45818</v>
      </c>
      <c r="O152" s="62">
        <v>46182</v>
      </c>
      <c r="P152" s="63"/>
      <c r="Q152" s="63"/>
      <c r="R152" s="82">
        <v>8</v>
      </c>
      <c r="S152" s="63" t="str">
        <f>VLOOKUP(R152,SA!$B$5:$C$11,2,1)</f>
        <v>0-35</v>
      </c>
      <c r="T152" s="38" t="s">
        <v>96</v>
      </c>
      <c r="U152" s="24" t="s">
        <v>114</v>
      </c>
      <c r="V152" s="24">
        <v>300000</v>
      </c>
      <c r="W152" s="39">
        <f t="shared" si="52"/>
        <v>0</v>
      </c>
      <c r="X152" s="29">
        <f t="shared" si="53"/>
        <v>0</v>
      </c>
      <c r="Y152" s="40">
        <f t="shared" si="54"/>
        <v>365</v>
      </c>
      <c r="Z152" s="38">
        <f t="shared" si="49"/>
        <v>46081</v>
      </c>
      <c r="AA152" s="41">
        <f t="shared" si="55"/>
        <v>264</v>
      </c>
      <c r="AB152" s="24" t="s">
        <v>125</v>
      </c>
      <c r="AC152" s="41">
        <f t="shared" si="56"/>
        <v>3874.2114000000001</v>
      </c>
      <c r="AD152" s="41">
        <v>1</v>
      </c>
      <c r="AE152" s="72">
        <f>IFERROR(INDEX(SA!$C$4:$E$11,MATCH(Details!S152,SA!$C$4:$C$11,0),MATCH(Details!V152,SA!$C$4:$E$4,0)),0)*Y152/(F152-E152+1)</f>
        <v>3283.23</v>
      </c>
      <c r="AF152" s="41">
        <f t="shared" si="57"/>
        <v>0</v>
      </c>
      <c r="AG152" s="41">
        <f t="shared" si="58"/>
        <v>0</v>
      </c>
      <c r="AH152" s="41">
        <f t="shared" si="59"/>
        <v>590.98140000000001</v>
      </c>
      <c r="AI152" s="60">
        <f t="shared" si="60"/>
        <v>131.32920000000001</v>
      </c>
      <c r="AJ152" s="60">
        <f t="shared" si="61"/>
        <v>738.72675000000004</v>
      </c>
      <c r="AK152" s="60">
        <f t="shared" si="62"/>
        <v>2374.7197808219175</v>
      </c>
      <c r="AL152" s="60">
        <f t="shared" si="63"/>
        <v>1745.4190389041094</v>
      </c>
      <c r="AM152" s="41">
        <f t="shared" si="64"/>
        <v>667.7550110958905</v>
      </c>
      <c r="AN152" s="42">
        <f t="shared" si="65"/>
        <v>45715</v>
      </c>
      <c r="AO152" s="43">
        <f t="shared" si="66"/>
        <v>3283.23</v>
      </c>
    </row>
    <row r="153" spans="1:41" s="24" customFormat="1" ht="15.75" customHeight="1" x14ac:dyDescent="0.35">
      <c r="A153" s="36" t="s">
        <v>27</v>
      </c>
      <c r="B153" s="36">
        <v>202506</v>
      </c>
      <c r="C153" s="24" t="s">
        <v>128</v>
      </c>
      <c r="D153" s="24" t="s">
        <v>129</v>
      </c>
      <c r="E153" s="62">
        <v>45818</v>
      </c>
      <c r="F153" s="62">
        <v>46182</v>
      </c>
      <c r="G153" s="37" t="s">
        <v>281</v>
      </c>
      <c r="H153" s="36">
        <v>1114</v>
      </c>
      <c r="I153" s="63">
        <v>40232</v>
      </c>
      <c r="J153" s="24" t="s">
        <v>929</v>
      </c>
      <c r="K153" s="63">
        <f t="shared" si="50"/>
        <v>45818</v>
      </c>
      <c r="L153" s="55">
        <f t="shared" si="51"/>
        <v>0.04</v>
      </c>
      <c r="M153" s="76">
        <v>0.22500000000000001</v>
      </c>
      <c r="N153" s="62">
        <v>45818</v>
      </c>
      <c r="O153" s="62">
        <v>46182</v>
      </c>
      <c r="P153" s="63"/>
      <c r="Q153" s="63"/>
      <c r="R153" s="82">
        <v>15</v>
      </c>
      <c r="S153" s="63" t="str">
        <f>VLOOKUP(R153,SA!$B$5:$C$11,2,1)</f>
        <v>0-35</v>
      </c>
      <c r="T153" s="38" t="s">
        <v>96</v>
      </c>
      <c r="U153" s="24" t="s">
        <v>114</v>
      </c>
      <c r="V153" s="24">
        <v>300000</v>
      </c>
      <c r="W153" s="39">
        <f t="shared" si="52"/>
        <v>0</v>
      </c>
      <c r="X153" s="29">
        <f t="shared" si="53"/>
        <v>0</v>
      </c>
      <c r="Y153" s="40">
        <f t="shared" si="54"/>
        <v>365</v>
      </c>
      <c r="Z153" s="38">
        <f t="shared" si="49"/>
        <v>46081</v>
      </c>
      <c r="AA153" s="41">
        <f t="shared" si="55"/>
        <v>264</v>
      </c>
      <c r="AB153" s="24" t="s">
        <v>125</v>
      </c>
      <c r="AC153" s="41">
        <f t="shared" si="56"/>
        <v>3874.2114000000001</v>
      </c>
      <c r="AD153" s="41">
        <v>1</v>
      </c>
      <c r="AE153" s="72">
        <f>IFERROR(INDEX(SA!$C$4:$E$11,MATCH(Details!S153,SA!$C$4:$C$11,0),MATCH(Details!V153,SA!$C$4:$E$4,0)),0)*Y153/(F153-E153+1)</f>
        <v>3283.23</v>
      </c>
      <c r="AF153" s="41">
        <f t="shared" si="57"/>
        <v>0</v>
      </c>
      <c r="AG153" s="41">
        <f t="shared" si="58"/>
        <v>0</v>
      </c>
      <c r="AH153" s="41">
        <f t="shared" si="59"/>
        <v>590.98140000000001</v>
      </c>
      <c r="AI153" s="60">
        <f t="shared" si="60"/>
        <v>131.32920000000001</v>
      </c>
      <c r="AJ153" s="60">
        <f t="shared" si="61"/>
        <v>738.72675000000004</v>
      </c>
      <c r="AK153" s="60">
        <f t="shared" si="62"/>
        <v>2374.7197808219175</v>
      </c>
      <c r="AL153" s="60">
        <f t="shared" si="63"/>
        <v>1745.4190389041094</v>
      </c>
      <c r="AM153" s="41">
        <f t="shared" si="64"/>
        <v>667.7550110958905</v>
      </c>
      <c r="AN153" s="42">
        <f t="shared" si="65"/>
        <v>45715</v>
      </c>
      <c r="AO153" s="43">
        <f t="shared" si="66"/>
        <v>3283.23</v>
      </c>
    </row>
    <row r="154" spans="1:41" s="24" customFormat="1" ht="15.75" customHeight="1" x14ac:dyDescent="0.35">
      <c r="A154" s="36" t="s">
        <v>27</v>
      </c>
      <c r="B154" s="36">
        <v>202506</v>
      </c>
      <c r="C154" s="24" t="s">
        <v>128</v>
      </c>
      <c r="D154" s="24" t="s">
        <v>129</v>
      </c>
      <c r="E154" s="62">
        <v>45818</v>
      </c>
      <c r="F154" s="62">
        <v>46182</v>
      </c>
      <c r="G154" s="37" t="s">
        <v>282</v>
      </c>
      <c r="H154" s="36">
        <v>1115</v>
      </c>
      <c r="I154" s="63">
        <v>25214</v>
      </c>
      <c r="J154" s="24" t="s">
        <v>930</v>
      </c>
      <c r="K154" s="63">
        <f t="shared" si="50"/>
        <v>45818</v>
      </c>
      <c r="L154" s="55">
        <f t="shared" si="51"/>
        <v>0.04</v>
      </c>
      <c r="M154" s="76">
        <v>0.22500000000000001</v>
      </c>
      <c r="N154" s="62">
        <v>45818</v>
      </c>
      <c r="O154" s="62">
        <v>46182</v>
      </c>
      <c r="P154" s="63"/>
      <c r="Q154" s="63"/>
      <c r="R154" s="82">
        <v>56</v>
      </c>
      <c r="S154" s="63" t="str">
        <f>VLOOKUP(R154,SA!$B$5:$C$11,2,1)</f>
        <v>56-65</v>
      </c>
      <c r="T154" s="38" t="s">
        <v>96</v>
      </c>
      <c r="U154" s="24" t="s">
        <v>56</v>
      </c>
      <c r="V154" s="24">
        <v>300000</v>
      </c>
      <c r="W154" s="39">
        <f t="shared" si="52"/>
        <v>300000</v>
      </c>
      <c r="X154" s="29">
        <f t="shared" si="53"/>
        <v>1</v>
      </c>
      <c r="Y154" s="40">
        <f t="shared" si="54"/>
        <v>365</v>
      </c>
      <c r="Z154" s="38">
        <f t="shared" si="49"/>
        <v>46081</v>
      </c>
      <c r="AA154" s="41">
        <f t="shared" si="55"/>
        <v>264</v>
      </c>
      <c r="AB154" s="24" t="s">
        <v>125</v>
      </c>
      <c r="AC154" s="41">
        <f t="shared" si="56"/>
        <v>16811.448199999999</v>
      </c>
      <c r="AD154" s="41">
        <v>1</v>
      </c>
      <c r="AE154" s="72">
        <f>IFERROR(INDEX(SA!$C$4:$E$11,MATCH(Details!S154,SA!$C$4:$C$11,0),MATCH(Details!V154,SA!$C$4:$E$4,0)),0)*Y154/(F154-E154+1)</f>
        <v>14246.99</v>
      </c>
      <c r="AF154" s="41">
        <f t="shared" si="57"/>
        <v>0</v>
      </c>
      <c r="AG154" s="41">
        <f t="shared" si="58"/>
        <v>0</v>
      </c>
      <c r="AH154" s="41">
        <f t="shared" si="59"/>
        <v>2564.4582</v>
      </c>
      <c r="AI154" s="60">
        <f t="shared" si="60"/>
        <v>569.87959999999998</v>
      </c>
      <c r="AJ154" s="60">
        <f t="shared" si="61"/>
        <v>3205.5727499999998</v>
      </c>
      <c r="AK154" s="60">
        <f t="shared" si="62"/>
        <v>10304.672219178083</v>
      </c>
      <c r="AL154" s="60">
        <f t="shared" si="63"/>
        <v>7573.9340810958911</v>
      </c>
      <c r="AM154" s="41">
        <f t="shared" si="64"/>
        <v>2897.6035689041087</v>
      </c>
      <c r="AN154" s="42">
        <f t="shared" si="65"/>
        <v>45715</v>
      </c>
      <c r="AO154" s="43">
        <f t="shared" si="66"/>
        <v>14246.99</v>
      </c>
    </row>
    <row r="155" spans="1:41" s="24" customFormat="1" ht="15.75" customHeight="1" x14ac:dyDescent="0.35">
      <c r="A155" s="36" t="s">
        <v>27</v>
      </c>
      <c r="B155" s="36">
        <v>202506</v>
      </c>
      <c r="C155" s="24" t="s">
        <v>128</v>
      </c>
      <c r="D155" s="24" t="s">
        <v>129</v>
      </c>
      <c r="E155" s="62">
        <v>45818</v>
      </c>
      <c r="F155" s="62">
        <v>46182</v>
      </c>
      <c r="G155" s="37" t="s">
        <v>283</v>
      </c>
      <c r="H155" s="36">
        <v>1115</v>
      </c>
      <c r="I155" s="63">
        <v>27309</v>
      </c>
      <c r="J155" s="24" t="s">
        <v>931</v>
      </c>
      <c r="K155" s="63">
        <f t="shared" si="50"/>
        <v>45818</v>
      </c>
      <c r="L155" s="55">
        <f t="shared" si="51"/>
        <v>0.04</v>
      </c>
      <c r="M155" s="76">
        <v>0.22500000000000001</v>
      </c>
      <c r="N155" s="62">
        <v>45818</v>
      </c>
      <c r="O155" s="62">
        <v>46182</v>
      </c>
      <c r="P155" s="63"/>
      <c r="Q155" s="63"/>
      <c r="R155" s="82">
        <v>50</v>
      </c>
      <c r="S155" s="63" t="str">
        <f>VLOOKUP(R155,SA!$B$5:$C$11,2,1)</f>
        <v>46-55</v>
      </c>
      <c r="T155" s="38" t="s">
        <v>97</v>
      </c>
      <c r="U155" s="24" t="s">
        <v>115</v>
      </c>
      <c r="V155" s="24">
        <v>300000</v>
      </c>
      <c r="W155" s="39">
        <f t="shared" si="52"/>
        <v>0</v>
      </c>
      <c r="X155" s="29">
        <f t="shared" si="53"/>
        <v>0</v>
      </c>
      <c r="Y155" s="40">
        <f t="shared" si="54"/>
        <v>365</v>
      </c>
      <c r="Z155" s="38">
        <f t="shared" si="49"/>
        <v>46081</v>
      </c>
      <c r="AA155" s="41">
        <f t="shared" si="55"/>
        <v>264</v>
      </c>
      <c r="AB155" s="24" t="s">
        <v>125</v>
      </c>
      <c r="AC155" s="41">
        <f t="shared" si="56"/>
        <v>9586.9925999999996</v>
      </c>
      <c r="AD155" s="41">
        <v>1</v>
      </c>
      <c r="AE155" s="72">
        <f>IFERROR(INDEX(SA!$C$4:$E$11,MATCH(Details!S155,SA!$C$4:$C$11,0),MATCH(Details!V155,SA!$C$4:$E$4,0)),0)*Y155/(F155-E155+1)</f>
        <v>8124.57</v>
      </c>
      <c r="AF155" s="41">
        <f t="shared" si="57"/>
        <v>0</v>
      </c>
      <c r="AG155" s="41">
        <f t="shared" si="58"/>
        <v>0</v>
      </c>
      <c r="AH155" s="41">
        <f t="shared" si="59"/>
        <v>1462.4225999999999</v>
      </c>
      <c r="AI155" s="60">
        <f t="shared" si="60"/>
        <v>324.9828</v>
      </c>
      <c r="AJ155" s="60">
        <f t="shared" si="61"/>
        <v>1828.0282500000001</v>
      </c>
      <c r="AK155" s="60">
        <f t="shared" si="62"/>
        <v>5876.4013150684932</v>
      </c>
      <c r="AL155" s="60">
        <f t="shared" si="63"/>
        <v>4319.1549665753428</v>
      </c>
      <c r="AM155" s="41">
        <f t="shared" si="64"/>
        <v>1652.4039834246571</v>
      </c>
      <c r="AN155" s="42">
        <f t="shared" si="65"/>
        <v>45715</v>
      </c>
      <c r="AO155" s="43">
        <f t="shared" si="66"/>
        <v>8124.57</v>
      </c>
    </row>
    <row r="156" spans="1:41" s="24" customFormat="1" ht="15.75" customHeight="1" x14ac:dyDescent="0.35">
      <c r="A156" s="36" t="s">
        <v>27</v>
      </c>
      <c r="B156" s="36">
        <v>202506</v>
      </c>
      <c r="C156" s="24" t="s">
        <v>128</v>
      </c>
      <c r="D156" s="24" t="s">
        <v>129</v>
      </c>
      <c r="E156" s="62">
        <v>45818</v>
      </c>
      <c r="F156" s="62">
        <v>46182</v>
      </c>
      <c r="G156" s="37" t="s">
        <v>284</v>
      </c>
      <c r="H156" s="36">
        <v>1118</v>
      </c>
      <c r="I156" s="63">
        <v>29646</v>
      </c>
      <c r="J156" s="24" t="s">
        <v>932</v>
      </c>
      <c r="K156" s="63">
        <f t="shared" si="50"/>
        <v>45818</v>
      </c>
      <c r="L156" s="55">
        <f t="shared" si="51"/>
        <v>0.04</v>
      </c>
      <c r="M156" s="76">
        <v>0.22500000000000001</v>
      </c>
      <c r="N156" s="62">
        <v>45818</v>
      </c>
      <c r="O156" s="62">
        <v>46182</v>
      </c>
      <c r="P156" s="63"/>
      <c r="Q156" s="63"/>
      <c r="R156" s="82">
        <v>44</v>
      </c>
      <c r="S156" s="63" t="str">
        <f>VLOOKUP(R156,SA!$B$5:$C$11,2,1)</f>
        <v>36-45</v>
      </c>
      <c r="T156" s="38" t="s">
        <v>96</v>
      </c>
      <c r="U156" s="24" t="s">
        <v>56</v>
      </c>
      <c r="V156" s="24">
        <v>300000</v>
      </c>
      <c r="W156" s="39">
        <f t="shared" si="52"/>
        <v>300000</v>
      </c>
      <c r="X156" s="29">
        <f t="shared" si="53"/>
        <v>1</v>
      </c>
      <c r="Y156" s="40">
        <f t="shared" si="54"/>
        <v>365</v>
      </c>
      <c r="Z156" s="38">
        <f t="shared" si="49"/>
        <v>46081</v>
      </c>
      <c r="AA156" s="41">
        <f t="shared" si="55"/>
        <v>264</v>
      </c>
      <c r="AB156" s="24" t="s">
        <v>125</v>
      </c>
      <c r="AC156" s="41">
        <f t="shared" si="56"/>
        <v>5017.3245999999999</v>
      </c>
      <c r="AD156" s="41">
        <v>1</v>
      </c>
      <c r="AE156" s="72">
        <f>IFERROR(INDEX(SA!$C$4:$E$11,MATCH(Details!S156,SA!$C$4:$C$11,0),MATCH(Details!V156,SA!$C$4:$E$4,0)),0)*Y156/(F156-E156+1)</f>
        <v>4251.97</v>
      </c>
      <c r="AF156" s="41">
        <f t="shared" si="57"/>
        <v>0</v>
      </c>
      <c r="AG156" s="41">
        <f t="shared" si="58"/>
        <v>0</v>
      </c>
      <c r="AH156" s="41">
        <f t="shared" si="59"/>
        <v>765.3546</v>
      </c>
      <c r="AI156" s="60">
        <f t="shared" si="60"/>
        <v>170.0788</v>
      </c>
      <c r="AJ156" s="60">
        <f t="shared" si="61"/>
        <v>956.69325000000003</v>
      </c>
      <c r="AK156" s="60">
        <f t="shared" si="62"/>
        <v>3075.397479452055</v>
      </c>
      <c r="AL156" s="60">
        <f t="shared" si="63"/>
        <v>2260.4171473972606</v>
      </c>
      <c r="AM156" s="41">
        <f t="shared" si="64"/>
        <v>864.78080260273941</v>
      </c>
      <c r="AN156" s="42">
        <f t="shared" si="65"/>
        <v>45715</v>
      </c>
      <c r="AO156" s="43">
        <f t="shared" si="66"/>
        <v>4251.97</v>
      </c>
    </row>
    <row r="157" spans="1:41" s="24" customFormat="1" ht="15.75" customHeight="1" x14ac:dyDescent="0.35">
      <c r="A157" s="36" t="s">
        <v>27</v>
      </c>
      <c r="B157" s="36">
        <v>202506</v>
      </c>
      <c r="C157" s="24" t="s">
        <v>128</v>
      </c>
      <c r="D157" s="24" t="s">
        <v>129</v>
      </c>
      <c r="E157" s="62">
        <v>45818</v>
      </c>
      <c r="F157" s="62">
        <v>46182</v>
      </c>
      <c r="G157" s="37" t="s">
        <v>285</v>
      </c>
      <c r="H157" s="36">
        <v>1118</v>
      </c>
      <c r="I157" s="63">
        <v>29945</v>
      </c>
      <c r="J157" s="24" t="s">
        <v>933</v>
      </c>
      <c r="K157" s="63">
        <f t="shared" si="50"/>
        <v>45818</v>
      </c>
      <c r="L157" s="55">
        <f t="shared" si="51"/>
        <v>0.04</v>
      </c>
      <c r="M157" s="76">
        <v>0.22500000000000001</v>
      </c>
      <c r="N157" s="62">
        <v>45818</v>
      </c>
      <c r="O157" s="62">
        <v>46182</v>
      </c>
      <c r="P157" s="63"/>
      <c r="Q157" s="63"/>
      <c r="R157" s="82">
        <v>43</v>
      </c>
      <c r="S157" s="63" t="str">
        <f>VLOOKUP(R157,SA!$B$5:$C$11,2,1)</f>
        <v>36-45</v>
      </c>
      <c r="T157" s="38" t="s">
        <v>97</v>
      </c>
      <c r="U157" s="24" t="s">
        <v>115</v>
      </c>
      <c r="V157" s="24">
        <v>300000</v>
      </c>
      <c r="W157" s="39">
        <f t="shared" si="52"/>
        <v>0</v>
      </c>
      <c r="X157" s="29">
        <f t="shared" si="53"/>
        <v>0</v>
      </c>
      <c r="Y157" s="40">
        <f t="shared" si="54"/>
        <v>365</v>
      </c>
      <c r="Z157" s="38">
        <f t="shared" si="49"/>
        <v>46081</v>
      </c>
      <c r="AA157" s="41">
        <f t="shared" si="55"/>
        <v>264</v>
      </c>
      <c r="AB157" s="24" t="s">
        <v>125</v>
      </c>
      <c r="AC157" s="41">
        <f t="shared" si="56"/>
        <v>5017.3245999999999</v>
      </c>
      <c r="AD157" s="41">
        <v>1</v>
      </c>
      <c r="AE157" s="72">
        <f>IFERROR(INDEX(SA!$C$4:$E$11,MATCH(Details!S157,SA!$C$4:$C$11,0),MATCH(Details!V157,SA!$C$4:$E$4,0)),0)*Y157/(F157-E157+1)</f>
        <v>4251.97</v>
      </c>
      <c r="AF157" s="41">
        <f t="shared" si="57"/>
        <v>0</v>
      </c>
      <c r="AG157" s="41">
        <f t="shared" si="58"/>
        <v>0</v>
      </c>
      <c r="AH157" s="41">
        <f t="shared" si="59"/>
        <v>765.3546</v>
      </c>
      <c r="AI157" s="60">
        <f t="shared" si="60"/>
        <v>170.0788</v>
      </c>
      <c r="AJ157" s="60">
        <f t="shared" si="61"/>
        <v>956.69325000000003</v>
      </c>
      <c r="AK157" s="60">
        <f t="shared" si="62"/>
        <v>3075.397479452055</v>
      </c>
      <c r="AL157" s="60">
        <f t="shared" si="63"/>
        <v>2260.4171473972606</v>
      </c>
      <c r="AM157" s="41">
        <f t="shared" si="64"/>
        <v>864.78080260273941</v>
      </c>
      <c r="AN157" s="42">
        <f t="shared" si="65"/>
        <v>45715</v>
      </c>
      <c r="AO157" s="43">
        <f t="shared" si="66"/>
        <v>4251.97</v>
      </c>
    </row>
    <row r="158" spans="1:41" s="24" customFormat="1" ht="15.75" customHeight="1" x14ac:dyDescent="0.35">
      <c r="A158" s="36" t="s">
        <v>27</v>
      </c>
      <c r="B158" s="36">
        <v>202506</v>
      </c>
      <c r="C158" s="24" t="s">
        <v>128</v>
      </c>
      <c r="D158" s="24" t="s">
        <v>129</v>
      </c>
      <c r="E158" s="62">
        <v>45818</v>
      </c>
      <c r="F158" s="62">
        <v>46182</v>
      </c>
      <c r="G158" s="37" t="s">
        <v>286</v>
      </c>
      <c r="H158" s="36">
        <v>1118</v>
      </c>
      <c r="I158" s="63">
        <v>40853</v>
      </c>
      <c r="J158" s="24" t="s">
        <v>934</v>
      </c>
      <c r="K158" s="63">
        <f t="shared" si="50"/>
        <v>45818</v>
      </c>
      <c r="L158" s="55">
        <f t="shared" si="51"/>
        <v>0.04</v>
      </c>
      <c r="M158" s="76">
        <v>0.22500000000000001</v>
      </c>
      <c r="N158" s="62">
        <v>45818</v>
      </c>
      <c r="O158" s="62">
        <v>46182</v>
      </c>
      <c r="P158" s="63"/>
      <c r="Q158" s="63"/>
      <c r="R158" s="82">
        <v>13</v>
      </c>
      <c r="S158" s="63" t="str">
        <f>VLOOKUP(R158,SA!$B$5:$C$11,2,1)</f>
        <v>0-35</v>
      </c>
      <c r="T158" s="38" t="s">
        <v>96</v>
      </c>
      <c r="U158" s="24" t="s">
        <v>114</v>
      </c>
      <c r="V158" s="24">
        <v>300000</v>
      </c>
      <c r="W158" s="39">
        <f t="shared" si="52"/>
        <v>0</v>
      </c>
      <c r="X158" s="29">
        <f t="shared" si="53"/>
        <v>0</v>
      </c>
      <c r="Y158" s="40">
        <f t="shared" si="54"/>
        <v>365</v>
      </c>
      <c r="Z158" s="38">
        <f t="shared" si="49"/>
        <v>46081</v>
      </c>
      <c r="AA158" s="41">
        <f t="shared" si="55"/>
        <v>264</v>
      </c>
      <c r="AB158" s="24" t="s">
        <v>125</v>
      </c>
      <c r="AC158" s="41">
        <f t="shared" si="56"/>
        <v>3874.2114000000001</v>
      </c>
      <c r="AD158" s="41">
        <v>1</v>
      </c>
      <c r="AE158" s="72">
        <f>IFERROR(INDEX(SA!$C$4:$E$11,MATCH(Details!S158,SA!$C$4:$C$11,0),MATCH(Details!V158,SA!$C$4:$E$4,0)),0)*Y158/(F158-E158+1)</f>
        <v>3283.23</v>
      </c>
      <c r="AF158" s="41">
        <f t="shared" si="57"/>
        <v>0</v>
      </c>
      <c r="AG158" s="41">
        <f t="shared" si="58"/>
        <v>0</v>
      </c>
      <c r="AH158" s="41">
        <f t="shared" si="59"/>
        <v>590.98140000000001</v>
      </c>
      <c r="AI158" s="60">
        <f t="shared" si="60"/>
        <v>131.32920000000001</v>
      </c>
      <c r="AJ158" s="60">
        <f t="shared" si="61"/>
        <v>738.72675000000004</v>
      </c>
      <c r="AK158" s="60">
        <f t="shared" si="62"/>
        <v>2374.7197808219175</v>
      </c>
      <c r="AL158" s="60">
        <f t="shared" si="63"/>
        <v>1745.4190389041094</v>
      </c>
      <c r="AM158" s="41">
        <f t="shared" si="64"/>
        <v>667.7550110958905</v>
      </c>
      <c r="AN158" s="42">
        <f t="shared" si="65"/>
        <v>45715</v>
      </c>
      <c r="AO158" s="43">
        <f t="shared" si="66"/>
        <v>3283.23</v>
      </c>
    </row>
    <row r="159" spans="1:41" s="24" customFormat="1" ht="15.75" customHeight="1" x14ac:dyDescent="0.35">
      <c r="A159" s="36" t="s">
        <v>27</v>
      </c>
      <c r="B159" s="36">
        <v>202506</v>
      </c>
      <c r="C159" s="24" t="s">
        <v>128</v>
      </c>
      <c r="D159" s="24" t="s">
        <v>129</v>
      </c>
      <c r="E159" s="62">
        <v>45818</v>
      </c>
      <c r="F159" s="62">
        <v>46182</v>
      </c>
      <c r="G159" s="37" t="s">
        <v>287</v>
      </c>
      <c r="H159" s="36">
        <v>1118</v>
      </c>
      <c r="I159" s="63">
        <v>38045</v>
      </c>
      <c r="J159" s="24" t="s">
        <v>935</v>
      </c>
      <c r="K159" s="63">
        <f t="shared" si="50"/>
        <v>45818</v>
      </c>
      <c r="L159" s="55">
        <f t="shared" si="51"/>
        <v>0.04</v>
      </c>
      <c r="M159" s="76">
        <v>0.22500000000000001</v>
      </c>
      <c r="N159" s="62">
        <v>45818</v>
      </c>
      <c r="O159" s="62">
        <v>46182</v>
      </c>
      <c r="P159" s="63"/>
      <c r="Q159" s="63"/>
      <c r="R159" s="82">
        <v>21</v>
      </c>
      <c r="S159" s="63" t="str">
        <f>VLOOKUP(R159,SA!$B$5:$C$11,2,1)</f>
        <v>0-35</v>
      </c>
      <c r="T159" s="38" t="s">
        <v>97</v>
      </c>
      <c r="U159" s="24" t="s">
        <v>113</v>
      </c>
      <c r="V159" s="24">
        <v>300000</v>
      </c>
      <c r="W159" s="39">
        <f t="shared" si="52"/>
        <v>0</v>
      </c>
      <c r="X159" s="29">
        <f t="shared" si="53"/>
        <v>0</v>
      </c>
      <c r="Y159" s="40">
        <f t="shared" si="54"/>
        <v>365</v>
      </c>
      <c r="Z159" s="38">
        <f t="shared" si="49"/>
        <v>46081</v>
      </c>
      <c r="AA159" s="41">
        <f t="shared" si="55"/>
        <v>264</v>
      </c>
      <c r="AB159" s="24" t="s">
        <v>125</v>
      </c>
      <c r="AC159" s="41">
        <f t="shared" si="56"/>
        <v>3874.2114000000001</v>
      </c>
      <c r="AD159" s="41">
        <v>1</v>
      </c>
      <c r="AE159" s="72">
        <f>IFERROR(INDEX(SA!$C$4:$E$11,MATCH(Details!S159,SA!$C$4:$C$11,0),MATCH(Details!V159,SA!$C$4:$E$4,0)),0)*Y159/(F159-E159+1)</f>
        <v>3283.23</v>
      </c>
      <c r="AF159" s="41">
        <f t="shared" si="57"/>
        <v>0</v>
      </c>
      <c r="AG159" s="41">
        <f t="shared" si="58"/>
        <v>0</v>
      </c>
      <c r="AH159" s="41">
        <f t="shared" si="59"/>
        <v>590.98140000000001</v>
      </c>
      <c r="AI159" s="60">
        <f t="shared" si="60"/>
        <v>131.32920000000001</v>
      </c>
      <c r="AJ159" s="60">
        <f t="shared" si="61"/>
        <v>738.72675000000004</v>
      </c>
      <c r="AK159" s="60">
        <f t="shared" si="62"/>
        <v>2374.7197808219175</v>
      </c>
      <c r="AL159" s="60">
        <f t="shared" si="63"/>
        <v>1745.4190389041094</v>
      </c>
      <c r="AM159" s="41">
        <f t="shared" si="64"/>
        <v>667.7550110958905</v>
      </c>
      <c r="AN159" s="42">
        <f t="shared" si="65"/>
        <v>45715</v>
      </c>
      <c r="AO159" s="43">
        <f t="shared" si="66"/>
        <v>3283.23</v>
      </c>
    </row>
    <row r="160" spans="1:41" s="24" customFormat="1" ht="15.75" customHeight="1" x14ac:dyDescent="0.35">
      <c r="A160" s="36" t="s">
        <v>27</v>
      </c>
      <c r="B160" s="36">
        <v>202506</v>
      </c>
      <c r="C160" s="24" t="s">
        <v>128</v>
      </c>
      <c r="D160" s="24" t="s">
        <v>129</v>
      </c>
      <c r="E160" s="62">
        <v>45818</v>
      </c>
      <c r="F160" s="62">
        <v>46182</v>
      </c>
      <c r="G160" s="37" t="s">
        <v>288</v>
      </c>
      <c r="H160" s="36">
        <v>1121</v>
      </c>
      <c r="I160" s="63">
        <v>24149</v>
      </c>
      <c r="J160" s="24" t="s">
        <v>936</v>
      </c>
      <c r="K160" s="63">
        <f t="shared" si="50"/>
        <v>45818</v>
      </c>
      <c r="L160" s="55">
        <f t="shared" si="51"/>
        <v>0.04</v>
      </c>
      <c r="M160" s="76">
        <v>0.22500000000000001</v>
      </c>
      <c r="N160" s="62">
        <v>45818</v>
      </c>
      <c r="O160" s="62">
        <v>46182</v>
      </c>
      <c r="P160" s="63"/>
      <c r="Q160" s="63"/>
      <c r="R160" s="82">
        <v>59</v>
      </c>
      <c r="S160" s="63" t="str">
        <f>VLOOKUP(R160,SA!$B$5:$C$11,2,1)</f>
        <v>56-65</v>
      </c>
      <c r="T160" s="38" t="s">
        <v>96</v>
      </c>
      <c r="U160" s="24" t="s">
        <v>56</v>
      </c>
      <c r="V160" s="24">
        <v>300000</v>
      </c>
      <c r="W160" s="39">
        <f t="shared" si="52"/>
        <v>300000</v>
      </c>
      <c r="X160" s="29">
        <f t="shared" si="53"/>
        <v>1</v>
      </c>
      <c r="Y160" s="40">
        <f t="shared" si="54"/>
        <v>365</v>
      </c>
      <c r="Z160" s="38">
        <f t="shared" si="49"/>
        <v>46081</v>
      </c>
      <c r="AA160" s="41">
        <f t="shared" si="55"/>
        <v>264</v>
      </c>
      <c r="AB160" s="24" t="s">
        <v>125</v>
      </c>
      <c r="AC160" s="41">
        <f t="shared" si="56"/>
        <v>16811.448199999999</v>
      </c>
      <c r="AD160" s="41">
        <v>1</v>
      </c>
      <c r="AE160" s="72">
        <f>IFERROR(INDEX(SA!$C$4:$E$11,MATCH(Details!S160,SA!$C$4:$C$11,0),MATCH(Details!V160,SA!$C$4:$E$4,0)),0)*Y160/(F160-E160+1)</f>
        <v>14246.99</v>
      </c>
      <c r="AF160" s="41">
        <f t="shared" si="57"/>
        <v>0</v>
      </c>
      <c r="AG160" s="41">
        <f t="shared" si="58"/>
        <v>0</v>
      </c>
      <c r="AH160" s="41">
        <f t="shared" si="59"/>
        <v>2564.4582</v>
      </c>
      <c r="AI160" s="60">
        <f t="shared" si="60"/>
        <v>569.87959999999998</v>
      </c>
      <c r="AJ160" s="60">
        <f t="shared" si="61"/>
        <v>3205.5727499999998</v>
      </c>
      <c r="AK160" s="60">
        <f t="shared" si="62"/>
        <v>10304.672219178083</v>
      </c>
      <c r="AL160" s="60">
        <f t="shared" si="63"/>
        <v>7573.9340810958911</v>
      </c>
      <c r="AM160" s="41">
        <f t="shared" si="64"/>
        <v>2897.6035689041087</v>
      </c>
      <c r="AN160" s="42">
        <f t="shared" si="65"/>
        <v>45715</v>
      </c>
      <c r="AO160" s="43">
        <f t="shared" si="66"/>
        <v>14246.99</v>
      </c>
    </row>
    <row r="161" spans="1:41" s="24" customFormat="1" ht="15.75" customHeight="1" x14ac:dyDescent="0.35">
      <c r="A161" s="36" t="s">
        <v>27</v>
      </c>
      <c r="B161" s="36">
        <v>202506</v>
      </c>
      <c r="C161" s="24" t="s">
        <v>128</v>
      </c>
      <c r="D161" s="24" t="s">
        <v>129</v>
      </c>
      <c r="E161" s="62">
        <v>45818</v>
      </c>
      <c r="F161" s="62">
        <v>46182</v>
      </c>
      <c r="G161" s="37" t="s">
        <v>289</v>
      </c>
      <c r="H161" s="36">
        <v>1121</v>
      </c>
      <c r="I161" s="63">
        <v>27797</v>
      </c>
      <c r="J161" s="24" t="s">
        <v>937</v>
      </c>
      <c r="K161" s="63">
        <f t="shared" si="50"/>
        <v>45818</v>
      </c>
      <c r="L161" s="55">
        <f t="shared" si="51"/>
        <v>0.04</v>
      </c>
      <c r="M161" s="76">
        <v>0.22500000000000001</v>
      </c>
      <c r="N161" s="62">
        <v>45818</v>
      </c>
      <c r="O161" s="62">
        <v>46182</v>
      </c>
      <c r="P161" s="63"/>
      <c r="Q161" s="63"/>
      <c r="R161" s="82">
        <v>49</v>
      </c>
      <c r="S161" s="63" t="str">
        <f>VLOOKUP(R161,SA!$B$5:$C$11,2,1)</f>
        <v>46-55</v>
      </c>
      <c r="T161" s="38" t="s">
        <v>97</v>
      </c>
      <c r="U161" s="24" t="s">
        <v>115</v>
      </c>
      <c r="V161" s="24">
        <v>300000</v>
      </c>
      <c r="W161" s="39">
        <f t="shared" si="52"/>
        <v>0</v>
      </c>
      <c r="X161" s="29">
        <f t="shared" si="53"/>
        <v>0</v>
      </c>
      <c r="Y161" s="40">
        <f t="shared" si="54"/>
        <v>365</v>
      </c>
      <c r="Z161" s="38">
        <f t="shared" si="49"/>
        <v>46081</v>
      </c>
      <c r="AA161" s="41">
        <f t="shared" si="55"/>
        <v>264</v>
      </c>
      <c r="AB161" s="24" t="s">
        <v>125</v>
      </c>
      <c r="AC161" s="41">
        <f t="shared" si="56"/>
        <v>9586.9925999999996</v>
      </c>
      <c r="AD161" s="41">
        <v>1</v>
      </c>
      <c r="AE161" s="72">
        <f>IFERROR(INDEX(SA!$C$4:$E$11,MATCH(Details!S161,SA!$C$4:$C$11,0),MATCH(Details!V161,SA!$C$4:$E$4,0)),0)*Y161/(F161-E161+1)</f>
        <v>8124.57</v>
      </c>
      <c r="AF161" s="41">
        <f t="shared" si="57"/>
        <v>0</v>
      </c>
      <c r="AG161" s="41">
        <f t="shared" si="58"/>
        <v>0</v>
      </c>
      <c r="AH161" s="41">
        <f t="shared" si="59"/>
        <v>1462.4225999999999</v>
      </c>
      <c r="AI161" s="60">
        <f t="shared" si="60"/>
        <v>324.9828</v>
      </c>
      <c r="AJ161" s="60">
        <f t="shared" si="61"/>
        <v>1828.0282500000001</v>
      </c>
      <c r="AK161" s="60">
        <f t="shared" si="62"/>
        <v>5876.4013150684932</v>
      </c>
      <c r="AL161" s="60">
        <f t="shared" si="63"/>
        <v>4319.1549665753428</v>
      </c>
      <c r="AM161" s="41">
        <f t="shared" si="64"/>
        <v>1652.4039834246571</v>
      </c>
      <c r="AN161" s="42">
        <f t="shared" si="65"/>
        <v>45715</v>
      </c>
      <c r="AO161" s="43">
        <f t="shared" si="66"/>
        <v>8124.57</v>
      </c>
    </row>
    <row r="162" spans="1:41" s="24" customFormat="1" ht="15.75" customHeight="1" x14ac:dyDescent="0.35">
      <c r="A162" s="36" t="s">
        <v>27</v>
      </c>
      <c r="B162" s="36">
        <v>202506</v>
      </c>
      <c r="C162" s="24" t="s">
        <v>128</v>
      </c>
      <c r="D162" s="24" t="s">
        <v>129</v>
      </c>
      <c r="E162" s="62">
        <v>45818</v>
      </c>
      <c r="F162" s="62">
        <v>46182</v>
      </c>
      <c r="G162" s="37" t="s">
        <v>290</v>
      </c>
      <c r="H162" s="36">
        <v>1123</v>
      </c>
      <c r="I162" s="63">
        <v>32239</v>
      </c>
      <c r="J162" s="24" t="s">
        <v>938</v>
      </c>
      <c r="K162" s="63">
        <f t="shared" si="50"/>
        <v>45818</v>
      </c>
      <c r="L162" s="55">
        <f t="shared" si="51"/>
        <v>0.04</v>
      </c>
      <c r="M162" s="76">
        <v>0.22500000000000001</v>
      </c>
      <c r="N162" s="62">
        <v>45818</v>
      </c>
      <c r="O162" s="62">
        <v>46182</v>
      </c>
      <c r="P162" s="63"/>
      <c r="Q162" s="63"/>
      <c r="R162" s="82">
        <v>37</v>
      </c>
      <c r="S162" s="63" t="str">
        <f>VLOOKUP(R162,SA!$B$5:$C$11,2,1)</f>
        <v>36-45</v>
      </c>
      <c r="T162" s="38" t="s">
        <v>96</v>
      </c>
      <c r="U162" s="24" t="s">
        <v>56</v>
      </c>
      <c r="V162" s="24">
        <v>300000</v>
      </c>
      <c r="W162" s="39">
        <f t="shared" si="52"/>
        <v>300000</v>
      </c>
      <c r="X162" s="29">
        <f t="shared" si="53"/>
        <v>1</v>
      </c>
      <c r="Y162" s="40">
        <f t="shared" si="54"/>
        <v>365</v>
      </c>
      <c r="Z162" s="38">
        <f t="shared" si="49"/>
        <v>46081</v>
      </c>
      <c r="AA162" s="41">
        <f t="shared" si="55"/>
        <v>264</v>
      </c>
      <c r="AB162" s="24" t="s">
        <v>125</v>
      </c>
      <c r="AC162" s="41">
        <f t="shared" si="56"/>
        <v>5017.3245999999999</v>
      </c>
      <c r="AD162" s="41">
        <v>1</v>
      </c>
      <c r="AE162" s="72">
        <f>IFERROR(INDEX(SA!$C$4:$E$11,MATCH(Details!S162,SA!$C$4:$C$11,0),MATCH(Details!V162,SA!$C$4:$E$4,0)),0)*Y162/(F162-E162+1)</f>
        <v>4251.97</v>
      </c>
      <c r="AF162" s="41">
        <f t="shared" si="57"/>
        <v>0</v>
      </c>
      <c r="AG162" s="41">
        <f t="shared" si="58"/>
        <v>0</v>
      </c>
      <c r="AH162" s="41">
        <f t="shared" si="59"/>
        <v>765.3546</v>
      </c>
      <c r="AI162" s="60">
        <f t="shared" si="60"/>
        <v>170.0788</v>
      </c>
      <c r="AJ162" s="60">
        <f t="shared" si="61"/>
        <v>956.69325000000003</v>
      </c>
      <c r="AK162" s="60">
        <f t="shared" si="62"/>
        <v>3075.397479452055</v>
      </c>
      <c r="AL162" s="60">
        <f t="shared" si="63"/>
        <v>2260.4171473972606</v>
      </c>
      <c r="AM162" s="41">
        <f t="shared" si="64"/>
        <v>864.78080260273941</v>
      </c>
      <c r="AN162" s="42">
        <f t="shared" si="65"/>
        <v>45715</v>
      </c>
      <c r="AO162" s="43">
        <f t="shared" si="66"/>
        <v>4251.97</v>
      </c>
    </row>
    <row r="163" spans="1:41" s="24" customFormat="1" ht="15.75" customHeight="1" x14ac:dyDescent="0.35">
      <c r="A163" s="36" t="s">
        <v>27</v>
      </c>
      <c r="B163" s="36">
        <v>202506</v>
      </c>
      <c r="C163" s="24" t="s">
        <v>128</v>
      </c>
      <c r="D163" s="24" t="s">
        <v>129</v>
      </c>
      <c r="E163" s="62">
        <v>45818</v>
      </c>
      <c r="F163" s="62">
        <v>46182</v>
      </c>
      <c r="G163" s="37" t="s">
        <v>291</v>
      </c>
      <c r="H163" s="36">
        <v>1123</v>
      </c>
      <c r="I163" s="63">
        <v>42958</v>
      </c>
      <c r="J163" s="24" t="s">
        <v>939</v>
      </c>
      <c r="K163" s="63">
        <f t="shared" si="50"/>
        <v>45818</v>
      </c>
      <c r="L163" s="55">
        <f t="shared" si="51"/>
        <v>0.04</v>
      </c>
      <c r="M163" s="76">
        <v>0.22500000000000001</v>
      </c>
      <c r="N163" s="62">
        <v>45818</v>
      </c>
      <c r="O163" s="62">
        <v>46182</v>
      </c>
      <c r="P163" s="63"/>
      <c r="Q163" s="63"/>
      <c r="R163" s="82">
        <v>7</v>
      </c>
      <c r="S163" s="63" t="str">
        <f>VLOOKUP(R163,SA!$B$5:$C$11,2,1)</f>
        <v>0-35</v>
      </c>
      <c r="T163" s="38" t="s">
        <v>96</v>
      </c>
      <c r="U163" s="24" t="s">
        <v>114</v>
      </c>
      <c r="V163" s="24">
        <v>300000</v>
      </c>
      <c r="W163" s="39">
        <f t="shared" si="52"/>
        <v>0</v>
      </c>
      <c r="X163" s="29">
        <f t="shared" si="53"/>
        <v>0</v>
      </c>
      <c r="Y163" s="40">
        <f t="shared" si="54"/>
        <v>365</v>
      </c>
      <c r="Z163" s="38">
        <f t="shared" si="49"/>
        <v>46081</v>
      </c>
      <c r="AA163" s="41">
        <f t="shared" si="55"/>
        <v>264</v>
      </c>
      <c r="AB163" s="24" t="s">
        <v>125</v>
      </c>
      <c r="AC163" s="41">
        <f t="shared" si="56"/>
        <v>3874.2114000000001</v>
      </c>
      <c r="AD163" s="41">
        <v>1</v>
      </c>
      <c r="AE163" s="72">
        <f>IFERROR(INDEX(SA!$C$4:$E$11,MATCH(Details!S163,SA!$C$4:$C$11,0),MATCH(Details!V163,SA!$C$4:$E$4,0)),0)*Y163/(F163-E163+1)</f>
        <v>3283.23</v>
      </c>
      <c r="AF163" s="41">
        <f t="shared" si="57"/>
        <v>0</v>
      </c>
      <c r="AG163" s="41">
        <f t="shared" si="58"/>
        <v>0</v>
      </c>
      <c r="AH163" s="41">
        <f t="shared" si="59"/>
        <v>590.98140000000001</v>
      </c>
      <c r="AI163" s="60">
        <f t="shared" si="60"/>
        <v>131.32920000000001</v>
      </c>
      <c r="AJ163" s="60">
        <f t="shared" si="61"/>
        <v>738.72675000000004</v>
      </c>
      <c r="AK163" s="60">
        <f t="shared" si="62"/>
        <v>2374.7197808219175</v>
      </c>
      <c r="AL163" s="60">
        <f t="shared" si="63"/>
        <v>1745.4190389041094</v>
      </c>
      <c r="AM163" s="41">
        <f t="shared" si="64"/>
        <v>667.7550110958905</v>
      </c>
      <c r="AN163" s="42">
        <f t="shared" si="65"/>
        <v>45715</v>
      </c>
      <c r="AO163" s="43">
        <f t="shared" si="66"/>
        <v>3283.23</v>
      </c>
    </row>
    <row r="164" spans="1:41" s="24" customFormat="1" ht="15.75" customHeight="1" x14ac:dyDescent="0.35">
      <c r="A164" s="36" t="s">
        <v>27</v>
      </c>
      <c r="B164" s="36">
        <v>202506</v>
      </c>
      <c r="C164" s="24" t="s">
        <v>128</v>
      </c>
      <c r="D164" s="24" t="s">
        <v>129</v>
      </c>
      <c r="E164" s="62">
        <v>45818</v>
      </c>
      <c r="F164" s="62">
        <v>46182</v>
      </c>
      <c r="G164" s="37" t="s">
        <v>292</v>
      </c>
      <c r="H164" s="36">
        <v>1123</v>
      </c>
      <c r="I164" s="63">
        <v>34038</v>
      </c>
      <c r="J164" s="24" t="s">
        <v>940</v>
      </c>
      <c r="K164" s="63">
        <f t="shared" si="50"/>
        <v>45818</v>
      </c>
      <c r="L164" s="55">
        <f t="shared" si="51"/>
        <v>0.04</v>
      </c>
      <c r="M164" s="76">
        <v>0.22500000000000001</v>
      </c>
      <c r="N164" s="62">
        <v>45818</v>
      </c>
      <c r="O164" s="62">
        <v>46182</v>
      </c>
      <c r="P164" s="63"/>
      <c r="Q164" s="63"/>
      <c r="R164" s="82">
        <v>32</v>
      </c>
      <c r="S164" s="63" t="str">
        <f>VLOOKUP(R164,SA!$B$5:$C$11,2,1)</f>
        <v>0-35</v>
      </c>
      <c r="T164" s="38" t="s">
        <v>97</v>
      </c>
      <c r="U164" s="24" t="s">
        <v>115</v>
      </c>
      <c r="V164" s="24">
        <v>300000</v>
      </c>
      <c r="W164" s="39">
        <f t="shared" si="52"/>
        <v>0</v>
      </c>
      <c r="X164" s="29">
        <f t="shared" si="53"/>
        <v>0</v>
      </c>
      <c r="Y164" s="40">
        <f t="shared" si="54"/>
        <v>365</v>
      </c>
      <c r="Z164" s="38">
        <f t="shared" si="49"/>
        <v>46081</v>
      </c>
      <c r="AA164" s="41">
        <f t="shared" si="55"/>
        <v>264</v>
      </c>
      <c r="AB164" s="24" t="s">
        <v>125</v>
      </c>
      <c r="AC164" s="41">
        <f t="shared" si="56"/>
        <v>3874.2114000000001</v>
      </c>
      <c r="AD164" s="41">
        <v>1</v>
      </c>
      <c r="AE164" s="72">
        <f>IFERROR(INDEX(SA!$C$4:$E$11,MATCH(Details!S164,SA!$C$4:$C$11,0),MATCH(Details!V164,SA!$C$4:$E$4,0)),0)*Y164/(F164-E164+1)</f>
        <v>3283.23</v>
      </c>
      <c r="AF164" s="41">
        <f t="shared" si="57"/>
        <v>0</v>
      </c>
      <c r="AG164" s="41">
        <f t="shared" si="58"/>
        <v>0</v>
      </c>
      <c r="AH164" s="41">
        <f t="shared" si="59"/>
        <v>590.98140000000001</v>
      </c>
      <c r="AI164" s="60">
        <f t="shared" si="60"/>
        <v>131.32920000000001</v>
      </c>
      <c r="AJ164" s="60">
        <f t="shared" si="61"/>
        <v>738.72675000000004</v>
      </c>
      <c r="AK164" s="60">
        <f t="shared" si="62"/>
        <v>2374.7197808219175</v>
      </c>
      <c r="AL164" s="60">
        <f t="shared" si="63"/>
        <v>1745.4190389041094</v>
      </c>
      <c r="AM164" s="41">
        <f t="shared" si="64"/>
        <v>667.7550110958905</v>
      </c>
      <c r="AN164" s="42">
        <f t="shared" si="65"/>
        <v>45715</v>
      </c>
      <c r="AO164" s="43">
        <f t="shared" si="66"/>
        <v>3283.23</v>
      </c>
    </row>
    <row r="165" spans="1:41" s="24" customFormat="1" ht="15.75" customHeight="1" x14ac:dyDescent="0.35">
      <c r="A165" s="36" t="s">
        <v>27</v>
      </c>
      <c r="B165" s="36">
        <v>202506</v>
      </c>
      <c r="C165" s="24" t="s">
        <v>128</v>
      </c>
      <c r="D165" s="24" t="s">
        <v>129</v>
      </c>
      <c r="E165" s="62">
        <v>45818</v>
      </c>
      <c r="F165" s="62">
        <v>46182</v>
      </c>
      <c r="G165" s="37" t="s">
        <v>293</v>
      </c>
      <c r="H165" s="36">
        <v>1123</v>
      </c>
      <c r="I165" s="63">
        <v>45231</v>
      </c>
      <c r="J165" s="24" t="s">
        <v>941</v>
      </c>
      <c r="K165" s="63">
        <f t="shared" si="50"/>
        <v>45818</v>
      </c>
      <c r="L165" s="55">
        <f t="shared" si="51"/>
        <v>0.04</v>
      </c>
      <c r="M165" s="76">
        <v>0.22500000000000001</v>
      </c>
      <c r="N165" s="62">
        <v>45818</v>
      </c>
      <c r="O165" s="62">
        <v>46182</v>
      </c>
      <c r="P165" s="63"/>
      <c r="Q165" s="63"/>
      <c r="R165" s="82">
        <v>1</v>
      </c>
      <c r="S165" s="63" t="str">
        <f>VLOOKUP(R165,SA!$B$5:$C$11,2,1)</f>
        <v>0-35</v>
      </c>
      <c r="T165" s="38" t="s">
        <v>97</v>
      </c>
      <c r="U165" s="24" t="s">
        <v>113</v>
      </c>
      <c r="V165" s="24">
        <v>300000</v>
      </c>
      <c r="W165" s="39">
        <f t="shared" si="52"/>
        <v>0</v>
      </c>
      <c r="X165" s="29">
        <f t="shared" si="53"/>
        <v>0</v>
      </c>
      <c r="Y165" s="40">
        <f t="shared" si="54"/>
        <v>365</v>
      </c>
      <c r="Z165" s="38">
        <f t="shared" si="49"/>
        <v>46081</v>
      </c>
      <c r="AA165" s="41">
        <f t="shared" si="55"/>
        <v>264</v>
      </c>
      <c r="AB165" s="24" t="s">
        <v>125</v>
      </c>
      <c r="AC165" s="41">
        <f t="shared" si="56"/>
        <v>3874.2114000000001</v>
      </c>
      <c r="AD165" s="41">
        <v>1</v>
      </c>
      <c r="AE165" s="72">
        <f>IFERROR(INDEX(SA!$C$4:$E$11,MATCH(Details!S165,SA!$C$4:$C$11,0),MATCH(Details!V165,SA!$C$4:$E$4,0)),0)*Y165/(F165-E165+1)</f>
        <v>3283.23</v>
      </c>
      <c r="AF165" s="41">
        <f t="shared" si="57"/>
        <v>0</v>
      </c>
      <c r="AG165" s="41">
        <f t="shared" si="58"/>
        <v>0</v>
      </c>
      <c r="AH165" s="41">
        <f t="shared" si="59"/>
        <v>590.98140000000001</v>
      </c>
      <c r="AI165" s="60">
        <f t="shared" si="60"/>
        <v>131.32920000000001</v>
      </c>
      <c r="AJ165" s="60">
        <f t="shared" si="61"/>
        <v>738.72675000000004</v>
      </c>
      <c r="AK165" s="60">
        <f t="shared" si="62"/>
        <v>2374.7197808219175</v>
      </c>
      <c r="AL165" s="60">
        <f t="shared" si="63"/>
        <v>1745.4190389041094</v>
      </c>
      <c r="AM165" s="41">
        <f t="shared" si="64"/>
        <v>667.7550110958905</v>
      </c>
      <c r="AN165" s="42">
        <f t="shared" si="65"/>
        <v>45715</v>
      </c>
      <c r="AO165" s="43">
        <f t="shared" si="66"/>
        <v>3283.23</v>
      </c>
    </row>
    <row r="166" spans="1:41" s="24" customFormat="1" ht="15.75" customHeight="1" x14ac:dyDescent="0.35">
      <c r="A166" s="36" t="s">
        <v>27</v>
      </c>
      <c r="B166" s="36">
        <v>202506</v>
      </c>
      <c r="C166" s="24" t="s">
        <v>128</v>
      </c>
      <c r="D166" s="24" t="s">
        <v>129</v>
      </c>
      <c r="E166" s="62">
        <v>45818</v>
      </c>
      <c r="F166" s="62">
        <v>46182</v>
      </c>
      <c r="G166" s="37" t="s">
        <v>294</v>
      </c>
      <c r="H166" s="36">
        <v>2008</v>
      </c>
      <c r="I166" s="63">
        <v>27322</v>
      </c>
      <c r="J166" s="24" t="s">
        <v>942</v>
      </c>
      <c r="K166" s="63">
        <f t="shared" si="50"/>
        <v>45818</v>
      </c>
      <c r="L166" s="55">
        <f t="shared" si="51"/>
        <v>0.04</v>
      </c>
      <c r="M166" s="76">
        <v>0.22500000000000001</v>
      </c>
      <c r="N166" s="62">
        <v>45818</v>
      </c>
      <c r="O166" s="62">
        <v>46182</v>
      </c>
      <c r="P166" s="63"/>
      <c r="Q166" s="63"/>
      <c r="R166" s="82">
        <v>50</v>
      </c>
      <c r="S166" s="63" t="str">
        <f>VLOOKUP(R166,SA!$B$5:$C$11,2,1)</f>
        <v>46-55</v>
      </c>
      <c r="T166" s="38" t="s">
        <v>96</v>
      </c>
      <c r="U166" s="24" t="s">
        <v>56</v>
      </c>
      <c r="V166" s="24">
        <v>300000</v>
      </c>
      <c r="W166" s="39">
        <f t="shared" si="52"/>
        <v>300000</v>
      </c>
      <c r="X166" s="29">
        <f t="shared" si="53"/>
        <v>1</v>
      </c>
      <c r="Y166" s="40">
        <f t="shared" si="54"/>
        <v>365</v>
      </c>
      <c r="Z166" s="38">
        <f t="shared" si="49"/>
        <v>46081</v>
      </c>
      <c r="AA166" s="41">
        <f t="shared" si="55"/>
        <v>264</v>
      </c>
      <c r="AB166" s="24" t="s">
        <v>125</v>
      </c>
      <c r="AC166" s="41">
        <f t="shared" si="56"/>
        <v>9586.9925999999996</v>
      </c>
      <c r="AD166" s="41">
        <v>1</v>
      </c>
      <c r="AE166" s="72">
        <f>IFERROR(INDEX(SA!$C$4:$E$11,MATCH(Details!S166,SA!$C$4:$C$11,0),MATCH(Details!V166,SA!$C$4:$E$4,0)),0)*Y166/(F166-E166+1)</f>
        <v>8124.57</v>
      </c>
      <c r="AF166" s="41">
        <f t="shared" si="57"/>
        <v>0</v>
      </c>
      <c r="AG166" s="41">
        <f t="shared" si="58"/>
        <v>0</v>
      </c>
      <c r="AH166" s="41">
        <f t="shared" si="59"/>
        <v>1462.4225999999999</v>
      </c>
      <c r="AI166" s="60">
        <f t="shared" si="60"/>
        <v>324.9828</v>
      </c>
      <c r="AJ166" s="60">
        <f t="shared" si="61"/>
        <v>1828.0282500000001</v>
      </c>
      <c r="AK166" s="60">
        <f t="shared" si="62"/>
        <v>5876.4013150684932</v>
      </c>
      <c r="AL166" s="60">
        <f t="shared" si="63"/>
        <v>4319.1549665753428</v>
      </c>
      <c r="AM166" s="41">
        <f t="shared" si="64"/>
        <v>1652.4039834246571</v>
      </c>
      <c r="AN166" s="42">
        <f t="shared" si="65"/>
        <v>45715</v>
      </c>
      <c r="AO166" s="43">
        <f t="shared" si="66"/>
        <v>8124.57</v>
      </c>
    </row>
    <row r="167" spans="1:41" s="24" customFormat="1" ht="15.75" customHeight="1" x14ac:dyDescent="0.35">
      <c r="A167" s="36" t="s">
        <v>27</v>
      </c>
      <c r="B167" s="36">
        <v>202506</v>
      </c>
      <c r="C167" s="24" t="s">
        <v>128</v>
      </c>
      <c r="D167" s="24" t="s">
        <v>129</v>
      </c>
      <c r="E167" s="62">
        <v>45818</v>
      </c>
      <c r="F167" s="62">
        <v>46182</v>
      </c>
      <c r="G167" s="37" t="s">
        <v>295</v>
      </c>
      <c r="H167" s="36">
        <v>2009</v>
      </c>
      <c r="I167" s="63">
        <v>24440</v>
      </c>
      <c r="J167" s="24" t="s">
        <v>943</v>
      </c>
      <c r="K167" s="63">
        <f t="shared" si="50"/>
        <v>45818</v>
      </c>
      <c r="L167" s="55">
        <f t="shared" si="51"/>
        <v>0.04</v>
      </c>
      <c r="M167" s="76">
        <v>0.22500000000000001</v>
      </c>
      <c r="N167" s="62">
        <v>45818</v>
      </c>
      <c r="O167" s="62">
        <v>46182</v>
      </c>
      <c r="P167" s="63"/>
      <c r="Q167" s="63"/>
      <c r="R167" s="82">
        <v>58</v>
      </c>
      <c r="S167" s="63" t="str">
        <f>VLOOKUP(R167,SA!$B$5:$C$11,2,1)</f>
        <v>56-65</v>
      </c>
      <c r="T167" s="38" t="s">
        <v>96</v>
      </c>
      <c r="U167" s="24" t="s">
        <v>56</v>
      </c>
      <c r="V167" s="24">
        <v>300000</v>
      </c>
      <c r="W167" s="39">
        <f t="shared" si="52"/>
        <v>300000</v>
      </c>
      <c r="X167" s="29">
        <f t="shared" si="53"/>
        <v>1</v>
      </c>
      <c r="Y167" s="40">
        <f t="shared" si="54"/>
        <v>365</v>
      </c>
      <c r="Z167" s="38">
        <f t="shared" si="49"/>
        <v>46081</v>
      </c>
      <c r="AA167" s="41">
        <f t="shared" si="55"/>
        <v>264</v>
      </c>
      <c r="AB167" s="24" t="s">
        <v>125</v>
      </c>
      <c r="AC167" s="41">
        <f t="shared" si="56"/>
        <v>16811.448199999999</v>
      </c>
      <c r="AD167" s="41">
        <v>1</v>
      </c>
      <c r="AE167" s="72">
        <f>IFERROR(INDEX(SA!$C$4:$E$11,MATCH(Details!S167,SA!$C$4:$C$11,0),MATCH(Details!V167,SA!$C$4:$E$4,0)),0)*Y167/(F167-E167+1)</f>
        <v>14246.99</v>
      </c>
      <c r="AF167" s="41">
        <f t="shared" si="57"/>
        <v>0</v>
      </c>
      <c r="AG167" s="41">
        <f t="shared" si="58"/>
        <v>0</v>
      </c>
      <c r="AH167" s="41">
        <f t="shared" si="59"/>
        <v>2564.4582</v>
      </c>
      <c r="AI167" s="60">
        <f t="shared" si="60"/>
        <v>569.87959999999998</v>
      </c>
      <c r="AJ167" s="60">
        <f t="shared" si="61"/>
        <v>3205.5727499999998</v>
      </c>
      <c r="AK167" s="60">
        <f t="shared" si="62"/>
        <v>10304.672219178083</v>
      </c>
      <c r="AL167" s="60">
        <f t="shared" si="63"/>
        <v>7573.9340810958911</v>
      </c>
      <c r="AM167" s="41">
        <f t="shared" si="64"/>
        <v>2897.6035689041087</v>
      </c>
      <c r="AN167" s="42">
        <f t="shared" si="65"/>
        <v>45715</v>
      </c>
      <c r="AO167" s="43">
        <f t="shared" si="66"/>
        <v>14246.99</v>
      </c>
    </row>
    <row r="168" spans="1:41" s="24" customFormat="1" ht="15.75" customHeight="1" x14ac:dyDescent="0.35">
      <c r="A168" s="36" t="s">
        <v>27</v>
      </c>
      <c r="B168" s="36">
        <v>202506</v>
      </c>
      <c r="C168" s="24" t="s">
        <v>128</v>
      </c>
      <c r="D168" s="24" t="s">
        <v>129</v>
      </c>
      <c r="E168" s="62">
        <v>45818</v>
      </c>
      <c r="F168" s="62">
        <v>46182</v>
      </c>
      <c r="G168" s="37" t="s">
        <v>296</v>
      </c>
      <c r="H168" s="36">
        <v>2009</v>
      </c>
      <c r="I168" s="63">
        <v>37274</v>
      </c>
      <c r="J168" s="24" t="s">
        <v>944</v>
      </c>
      <c r="K168" s="63">
        <f t="shared" si="50"/>
        <v>45818</v>
      </c>
      <c r="L168" s="55">
        <f t="shared" si="51"/>
        <v>0.04</v>
      </c>
      <c r="M168" s="76">
        <v>0.22500000000000001</v>
      </c>
      <c r="N168" s="62">
        <v>45818</v>
      </c>
      <c r="O168" s="62">
        <v>46182</v>
      </c>
      <c r="P168" s="63"/>
      <c r="Q168" s="63"/>
      <c r="R168" s="82">
        <v>23</v>
      </c>
      <c r="S168" s="63" t="str">
        <f>VLOOKUP(R168,SA!$B$5:$C$11,2,1)</f>
        <v>0-35</v>
      </c>
      <c r="T168" s="38" t="s">
        <v>97</v>
      </c>
      <c r="U168" s="24" t="s">
        <v>113</v>
      </c>
      <c r="V168" s="24">
        <v>300000</v>
      </c>
      <c r="W168" s="39">
        <f t="shared" si="52"/>
        <v>0</v>
      </c>
      <c r="X168" s="29">
        <f t="shared" si="53"/>
        <v>0</v>
      </c>
      <c r="Y168" s="40">
        <f t="shared" si="54"/>
        <v>365</v>
      </c>
      <c r="Z168" s="38">
        <f t="shared" si="49"/>
        <v>46081</v>
      </c>
      <c r="AA168" s="41">
        <f t="shared" si="55"/>
        <v>264</v>
      </c>
      <c r="AB168" s="24" t="s">
        <v>125</v>
      </c>
      <c r="AC168" s="41">
        <f t="shared" si="56"/>
        <v>3874.2114000000001</v>
      </c>
      <c r="AD168" s="41">
        <v>1</v>
      </c>
      <c r="AE168" s="72">
        <f>IFERROR(INDEX(SA!$C$4:$E$11,MATCH(Details!S168,SA!$C$4:$C$11,0),MATCH(Details!V168,SA!$C$4:$E$4,0)),0)*Y168/(F168-E168+1)</f>
        <v>3283.23</v>
      </c>
      <c r="AF168" s="41">
        <f t="shared" si="57"/>
        <v>0</v>
      </c>
      <c r="AG168" s="41">
        <f t="shared" si="58"/>
        <v>0</v>
      </c>
      <c r="AH168" s="41">
        <f t="shared" si="59"/>
        <v>590.98140000000001</v>
      </c>
      <c r="AI168" s="60">
        <f t="shared" si="60"/>
        <v>131.32920000000001</v>
      </c>
      <c r="AJ168" s="60">
        <f t="shared" si="61"/>
        <v>738.72675000000004</v>
      </c>
      <c r="AK168" s="60">
        <f t="shared" si="62"/>
        <v>2374.7197808219175</v>
      </c>
      <c r="AL168" s="60">
        <f t="shared" si="63"/>
        <v>1745.4190389041094</v>
      </c>
      <c r="AM168" s="41">
        <f t="shared" si="64"/>
        <v>667.7550110958905</v>
      </c>
      <c r="AN168" s="42">
        <f t="shared" si="65"/>
        <v>45715</v>
      </c>
      <c r="AO168" s="43">
        <f t="shared" si="66"/>
        <v>3283.23</v>
      </c>
    </row>
    <row r="169" spans="1:41" s="24" customFormat="1" ht="15.75" customHeight="1" x14ac:dyDescent="0.35">
      <c r="A169" s="36" t="s">
        <v>27</v>
      </c>
      <c r="B169" s="36">
        <v>202506</v>
      </c>
      <c r="C169" s="24" t="s">
        <v>128</v>
      </c>
      <c r="D169" s="24" t="s">
        <v>129</v>
      </c>
      <c r="E169" s="62">
        <v>45818</v>
      </c>
      <c r="F169" s="62">
        <v>46182</v>
      </c>
      <c r="G169" s="37" t="s">
        <v>297</v>
      </c>
      <c r="H169" s="36">
        <v>2009</v>
      </c>
      <c r="I169" s="63">
        <v>39730</v>
      </c>
      <c r="J169" s="24" t="s">
        <v>945</v>
      </c>
      <c r="K169" s="63">
        <f t="shared" si="50"/>
        <v>45818</v>
      </c>
      <c r="L169" s="55">
        <f t="shared" si="51"/>
        <v>0.04</v>
      </c>
      <c r="M169" s="76">
        <v>0.22500000000000001</v>
      </c>
      <c r="N169" s="62">
        <v>45818</v>
      </c>
      <c r="O169" s="62">
        <v>46182</v>
      </c>
      <c r="P169" s="63"/>
      <c r="Q169" s="63"/>
      <c r="R169" s="82">
        <v>16</v>
      </c>
      <c r="S169" s="63" t="str">
        <f>VLOOKUP(R169,SA!$B$5:$C$11,2,1)</f>
        <v>0-35</v>
      </c>
      <c r="T169" s="38" t="s">
        <v>96</v>
      </c>
      <c r="U169" s="24" t="s">
        <v>114</v>
      </c>
      <c r="V169" s="24">
        <v>300000</v>
      </c>
      <c r="W169" s="39">
        <f t="shared" si="52"/>
        <v>0</v>
      </c>
      <c r="X169" s="29">
        <f t="shared" si="53"/>
        <v>0</v>
      </c>
      <c r="Y169" s="40">
        <f t="shared" si="54"/>
        <v>365</v>
      </c>
      <c r="Z169" s="38">
        <f t="shared" si="49"/>
        <v>46081</v>
      </c>
      <c r="AA169" s="41">
        <f t="shared" si="55"/>
        <v>264</v>
      </c>
      <c r="AB169" s="24" t="s">
        <v>125</v>
      </c>
      <c r="AC169" s="41">
        <f t="shared" si="56"/>
        <v>3874.2114000000001</v>
      </c>
      <c r="AD169" s="41">
        <v>1</v>
      </c>
      <c r="AE169" s="72">
        <f>IFERROR(INDEX(SA!$C$4:$E$11,MATCH(Details!S169,SA!$C$4:$C$11,0),MATCH(Details!V169,SA!$C$4:$E$4,0)),0)*Y169/(F169-E169+1)</f>
        <v>3283.23</v>
      </c>
      <c r="AF169" s="41">
        <f t="shared" si="57"/>
        <v>0</v>
      </c>
      <c r="AG169" s="41">
        <f t="shared" si="58"/>
        <v>0</v>
      </c>
      <c r="AH169" s="41">
        <f t="shared" si="59"/>
        <v>590.98140000000001</v>
      </c>
      <c r="AI169" s="60">
        <f t="shared" si="60"/>
        <v>131.32920000000001</v>
      </c>
      <c r="AJ169" s="60">
        <f t="shared" si="61"/>
        <v>738.72675000000004</v>
      </c>
      <c r="AK169" s="60">
        <f t="shared" si="62"/>
        <v>2374.7197808219175</v>
      </c>
      <c r="AL169" s="60">
        <f t="shared" si="63"/>
        <v>1745.4190389041094</v>
      </c>
      <c r="AM169" s="41">
        <f t="shared" si="64"/>
        <v>667.7550110958905</v>
      </c>
      <c r="AN169" s="42">
        <f t="shared" si="65"/>
        <v>45715</v>
      </c>
      <c r="AO169" s="43">
        <f t="shared" si="66"/>
        <v>3283.23</v>
      </c>
    </row>
    <row r="170" spans="1:41" s="24" customFormat="1" ht="15.75" customHeight="1" x14ac:dyDescent="0.35">
      <c r="A170" s="36" t="s">
        <v>27</v>
      </c>
      <c r="B170" s="36">
        <v>202506</v>
      </c>
      <c r="C170" s="24" t="s">
        <v>128</v>
      </c>
      <c r="D170" s="24" t="s">
        <v>129</v>
      </c>
      <c r="E170" s="62">
        <v>45818</v>
      </c>
      <c r="F170" s="62">
        <v>46182</v>
      </c>
      <c r="G170" s="37" t="s">
        <v>298</v>
      </c>
      <c r="H170" s="36">
        <v>2009</v>
      </c>
      <c r="I170" s="63">
        <v>25856</v>
      </c>
      <c r="J170" s="24" t="s">
        <v>946</v>
      </c>
      <c r="K170" s="63">
        <f t="shared" si="50"/>
        <v>45818</v>
      </c>
      <c r="L170" s="55">
        <f t="shared" si="51"/>
        <v>0.04</v>
      </c>
      <c r="M170" s="76">
        <v>0.22500000000000001</v>
      </c>
      <c r="N170" s="62">
        <v>45818</v>
      </c>
      <c r="O170" s="62">
        <v>46182</v>
      </c>
      <c r="P170" s="63"/>
      <c r="Q170" s="63"/>
      <c r="R170" s="82">
        <v>54</v>
      </c>
      <c r="S170" s="63" t="str">
        <f>VLOOKUP(R170,SA!$B$5:$C$11,2,1)</f>
        <v>46-55</v>
      </c>
      <c r="T170" s="38" t="s">
        <v>97</v>
      </c>
      <c r="U170" s="24" t="s">
        <v>115</v>
      </c>
      <c r="V170" s="24">
        <v>300000</v>
      </c>
      <c r="W170" s="39">
        <f t="shared" si="52"/>
        <v>0</v>
      </c>
      <c r="X170" s="29">
        <f t="shared" si="53"/>
        <v>0</v>
      </c>
      <c r="Y170" s="40">
        <f t="shared" si="54"/>
        <v>365</v>
      </c>
      <c r="Z170" s="38">
        <f t="shared" si="49"/>
        <v>46081</v>
      </c>
      <c r="AA170" s="41">
        <f t="shared" si="55"/>
        <v>264</v>
      </c>
      <c r="AB170" s="24" t="s">
        <v>125</v>
      </c>
      <c r="AC170" s="41">
        <f t="shared" si="56"/>
        <v>9586.9925999999996</v>
      </c>
      <c r="AD170" s="41">
        <v>1</v>
      </c>
      <c r="AE170" s="72">
        <f>IFERROR(INDEX(SA!$C$4:$E$11,MATCH(Details!S170,SA!$C$4:$C$11,0),MATCH(Details!V170,SA!$C$4:$E$4,0)),0)*Y170/(F170-E170+1)</f>
        <v>8124.57</v>
      </c>
      <c r="AF170" s="41">
        <f t="shared" si="57"/>
        <v>0</v>
      </c>
      <c r="AG170" s="41">
        <f t="shared" si="58"/>
        <v>0</v>
      </c>
      <c r="AH170" s="41">
        <f t="shared" si="59"/>
        <v>1462.4225999999999</v>
      </c>
      <c r="AI170" s="60">
        <f t="shared" si="60"/>
        <v>324.9828</v>
      </c>
      <c r="AJ170" s="60">
        <f t="shared" si="61"/>
        <v>1828.0282500000001</v>
      </c>
      <c r="AK170" s="60">
        <f t="shared" si="62"/>
        <v>5876.4013150684932</v>
      </c>
      <c r="AL170" s="60">
        <f t="shared" si="63"/>
        <v>4319.1549665753428</v>
      </c>
      <c r="AM170" s="41">
        <f t="shared" si="64"/>
        <v>1652.4039834246571</v>
      </c>
      <c r="AN170" s="42">
        <f t="shared" si="65"/>
        <v>45715</v>
      </c>
      <c r="AO170" s="43">
        <f t="shared" si="66"/>
        <v>8124.57</v>
      </c>
    </row>
    <row r="171" spans="1:41" s="24" customFormat="1" ht="15.75" customHeight="1" x14ac:dyDescent="0.35">
      <c r="A171" s="36" t="s">
        <v>27</v>
      </c>
      <c r="B171" s="36">
        <v>202506</v>
      </c>
      <c r="C171" s="24" t="s">
        <v>128</v>
      </c>
      <c r="D171" s="24" t="s">
        <v>129</v>
      </c>
      <c r="E171" s="62">
        <v>45818</v>
      </c>
      <c r="F171" s="62">
        <v>46182</v>
      </c>
      <c r="G171" s="37" t="s">
        <v>299</v>
      </c>
      <c r="H171" s="36">
        <v>2011</v>
      </c>
      <c r="I171" s="63">
        <v>28260</v>
      </c>
      <c r="J171" s="24" t="s">
        <v>947</v>
      </c>
      <c r="K171" s="63">
        <f t="shared" si="50"/>
        <v>45818</v>
      </c>
      <c r="L171" s="55">
        <f t="shared" si="51"/>
        <v>0.04</v>
      </c>
      <c r="M171" s="76">
        <v>0.22500000000000001</v>
      </c>
      <c r="N171" s="62">
        <v>45818</v>
      </c>
      <c r="O171" s="62">
        <v>46182</v>
      </c>
      <c r="P171" s="63"/>
      <c r="Q171" s="63"/>
      <c r="R171" s="82">
        <v>48</v>
      </c>
      <c r="S171" s="63" t="str">
        <f>VLOOKUP(R171,SA!$B$5:$C$11,2,1)</f>
        <v>46-55</v>
      </c>
      <c r="T171" s="38" t="s">
        <v>96</v>
      </c>
      <c r="U171" s="24" t="s">
        <v>56</v>
      </c>
      <c r="V171" s="24">
        <v>300000</v>
      </c>
      <c r="W171" s="39">
        <f t="shared" si="52"/>
        <v>300000</v>
      </c>
      <c r="X171" s="29">
        <f t="shared" si="53"/>
        <v>1</v>
      </c>
      <c r="Y171" s="40">
        <f t="shared" si="54"/>
        <v>365</v>
      </c>
      <c r="Z171" s="38">
        <f t="shared" si="49"/>
        <v>46081</v>
      </c>
      <c r="AA171" s="41">
        <f t="shared" si="55"/>
        <v>264</v>
      </c>
      <c r="AB171" s="24" t="s">
        <v>125</v>
      </c>
      <c r="AC171" s="41">
        <f t="shared" si="56"/>
        <v>9586.9925999999996</v>
      </c>
      <c r="AD171" s="41">
        <v>1</v>
      </c>
      <c r="AE171" s="72">
        <f>IFERROR(INDEX(SA!$C$4:$E$11,MATCH(Details!S171,SA!$C$4:$C$11,0),MATCH(Details!V171,SA!$C$4:$E$4,0)),0)*Y171/(F171-E171+1)</f>
        <v>8124.57</v>
      </c>
      <c r="AF171" s="41">
        <f t="shared" si="57"/>
        <v>0</v>
      </c>
      <c r="AG171" s="41">
        <f t="shared" si="58"/>
        <v>0</v>
      </c>
      <c r="AH171" s="41">
        <f t="shared" si="59"/>
        <v>1462.4225999999999</v>
      </c>
      <c r="AI171" s="60">
        <f t="shared" si="60"/>
        <v>324.9828</v>
      </c>
      <c r="AJ171" s="60">
        <f t="shared" si="61"/>
        <v>1828.0282500000001</v>
      </c>
      <c r="AK171" s="60">
        <f t="shared" si="62"/>
        <v>5876.4013150684932</v>
      </c>
      <c r="AL171" s="60">
        <f t="shared" si="63"/>
        <v>4319.1549665753428</v>
      </c>
      <c r="AM171" s="41">
        <f t="shared" si="64"/>
        <v>1652.4039834246571</v>
      </c>
      <c r="AN171" s="42">
        <f t="shared" si="65"/>
        <v>45715</v>
      </c>
      <c r="AO171" s="43">
        <f t="shared" si="66"/>
        <v>8124.57</v>
      </c>
    </row>
    <row r="172" spans="1:41" s="24" customFormat="1" ht="15.75" customHeight="1" x14ac:dyDescent="0.35">
      <c r="A172" s="36" t="s">
        <v>27</v>
      </c>
      <c r="B172" s="36">
        <v>202506</v>
      </c>
      <c r="C172" s="24" t="s">
        <v>128</v>
      </c>
      <c r="D172" s="24" t="s">
        <v>129</v>
      </c>
      <c r="E172" s="62">
        <v>45818</v>
      </c>
      <c r="F172" s="62">
        <v>46182</v>
      </c>
      <c r="G172" s="37" t="s">
        <v>300</v>
      </c>
      <c r="H172" s="36">
        <v>2011</v>
      </c>
      <c r="I172" s="63">
        <v>41178</v>
      </c>
      <c r="J172" s="24" t="s">
        <v>948</v>
      </c>
      <c r="K172" s="63">
        <f t="shared" si="50"/>
        <v>45818</v>
      </c>
      <c r="L172" s="55">
        <f t="shared" si="51"/>
        <v>0.04</v>
      </c>
      <c r="M172" s="76">
        <v>0.22500000000000001</v>
      </c>
      <c r="N172" s="62">
        <v>45818</v>
      </c>
      <c r="O172" s="62">
        <v>46182</v>
      </c>
      <c r="P172" s="63"/>
      <c r="Q172" s="63"/>
      <c r="R172" s="82">
        <v>12</v>
      </c>
      <c r="S172" s="63" t="str">
        <f>VLOOKUP(R172,SA!$B$5:$C$11,2,1)</f>
        <v>0-35</v>
      </c>
      <c r="T172" s="38" t="s">
        <v>97</v>
      </c>
      <c r="U172" s="24" t="s">
        <v>113</v>
      </c>
      <c r="V172" s="24">
        <v>300000</v>
      </c>
      <c r="W172" s="39">
        <f t="shared" si="52"/>
        <v>0</v>
      </c>
      <c r="X172" s="29">
        <f t="shared" si="53"/>
        <v>0</v>
      </c>
      <c r="Y172" s="40">
        <f t="shared" si="54"/>
        <v>365</v>
      </c>
      <c r="Z172" s="38">
        <f t="shared" si="49"/>
        <v>46081</v>
      </c>
      <c r="AA172" s="41">
        <f t="shared" si="55"/>
        <v>264</v>
      </c>
      <c r="AB172" s="24" t="s">
        <v>125</v>
      </c>
      <c r="AC172" s="41">
        <f t="shared" si="56"/>
        <v>3874.2114000000001</v>
      </c>
      <c r="AD172" s="41">
        <v>1</v>
      </c>
      <c r="AE172" s="72">
        <f>IFERROR(INDEX(SA!$C$4:$E$11,MATCH(Details!S172,SA!$C$4:$C$11,0),MATCH(Details!V172,SA!$C$4:$E$4,0)),0)*Y172/(F172-E172+1)</f>
        <v>3283.23</v>
      </c>
      <c r="AF172" s="41">
        <f t="shared" si="57"/>
        <v>0</v>
      </c>
      <c r="AG172" s="41">
        <f t="shared" si="58"/>
        <v>0</v>
      </c>
      <c r="AH172" s="41">
        <f t="shared" si="59"/>
        <v>590.98140000000001</v>
      </c>
      <c r="AI172" s="60">
        <f t="shared" si="60"/>
        <v>131.32920000000001</v>
      </c>
      <c r="AJ172" s="60">
        <f t="shared" si="61"/>
        <v>738.72675000000004</v>
      </c>
      <c r="AK172" s="60">
        <f t="shared" si="62"/>
        <v>2374.7197808219175</v>
      </c>
      <c r="AL172" s="60">
        <f t="shared" si="63"/>
        <v>1745.4190389041094</v>
      </c>
      <c r="AM172" s="41">
        <f t="shared" si="64"/>
        <v>667.7550110958905</v>
      </c>
      <c r="AN172" s="42">
        <f t="shared" si="65"/>
        <v>45715</v>
      </c>
      <c r="AO172" s="43">
        <f t="shared" si="66"/>
        <v>3283.23</v>
      </c>
    </row>
    <row r="173" spans="1:41" s="24" customFormat="1" ht="15.75" customHeight="1" x14ac:dyDescent="0.35">
      <c r="A173" s="36" t="s">
        <v>27</v>
      </c>
      <c r="B173" s="36">
        <v>202506</v>
      </c>
      <c r="C173" s="24" t="s">
        <v>128</v>
      </c>
      <c r="D173" s="24" t="s">
        <v>129</v>
      </c>
      <c r="E173" s="62">
        <v>45818</v>
      </c>
      <c r="F173" s="62">
        <v>46182</v>
      </c>
      <c r="G173" s="37" t="s">
        <v>301</v>
      </c>
      <c r="H173" s="36">
        <v>2011</v>
      </c>
      <c r="I173" s="63">
        <v>43077</v>
      </c>
      <c r="J173" s="24" t="s">
        <v>949</v>
      </c>
      <c r="K173" s="63">
        <f t="shared" si="50"/>
        <v>45818</v>
      </c>
      <c r="L173" s="55">
        <f t="shared" si="51"/>
        <v>0.04</v>
      </c>
      <c r="M173" s="76">
        <v>0.22500000000000001</v>
      </c>
      <c r="N173" s="62">
        <v>45818</v>
      </c>
      <c r="O173" s="62">
        <v>46182</v>
      </c>
      <c r="P173" s="63"/>
      <c r="Q173" s="63"/>
      <c r="R173" s="82">
        <v>7</v>
      </c>
      <c r="S173" s="63" t="str">
        <f>VLOOKUP(R173,SA!$B$5:$C$11,2,1)</f>
        <v>0-35</v>
      </c>
      <c r="T173" s="38" t="s">
        <v>97</v>
      </c>
      <c r="U173" s="24" t="s">
        <v>113</v>
      </c>
      <c r="V173" s="24">
        <v>300000</v>
      </c>
      <c r="W173" s="39">
        <f t="shared" si="52"/>
        <v>0</v>
      </c>
      <c r="X173" s="29">
        <f t="shared" si="53"/>
        <v>0</v>
      </c>
      <c r="Y173" s="40">
        <f t="shared" si="54"/>
        <v>365</v>
      </c>
      <c r="Z173" s="38">
        <f t="shared" si="49"/>
        <v>46081</v>
      </c>
      <c r="AA173" s="41">
        <f t="shared" si="55"/>
        <v>264</v>
      </c>
      <c r="AB173" s="24" t="s">
        <v>125</v>
      </c>
      <c r="AC173" s="41">
        <f t="shared" si="56"/>
        <v>3874.2114000000001</v>
      </c>
      <c r="AD173" s="41">
        <v>1</v>
      </c>
      <c r="AE173" s="72">
        <f>IFERROR(INDEX(SA!$C$4:$E$11,MATCH(Details!S173,SA!$C$4:$C$11,0),MATCH(Details!V173,SA!$C$4:$E$4,0)),0)*Y173/(F173-E173+1)</f>
        <v>3283.23</v>
      </c>
      <c r="AF173" s="41">
        <f t="shared" si="57"/>
        <v>0</v>
      </c>
      <c r="AG173" s="41">
        <f t="shared" si="58"/>
        <v>0</v>
      </c>
      <c r="AH173" s="41">
        <f t="shared" si="59"/>
        <v>590.98140000000001</v>
      </c>
      <c r="AI173" s="60">
        <f t="shared" si="60"/>
        <v>131.32920000000001</v>
      </c>
      <c r="AJ173" s="60">
        <f t="shared" si="61"/>
        <v>738.72675000000004</v>
      </c>
      <c r="AK173" s="60">
        <f t="shared" si="62"/>
        <v>2374.7197808219175</v>
      </c>
      <c r="AL173" s="60">
        <f t="shared" si="63"/>
        <v>1745.4190389041094</v>
      </c>
      <c r="AM173" s="41">
        <f t="shared" si="64"/>
        <v>667.7550110958905</v>
      </c>
      <c r="AN173" s="42">
        <f t="shared" si="65"/>
        <v>45715</v>
      </c>
      <c r="AO173" s="43">
        <f t="shared" si="66"/>
        <v>3283.23</v>
      </c>
    </row>
    <row r="174" spans="1:41" s="24" customFormat="1" ht="15.75" customHeight="1" x14ac:dyDescent="0.35">
      <c r="A174" s="36" t="s">
        <v>27</v>
      </c>
      <c r="B174" s="36">
        <v>202506</v>
      </c>
      <c r="C174" s="24" t="s">
        <v>128</v>
      </c>
      <c r="D174" s="24" t="s">
        <v>129</v>
      </c>
      <c r="E174" s="62">
        <v>45818</v>
      </c>
      <c r="F174" s="62">
        <v>46182</v>
      </c>
      <c r="G174" s="37" t="s">
        <v>302</v>
      </c>
      <c r="H174" s="36">
        <v>2011</v>
      </c>
      <c r="I174" s="63">
        <v>31076</v>
      </c>
      <c r="J174" s="24" t="s">
        <v>950</v>
      </c>
      <c r="K174" s="63">
        <f t="shared" si="50"/>
        <v>45818</v>
      </c>
      <c r="L174" s="55">
        <f t="shared" si="51"/>
        <v>0.04</v>
      </c>
      <c r="M174" s="76">
        <v>0.22500000000000001</v>
      </c>
      <c r="N174" s="62">
        <v>45818</v>
      </c>
      <c r="O174" s="62">
        <v>46182</v>
      </c>
      <c r="P174" s="63"/>
      <c r="Q174" s="63"/>
      <c r="R174" s="82">
        <v>40</v>
      </c>
      <c r="S174" s="63" t="str">
        <f>VLOOKUP(R174,SA!$B$5:$C$11,2,1)</f>
        <v>36-45</v>
      </c>
      <c r="T174" s="38" t="s">
        <v>97</v>
      </c>
      <c r="U174" s="24" t="s">
        <v>115</v>
      </c>
      <c r="V174" s="24">
        <v>300000</v>
      </c>
      <c r="W174" s="39">
        <f t="shared" si="52"/>
        <v>0</v>
      </c>
      <c r="X174" s="29">
        <f t="shared" si="53"/>
        <v>0</v>
      </c>
      <c r="Y174" s="40">
        <f t="shared" si="54"/>
        <v>365</v>
      </c>
      <c r="Z174" s="38">
        <f t="shared" si="49"/>
        <v>46081</v>
      </c>
      <c r="AA174" s="41">
        <f t="shared" si="55"/>
        <v>264</v>
      </c>
      <c r="AB174" s="24" t="s">
        <v>125</v>
      </c>
      <c r="AC174" s="41">
        <f t="shared" si="56"/>
        <v>5017.3245999999999</v>
      </c>
      <c r="AD174" s="41">
        <v>1</v>
      </c>
      <c r="AE174" s="72">
        <f>IFERROR(INDEX(SA!$C$4:$E$11,MATCH(Details!S174,SA!$C$4:$C$11,0),MATCH(Details!V174,SA!$C$4:$E$4,0)),0)*Y174/(F174-E174+1)</f>
        <v>4251.97</v>
      </c>
      <c r="AF174" s="41">
        <f t="shared" si="57"/>
        <v>0</v>
      </c>
      <c r="AG174" s="41">
        <f t="shared" si="58"/>
        <v>0</v>
      </c>
      <c r="AH174" s="41">
        <f t="shared" si="59"/>
        <v>765.3546</v>
      </c>
      <c r="AI174" s="60">
        <f t="shared" si="60"/>
        <v>170.0788</v>
      </c>
      <c r="AJ174" s="60">
        <f t="shared" si="61"/>
        <v>956.69325000000003</v>
      </c>
      <c r="AK174" s="60">
        <f t="shared" si="62"/>
        <v>3075.397479452055</v>
      </c>
      <c r="AL174" s="60">
        <f t="shared" si="63"/>
        <v>2260.4171473972606</v>
      </c>
      <c r="AM174" s="41">
        <f t="shared" si="64"/>
        <v>864.78080260273941</v>
      </c>
      <c r="AN174" s="42">
        <f t="shared" si="65"/>
        <v>45715</v>
      </c>
      <c r="AO174" s="43">
        <f t="shared" si="66"/>
        <v>4251.97</v>
      </c>
    </row>
    <row r="175" spans="1:41" s="24" customFormat="1" ht="15.75" customHeight="1" x14ac:dyDescent="0.35">
      <c r="A175" s="36" t="s">
        <v>27</v>
      </c>
      <c r="B175" s="36">
        <v>202506</v>
      </c>
      <c r="C175" s="24" t="s">
        <v>128</v>
      </c>
      <c r="D175" s="24" t="s">
        <v>129</v>
      </c>
      <c r="E175" s="62">
        <v>45818</v>
      </c>
      <c r="F175" s="62">
        <v>46182</v>
      </c>
      <c r="G175" s="37" t="s">
        <v>303</v>
      </c>
      <c r="H175" s="36">
        <v>2012</v>
      </c>
      <c r="I175" s="63">
        <v>26077</v>
      </c>
      <c r="J175" s="24" t="s">
        <v>951</v>
      </c>
      <c r="K175" s="63">
        <f t="shared" si="50"/>
        <v>45818</v>
      </c>
      <c r="L175" s="55">
        <f t="shared" si="51"/>
        <v>0.04</v>
      </c>
      <c r="M175" s="76">
        <v>0.22500000000000001</v>
      </c>
      <c r="N175" s="62">
        <v>45818</v>
      </c>
      <c r="O175" s="62">
        <v>46182</v>
      </c>
      <c r="P175" s="63"/>
      <c r="Q175" s="63"/>
      <c r="R175" s="82">
        <v>54</v>
      </c>
      <c r="S175" s="63" t="str">
        <f>VLOOKUP(R175,SA!$B$5:$C$11,2,1)</f>
        <v>46-55</v>
      </c>
      <c r="T175" s="38" t="s">
        <v>96</v>
      </c>
      <c r="U175" s="24" t="s">
        <v>56</v>
      </c>
      <c r="V175" s="24">
        <v>300000</v>
      </c>
      <c r="W175" s="39">
        <f t="shared" si="52"/>
        <v>300000</v>
      </c>
      <c r="X175" s="29">
        <f t="shared" si="53"/>
        <v>1</v>
      </c>
      <c r="Y175" s="40">
        <f t="shared" si="54"/>
        <v>365</v>
      </c>
      <c r="Z175" s="38">
        <f t="shared" si="49"/>
        <v>46081</v>
      </c>
      <c r="AA175" s="41">
        <f t="shared" si="55"/>
        <v>264</v>
      </c>
      <c r="AB175" s="24" t="s">
        <v>125</v>
      </c>
      <c r="AC175" s="41">
        <f t="shared" si="56"/>
        <v>9586.9925999999996</v>
      </c>
      <c r="AD175" s="41">
        <v>1</v>
      </c>
      <c r="AE175" s="72">
        <f>IFERROR(INDEX(SA!$C$4:$E$11,MATCH(Details!S175,SA!$C$4:$C$11,0),MATCH(Details!V175,SA!$C$4:$E$4,0)),0)*Y175/(F175-E175+1)</f>
        <v>8124.57</v>
      </c>
      <c r="AF175" s="41">
        <f t="shared" si="57"/>
        <v>0</v>
      </c>
      <c r="AG175" s="41">
        <f t="shared" si="58"/>
        <v>0</v>
      </c>
      <c r="AH175" s="41">
        <f t="shared" si="59"/>
        <v>1462.4225999999999</v>
      </c>
      <c r="AI175" s="60">
        <f t="shared" si="60"/>
        <v>324.9828</v>
      </c>
      <c r="AJ175" s="60">
        <f t="shared" si="61"/>
        <v>1828.0282500000001</v>
      </c>
      <c r="AK175" s="60">
        <f t="shared" si="62"/>
        <v>5876.4013150684932</v>
      </c>
      <c r="AL175" s="60">
        <f t="shared" si="63"/>
        <v>4319.1549665753428</v>
      </c>
      <c r="AM175" s="41">
        <f t="shared" si="64"/>
        <v>1652.4039834246571</v>
      </c>
      <c r="AN175" s="42">
        <f t="shared" si="65"/>
        <v>45715</v>
      </c>
      <c r="AO175" s="43">
        <f t="shared" si="66"/>
        <v>8124.57</v>
      </c>
    </row>
    <row r="176" spans="1:41" s="24" customFormat="1" ht="15.75" customHeight="1" x14ac:dyDescent="0.35">
      <c r="A176" s="36" t="s">
        <v>27</v>
      </c>
      <c r="B176" s="36">
        <v>202506</v>
      </c>
      <c r="C176" s="24" t="s">
        <v>128</v>
      </c>
      <c r="D176" s="24" t="s">
        <v>129</v>
      </c>
      <c r="E176" s="62">
        <v>45818</v>
      </c>
      <c r="F176" s="62">
        <v>46182</v>
      </c>
      <c r="G176" s="37" t="s">
        <v>304</v>
      </c>
      <c r="H176" s="36">
        <v>2012</v>
      </c>
      <c r="I176" s="63">
        <v>26780</v>
      </c>
      <c r="J176" s="24" t="s">
        <v>952</v>
      </c>
      <c r="K176" s="63">
        <f t="shared" si="50"/>
        <v>45818</v>
      </c>
      <c r="L176" s="55">
        <f t="shared" si="51"/>
        <v>0.04</v>
      </c>
      <c r="M176" s="76">
        <v>0.22500000000000001</v>
      </c>
      <c r="N176" s="62">
        <v>45818</v>
      </c>
      <c r="O176" s="62">
        <v>46182</v>
      </c>
      <c r="P176" s="63"/>
      <c r="Q176" s="63"/>
      <c r="R176" s="82">
        <v>52</v>
      </c>
      <c r="S176" s="63" t="str">
        <f>VLOOKUP(R176,SA!$B$5:$C$11,2,1)</f>
        <v>46-55</v>
      </c>
      <c r="T176" s="38" t="s">
        <v>97</v>
      </c>
      <c r="U176" s="24" t="s">
        <v>115</v>
      </c>
      <c r="V176" s="24">
        <v>300000</v>
      </c>
      <c r="W176" s="39">
        <f t="shared" si="52"/>
        <v>0</v>
      </c>
      <c r="X176" s="29">
        <f t="shared" si="53"/>
        <v>0</v>
      </c>
      <c r="Y176" s="40">
        <f t="shared" si="54"/>
        <v>365</v>
      </c>
      <c r="Z176" s="38">
        <f t="shared" si="49"/>
        <v>46081</v>
      </c>
      <c r="AA176" s="41">
        <f t="shared" si="55"/>
        <v>264</v>
      </c>
      <c r="AB176" s="24" t="s">
        <v>125</v>
      </c>
      <c r="AC176" s="41">
        <f t="shared" si="56"/>
        <v>9586.9925999999996</v>
      </c>
      <c r="AD176" s="41">
        <v>1</v>
      </c>
      <c r="AE176" s="72">
        <f>IFERROR(INDEX(SA!$C$4:$E$11,MATCH(Details!S176,SA!$C$4:$C$11,0),MATCH(Details!V176,SA!$C$4:$E$4,0)),0)*Y176/(F176-E176+1)</f>
        <v>8124.57</v>
      </c>
      <c r="AF176" s="41">
        <f t="shared" si="57"/>
        <v>0</v>
      </c>
      <c r="AG176" s="41">
        <f t="shared" si="58"/>
        <v>0</v>
      </c>
      <c r="AH176" s="41">
        <f t="shared" si="59"/>
        <v>1462.4225999999999</v>
      </c>
      <c r="AI176" s="60">
        <f t="shared" si="60"/>
        <v>324.9828</v>
      </c>
      <c r="AJ176" s="60">
        <f t="shared" si="61"/>
        <v>1828.0282500000001</v>
      </c>
      <c r="AK176" s="60">
        <f t="shared" si="62"/>
        <v>5876.4013150684932</v>
      </c>
      <c r="AL176" s="60">
        <f t="shared" si="63"/>
        <v>4319.1549665753428</v>
      </c>
      <c r="AM176" s="41">
        <f t="shared" si="64"/>
        <v>1652.4039834246571</v>
      </c>
      <c r="AN176" s="42">
        <f t="shared" si="65"/>
        <v>45715</v>
      </c>
      <c r="AO176" s="43">
        <f t="shared" si="66"/>
        <v>8124.57</v>
      </c>
    </row>
    <row r="177" spans="1:41" s="24" customFormat="1" ht="15.75" customHeight="1" x14ac:dyDescent="0.35">
      <c r="A177" s="36" t="s">
        <v>27</v>
      </c>
      <c r="B177" s="36">
        <v>202506</v>
      </c>
      <c r="C177" s="24" t="s">
        <v>128</v>
      </c>
      <c r="D177" s="24" t="s">
        <v>129</v>
      </c>
      <c r="E177" s="62">
        <v>45818</v>
      </c>
      <c r="F177" s="62">
        <v>46182</v>
      </c>
      <c r="G177" s="37" t="s">
        <v>305</v>
      </c>
      <c r="H177" s="36">
        <v>2012</v>
      </c>
      <c r="I177" s="63">
        <v>39697</v>
      </c>
      <c r="J177" s="24" t="s">
        <v>953</v>
      </c>
      <c r="K177" s="63">
        <f t="shared" si="50"/>
        <v>45818</v>
      </c>
      <c r="L177" s="55">
        <f t="shared" si="51"/>
        <v>0.04</v>
      </c>
      <c r="M177" s="76">
        <v>0.22500000000000001</v>
      </c>
      <c r="N177" s="62">
        <v>45818</v>
      </c>
      <c r="O177" s="62">
        <v>46182</v>
      </c>
      <c r="P177" s="63"/>
      <c r="Q177" s="63"/>
      <c r="R177" s="82">
        <v>16</v>
      </c>
      <c r="S177" s="63" t="str">
        <f>VLOOKUP(R177,SA!$B$5:$C$11,2,1)</f>
        <v>0-35</v>
      </c>
      <c r="T177" s="38" t="s">
        <v>97</v>
      </c>
      <c r="U177" s="24" t="s">
        <v>113</v>
      </c>
      <c r="V177" s="24">
        <v>300000</v>
      </c>
      <c r="W177" s="39">
        <f t="shared" si="52"/>
        <v>0</v>
      </c>
      <c r="X177" s="29">
        <f t="shared" si="53"/>
        <v>0</v>
      </c>
      <c r="Y177" s="40">
        <f t="shared" si="54"/>
        <v>365</v>
      </c>
      <c r="Z177" s="38">
        <f t="shared" si="49"/>
        <v>46081</v>
      </c>
      <c r="AA177" s="41">
        <f t="shared" si="55"/>
        <v>264</v>
      </c>
      <c r="AB177" s="24" t="s">
        <v>125</v>
      </c>
      <c r="AC177" s="41">
        <f t="shared" si="56"/>
        <v>3874.2114000000001</v>
      </c>
      <c r="AD177" s="41">
        <v>1</v>
      </c>
      <c r="AE177" s="72">
        <f>IFERROR(INDEX(SA!$C$4:$E$11,MATCH(Details!S177,SA!$C$4:$C$11,0),MATCH(Details!V177,SA!$C$4:$E$4,0)),0)*Y177/(F177-E177+1)</f>
        <v>3283.23</v>
      </c>
      <c r="AF177" s="41">
        <f t="shared" si="57"/>
        <v>0</v>
      </c>
      <c r="AG177" s="41">
        <f t="shared" si="58"/>
        <v>0</v>
      </c>
      <c r="AH177" s="41">
        <f t="shared" si="59"/>
        <v>590.98140000000001</v>
      </c>
      <c r="AI177" s="60">
        <f t="shared" si="60"/>
        <v>131.32920000000001</v>
      </c>
      <c r="AJ177" s="60">
        <f t="shared" si="61"/>
        <v>738.72675000000004</v>
      </c>
      <c r="AK177" s="60">
        <f t="shared" si="62"/>
        <v>2374.7197808219175</v>
      </c>
      <c r="AL177" s="60">
        <f t="shared" si="63"/>
        <v>1745.4190389041094</v>
      </c>
      <c r="AM177" s="41">
        <f t="shared" si="64"/>
        <v>667.7550110958905</v>
      </c>
      <c r="AN177" s="42">
        <f t="shared" si="65"/>
        <v>45715</v>
      </c>
      <c r="AO177" s="43">
        <f t="shared" si="66"/>
        <v>3283.23</v>
      </c>
    </row>
    <row r="178" spans="1:41" s="24" customFormat="1" ht="15.75" customHeight="1" x14ac:dyDescent="0.35">
      <c r="A178" s="36" t="s">
        <v>27</v>
      </c>
      <c r="B178" s="36">
        <v>202506</v>
      </c>
      <c r="C178" s="24" t="s">
        <v>128</v>
      </c>
      <c r="D178" s="24" t="s">
        <v>129</v>
      </c>
      <c r="E178" s="62">
        <v>45818</v>
      </c>
      <c r="F178" s="62">
        <v>46182</v>
      </c>
      <c r="G178" s="37" t="s">
        <v>306</v>
      </c>
      <c r="H178" s="36">
        <v>2012</v>
      </c>
      <c r="I178" s="63">
        <v>40181</v>
      </c>
      <c r="J178" s="24" t="s">
        <v>954</v>
      </c>
      <c r="K178" s="63">
        <f t="shared" si="50"/>
        <v>45818</v>
      </c>
      <c r="L178" s="55">
        <f t="shared" si="51"/>
        <v>0.04</v>
      </c>
      <c r="M178" s="76">
        <v>0.22500000000000001</v>
      </c>
      <c r="N178" s="62">
        <v>45818</v>
      </c>
      <c r="O178" s="62">
        <v>46182</v>
      </c>
      <c r="P178" s="63"/>
      <c r="Q178" s="63"/>
      <c r="R178" s="82">
        <v>15</v>
      </c>
      <c r="S178" s="63" t="str">
        <f>VLOOKUP(R178,SA!$B$5:$C$11,2,1)</f>
        <v>0-35</v>
      </c>
      <c r="T178" s="38" t="s">
        <v>97</v>
      </c>
      <c r="U178" s="24" t="s">
        <v>113</v>
      </c>
      <c r="V178" s="24">
        <v>300000</v>
      </c>
      <c r="W178" s="39">
        <f t="shared" si="52"/>
        <v>0</v>
      </c>
      <c r="X178" s="29">
        <f t="shared" si="53"/>
        <v>0</v>
      </c>
      <c r="Y178" s="40">
        <f t="shared" si="54"/>
        <v>365</v>
      </c>
      <c r="Z178" s="38">
        <f t="shared" si="49"/>
        <v>46081</v>
      </c>
      <c r="AA178" s="41">
        <f t="shared" si="55"/>
        <v>264</v>
      </c>
      <c r="AB178" s="24" t="s">
        <v>125</v>
      </c>
      <c r="AC178" s="41">
        <f t="shared" si="56"/>
        <v>3874.2114000000001</v>
      </c>
      <c r="AD178" s="41">
        <v>1</v>
      </c>
      <c r="AE178" s="72">
        <f>IFERROR(INDEX(SA!$C$4:$E$11,MATCH(Details!S178,SA!$C$4:$C$11,0),MATCH(Details!V178,SA!$C$4:$E$4,0)),0)*Y178/(F178-E178+1)</f>
        <v>3283.23</v>
      </c>
      <c r="AF178" s="41">
        <f t="shared" si="57"/>
        <v>0</v>
      </c>
      <c r="AG178" s="41">
        <f t="shared" si="58"/>
        <v>0</v>
      </c>
      <c r="AH178" s="41">
        <f t="shared" si="59"/>
        <v>590.98140000000001</v>
      </c>
      <c r="AI178" s="60">
        <f t="shared" si="60"/>
        <v>131.32920000000001</v>
      </c>
      <c r="AJ178" s="60">
        <f t="shared" si="61"/>
        <v>738.72675000000004</v>
      </c>
      <c r="AK178" s="60">
        <f t="shared" si="62"/>
        <v>2374.7197808219175</v>
      </c>
      <c r="AL178" s="60">
        <f t="shared" si="63"/>
        <v>1745.4190389041094</v>
      </c>
      <c r="AM178" s="41">
        <f t="shared" si="64"/>
        <v>667.7550110958905</v>
      </c>
      <c r="AN178" s="42">
        <f t="shared" si="65"/>
        <v>45715</v>
      </c>
      <c r="AO178" s="43">
        <f t="shared" si="66"/>
        <v>3283.23</v>
      </c>
    </row>
    <row r="179" spans="1:41" s="24" customFormat="1" ht="15.75" customHeight="1" x14ac:dyDescent="0.35">
      <c r="A179" s="36" t="s">
        <v>27</v>
      </c>
      <c r="B179" s="36">
        <v>202506</v>
      </c>
      <c r="C179" s="24" t="s">
        <v>128</v>
      </c>
      <c r="D179" s="24" t="s">
        <v>129</v>
      </c>
      <c r="E179" s="62">
        <v>45818</v>
      </c>
      <c r="F179" s="62">
        <v>46182</v>
      </c>
      <c r="G179" s="37" t="s">
        <v>307</v>
      </c>
      <c r="H179" s="36">
        <v>2016</v>
      </c>
      <c r="I179" s="63">
        <v>25197</v>
      </c>
      <c r="J179" s="24" t="s">
        <v>955</v>
      </c>
      <c r="K179" s="63">
        <f t="shared" si="50"/>
        <v>45818</v>
      </c>
      <c r="L179" s="55">
        <f t="shared" si="51"/>
        <v>0.04</v>
      </c>
      <c r="M179" s="76">
        <v>0.22500000000000001</v>
      </c>
      <c r="N179" s="62">
        <v>45818</v>
      </c>
      <c r="O179" s="62">
        <v>46182</v>
      </c>
      <c r="P179" s="63"/>
      <c r="Q179" s="63"/>
      <c r="R179" s="82">
        <v>56</v>
      </c>
      <c r="S179" s="63" t="str">
        <f>VLOOKUP(R179,SA!$B$5:$C$11,2,1)</f>
        <v>56-65</v>
      </c>
      <c r="T179" s="38" t="s">
        <v>97</v>
      </c>
      <c r="U179" s="24" t="s">
        <v>56</v>
      </c>
      <c r="V179" s="24">
        <v>300000</v>
      </c>
      <c r="W179" s="39">
        <f t="shared" si="52"/>
        <v>300000</v>
      </c>
      <c r="X179" s="29">
        <f t="shared" si="53"/>
        <v>1</v>
      </c>
      <c r="Y179" s="40">
        <f t="shared" si="54"/>
        <v>365</v>
      </c>
      <c r="Z179" s="38">
        <f t="shared" si="49"/>
        <v>46081</v>
      </c>
      <c r="AA179" s="41">
        <f t="shared" si="55"/>
        <v>264</v>
      </c>
      <c r="AB179" s="24" t="s">
        <v>125</v>
      </c>
      <c r="AC179" s="41">
        <f t="shared" si="56"/>
        <v>16811.448199999999</v>
      </c>
      <c r="AD179" s="41">
        <v>1</v>
      </c>
      <c r="AE179" s="72">
        <f>IFERROR(INDEX(SA!$C$4:$E$11,MATCH(Details!S179,SA!$C$4:$C$11,0),MATCH(Details!V179,SA!$C$4:$E$4,0)),0)*Y179/(F179-E179+1)</f>
        <v>14246.99</v>
      </c>
      <c r="AF179" s="41">
        <f t="shared" si="57"/>
        <v>0</v>
      </c>
      <c r="AG179" s="41">
        <f t="shared" si="58"/>
        <v>0</v>
      </c>
      <c r="AH179" s="41">
        <f t="shared" si="59"/>
        <v>2564.4582</v>
      </c>
      <c r="AI179" s="60">
        <f t="shared" si="60"/>
        <v>569.87959999999998</v>
      </c>
      <c r="AJ179" s="60">
        <f t="shared" si="61"/>
        <v>3205.5727499999998</v>
      </c>
      <c r="AK179" s="60">
        <f t="shared" si="62"/>
        <v>10304.672219178083</v>
      </c>
      <c r="AL179" s="60">
        <f t="shared" si="63"/>
        <v>7573.9340810958911</v>
      </c>
      <c r="AM179" s="41">
        <f t="shared" si="64"/>
        <v>2897.6035689041087</v>
      </c>
      <c r="AN179" s="42">
        <f t="shared" si="65"/>
        <v>45715</v>
      </c>
      <c r="AO179" s="43">
        <f t="shared" si="66"/>
        <v>14246.99</v>
      </c>
    </row>
    <row r="180" spans="1:41" s="24" customFormat="1" ht="15.75" customHeight="1" x14ac:dyDescent="0.35">
      <c r="A180" s="36" t="s">
        <v>27</v>
      </c>
      <c r="B180" s="36">
        <v>202506</v>
      </c>
      <c r="C180" s="24" t="s">
        <v>128</v>
      </c>
      <c r="D180" s="24" t="s">
        <v>129</v>
      </c>
      <c r="E180" s="62">
        <v>45818</v>
      </c>
      <c r="F180" s="62">
        <v>46182</v>
      </c>
      <c r="G180" s="37" t="s">
        <v>308</v>
      </c>
      <c r="H180" s="36">
        <v>2017</v>
      </c>
      <c r="I180" s="63">
        <v>27565</v>
      </c>
      <c r="J180" s="24" t="s">
        <v>956</v>
      </c>
      <c r="K180" s="63">
        <f t="shared" si="50"/>
        <v>45818</v>
      </c>
      <c r="L180" s="55">
        <f t="shared" si="51"/>
        <v>0.04</v>
      </c>
      <c r="M180" s="76">
        <v>0.22500000000000001</v>
      </c>
      <c r="N180" s="62">
        <v>45818</v>
      </c>
      <c r="O180" s="62">
        <v>46182</v>
      </c>
      <c r="P180" s="63"/>
      <c r="Q180" s="63"/>
      <c r="R180" s="82">
        <v>49</v>
      </c>
      <c r="S180" s="63" t="str">
        <f>VLOOKUP(R180,SA!$B$5:$C$11,2,1)</f>
        <v>46-55</v>
      </c>
      <c r="T180" s="38" t="s">
        <v>96</v>
      </c>
      <c r="U180" s="24" t="s">
        <v>56</v>
      </c>
      <c r="V180" s="24">
        <v>300000</v>
      </c>
      <c r="W180" s="39">
        <f t="shared" si="52"/>
        <v>300000</v>
      </c>
      <c r="X180" s="29">
        <f t="shared" si="53"/>
        <v>1</v>
      </c>
      <c r="Y180" s="40">
        <f t="shared" si="54"/>
        <v>365</v>
      </c>
      <c r="Z180" s="38">
        <f t="shared" si="49"/>
        <v>46081</v>
      </c>
      <c r="AA180" s="41">
        <f t="shared" si="55"/>
        <v>264</v>
      </c>
      <c r="AB180" s="24" t="s">
        <v>125</v>
      </c>
      <c r="AC180" s="41">
        <f t="shared" si="56"/>
        <v>9586.9925999999996</v>
      </c>
      <c r="AD180" s="41">
        <v>1</v>
      </c>
      <c r="AE180" s="72">
        <f>IFERROR(INDEX(SA!$C$4:$E$11,MATCH(Details!S180,SA!$C$4:$C$11,0),MATCH(Details!V180,SA!$C$4:$E$4,0)),0)*Y180/(F180-E180+1)</f>
        <v>8124.57</v>
      </c>
      <c r="AF180" s="41">
        <f t="shared" si="57"/>
        <v>0</v>
      </c>
      <c r="AG180" s="41">
        <f t="shared" si="58"/>
        <v>0</v>
      </c>
      <c r="AH180" s="41">
        <f t="shared" si="59"/>
        <v>1462.4225999999999</v>
      </c>
      <c r="AI180" s="60">
        <f t="shared" si="60"/>
        <v>324.9828</v>
      </c>
      <c r="AJ180" s="60">
        <f t="shared" si="61"/>
        <v>1828.0282500000001</v>
      </c>
      <c r="AK180" s="60">
        <f t="shared" si="62"/>
        <v>5876.4013150684932</v>
      </c>
      <c r="AL180" s="60">
        <f t="shared" si="63"/>
        <v>4319.1549665753428</v>
      </c>
      <c r="AM180" s="41">
        <f t="shared" si="64"/>
        <v>1652.4039834246571</v>
      </c>
      <c r="AN180" s="42">
        <f t="shared" si="65"/>
        <v>45715</v>
      </c>
      <c r="AO180" s="43">
        <f t="shared" si="66"/>
        <v>8124.57</v>
      </c>
    </row>
    <row r="181" spans="1:41" s="24" customFormat="1" ht="15.75" customHeight="1" x14ac:dyDescent="0.35">
      <c r="A181" s="36" t="s">
        <v>27</v>
      </c>
      <c r="B181" s="36">
        <v>202506</v>
      </c>
      <c r="C181" s="24" t="s">
        <v>128</v>
      </c>
      <c r="D181" s="24" t="s">
        <v>129</v>
      </c>
      <c r="E181" s="62">
        <v>45818</v>
      </c>
      <c r="F181" s="62">
        <v>46182</v>
      </c>
      <c r="G181" s="37" t="s">
        <v>309</v>
      </c>
      <c r="H181" s="36">
        <v>2017</v>
      </c>
      <c r="I181" s="63">
        <v>41865</v>
      </c>
      <c r="J181" s="24" t="s">
        <v>957</v>
      </c>
      <c r="K181" s="63">
        <f t="shared" si="50"/>
        <v>45818</v>
      </c>
      <c r="L181" s="55">
        <f t="shared" si="51"/>
        <v>0.04</v>
      </c>
      <c r="M181" s="76">
        <v>0.22500000000000001</v>
      </c>
      <c r="N181" s="62">
        <v>45818</v>
      </c>
      <c r="O181" s="62">
        <v>46182</v>
      </c>
      <c r="P181" s="63"/>
      <c r="Q181" s="63"/>
      <c r="R181" s="82">
        <v>10</v>
      </c>
      <c r="S181" s="63" t="str">
        <f>VLOOKUP(R181,SA!$B$5:$C$11,2,1)</f>
        <v>0-35</v>
      </c>
      <c r="T181" s="38" t="s">
        <v>96</v>
      </c>
      <c r="U181" s="24" t="s">
        <v>114</v>
      </c>
      <c r="V181" s="24">
        <v>300000</v>
      </c>
      <c r="W181" s="39">
        <f t="shared" si="52"/>
        <v>0</v>
      </c>
      <c r="X181" s="29">
        <f t="shared" si="53"/>
        <v>0</v>
      </c>
      <c r="Y181" s="40">
        <f t="shared" si="54"/>
        <v>365</v>
      </c>
      <c r="Z181" s="38">
        <f t="shared" si="49"/>
        <v>46081</v>
      </c>
      <c r="AA181" s="41">
        <f t="shared" si="55"/>
        <v>264</v>
      </c>
      <c r="AB181" s="24" t="s">
        <v>125</v>
      </c>
      <c r="AC181" s="41">
        <f t="shared" si="56"/>
        <v>3874.2114000000001</v>
      </c>
      <c r="AD181" s="41">
        <v>1</v>
      </c>
      <c r="AE181" s="72">
        <f>IFERROR(INDEX(SA!$C$4:$E$11,MATCH(Details!S181,SA!$C$4:$C$11,0),MATCH(Details!V181,SA!$C$4:$E$4,0)),0)*Y181/(F181-E181+1)</f>
        <v>3283.23</v>
      </c>
      <c r="AF181" s="41">
        <f t="shared" si="57"/>
        <v>0</v>
      </c>
      <c r="AG181" s="41">
        <f t="shared" si="58"/>
        <v>0</v>
      </c>
      <c r="AH181" s="41">
        <f t="shared" si="59"/>
        <v>590.98140000000001</v>
      </c>
      <c r="AI181" s="60">
        <f t="shared" si="60"/>
        <v>131.32920000000001</v>
      </c>
      <c r="AJ181" s="60">
        <f t="shared" si="61"/>
        <v>738.72675000000004</v>
      </c>
      <c r="AK181" s="60">
        <f t="shared" si="62"/>
        <v>2374.7197808219175</v>
      </c>
      <c r="AL181" s="60">
        <f t="shared" si="63"/>
        <v>1745.4190389041094</v>
      </c>
      <c r="AM181" s="41">
        <f t="shared" si="64"/>
        <v>667.7550110958905</v>
      </c>
      <c r="AN181" s="42">
        <f t="shared" si="65"/>
        <v>45715</v>
      </c>
      <c r="AO181" s="43">
        <f t="shared" si="66"/>
        <v>3283.23</v>
      </c>
    </row>
    <row r="182" spans="1:41" s="24" customFormat="1" ht="15.75" customHeight="1" x14ac:dyDescent="0.35">
      <c r="A182" s="36" t="s">
        <v>27</v>
      </c>
      <c r="B182" s="36">
        <v>202506</v>
      </c>
      <c r="C182" s="24" t="s">
        <v>128</v>
      </c>
      <c r="D182" s="24" t="s">
        <v>129</v>
      </c>
      <c r="E182" s="62">
        <v>45818</v>
      </c>
      <c r="F182" s="62">
        <v>46182</v>
      </c>
      <c r="G182" s="37" t="s">
        <v>310</v>
      </c>
      <c r="H182" s="36">
        <v>2017</v>
      </c>
      <c r="I182" s="63">
        <v>28642</v>
      </c>
      <c r="J182" s="24" t="s">
        <v>958</v>
      </c>
      <c r="K182" s="63">
        <f t="shared" si="50"/>
        <v>45818</v>
      </c>
      <c r="L182" s="55">
        <f t="shared" si="51"/>
        <v>0.04</v>
      </c>
      <c r="M182" s="76">
        <v>0.22500000000000001</v>
      </c>
      <c r="N182" s="62">
        <v>45818</v>
      </c>
      <c r="O182" s="62">
        <v>46182</v>
      </c>
      <c r="P182" s="63"/>
      <c r="Q182" s="63"/>
      <c r="R182" s="82">
        <v>47</v>
      </c>
      <c r="S182" s="63" t="str">
        <f>VLOOKUP(R182,SA!$B$5:$C$11,2,1)</f>
        <v>46-55</v>
      </c>
      <c r="T182" s="38" t="s">
        <v>97</v>
      </c>
      <c r="U182" s="24" t="s">
        <v>115</v>
      </c>
      <c r="V182" s="24">
        <v>300000</v>
      </c>
      <c r="W182" s="39">
        <f t="shared" si="52"/>
        <v>0</v>
      </c>
      <c r="X182" s="29">
        <f t="shared" si="53"/>
        <v>0</v>
      </c>
      <c r="Y182" s="40">
        <f t="shared" si="54"/>
        <v>365</v>
      </c>
      <c r="Z182" s="38">
        <f t="shared" si="49"/>
        <v>46081</v>
      </c>
      <c r="AA182" s="41">
        <f t="shared" si="55"/>
        <v>264</v>
      </c>
      <c r="AB182" s="24" t="s">
        <v>125</v>
      </c>
      <c r="AC182" s="41">
        <f t="shared" si="56"/>
        <v>9586.9925999999996</v>
      </c>
      <c r="AD182" s="41">
        <v>1</v>
      </c>
      <c r="AE182" s="72">
        <f>IFERROR(INDEX(SA!$C$4:$E$11,MATCH(Details!S182,SA!$C$4:$C$11,0),MATCH(Details!V182,SA!$C$4:$E$4,0)),0)*Y182/(F182-E182+1)</f>
        <v>8124.57</v>
      </c>
      <c r="AF182" s="41">
        <f t="shared" si="57"/>
        <v>0</v>
      </c>
      <c r="AG182" s="41">
        <f t="shared" si="58"/>
        <v>0</v>
      </c>
      <c r="AH182" s="41">
        <f t="shared" si="59"/>
        <v>1462.4225999999999</v>
      </c>
      <c r="AI182" s="60">
        <f t="shared" si="60"/>
        <v>324.9828</v>
      </c>
      <c r="AJ182" s="60">
        <f t="shared" si="61"/>
        <v>1828.0282500000001</v>
      </c>
      <c r="AK182" s="60">
        <f t="shared" si="62"/>
        <v>5876.4013150684932</v>
      </c>
      <c r="AL182" s="60">
        <f t="shared" si="63"/>
        <v>4319.1549665753428</v>
      </c>
      <c r="AM182" s="41">
        <f t="shared" si="64"/>
        <v>1652.4039834246571</v>
      </c>
      <c r="AN182" s="42">
        <f t="shared" si="65"/>
        <v>45715</v>
      </c>
      <c r="AO182" s="43">
        <f t="shared" si="66"/>
        <v>8124.57</v>
      </c>
    </row>
    <row r="183" spans="1:41" s="24" customFormat="1" ht="15.75" customHeight="1" x14ac:dyDescent="0.35">
      <c r="A183" s="36" t="s">
        <v>27</v>
      </c>
      <c r="B183" s="36">
        <v>202506</v>
      </c>
      <c r="C183" s="24" t="s">
        <v>128</v>
      </c>
      <c r="D183" s="24" t="s">
        <v>129</v>
      </c>
      <c r="E183" s="62">
        <v>45818</v>
      </c>
      <c r="F183" s="62">
        <v>46182</v>
      </c>
      <c r="G183" s="37" t="s">
        <v>311</v>
      </c>
      <c r="H183" s="36">
        <v>2017</v>
      </c>
      <c r="I183" s="63">
        <v>39366</v>
      </c>
      <c r="J183" s="24" t="s">
        <v>959</v>
      </c>
      <c r="K183" s="63">
        <f t="shared" si="50"/>
        <v>45818</v>
      </c>
      <c r="L183" s="55">
        <f t="shared" si="51"/>
        <v>0.04</v>
      </c>
      <c r="M183" s="76">
        <v>0.22500000000000001</v>
      </c>
      <c r="N183" s="62">
        <v>45818</v>
      </c>
      <c r="O183" s="62">
        <v>46182</v>
      </c>
      <c r="P183" s="63"/>
      <c r="Q183" s="63"/>
      <c r="R183" s="82">
        <v>17</v>
      </c>
      <c r="S183" s="63" t="str">
        <f>VLOOKUP(R183,SA!$B$5:$C$11,2,1)</f>
        <v>0-35</v>
      </c>
      <c r="T183" s="38" t="s">
        <v>97</v>
      </c>
      <c r="U183" s="24" t="s">
        <v>113</v>
      </c>
      <c r="V183" s="24">
        <v>300000</v>
      </c>
      <c r="W183" s="39">
        <f t="shared" si="52"/>
        <v>0</v>
      </c>
      <c r="X183" s="29">
        <f t="shared" si="53"/>
        <v>0</v>
      </c>
      <c r="Y183" s="40">
        <f t="shared" si="54"/>
        <v>365</v>
      </c>
      <c r="Z183" s="38">
        <f t="shared" si="49"/>
        <v>46081</v>
      </c>
      <c r="AA183" s="41">
        <f t="shared" si="55"/>
        <v>264</v>
      </c>
      <c r="AB183" s="24" t="s">
        <v>125</v>
      </c>
      <c r="AC183" s="41">
        <f t="shared" si="56"/>
        <v>3874.2114000000001</v>
      </c>
      <c r="AD183" s="41">
        <v>1</v>
      </c>
      <c r="AE183" s="72">
        <f>IFERROR(INDEX(SA!$C$4:$E$11,MATCH(Details!S183,SA!$C$4:$C$11,0),MATCH(Details!V183,SA!$C$4:$E$4,0)),0)*Y183/(F183-E183+1)</f>
        <v>3283.23</v>
      </c>
      <c r="AF183" s="41">
        <f t="shared" si="57"/>
        <v>0</v>
      </c>
      <c r="AG183" s="41">
        <f t="shared" si="58"/>
        <v>0</v>
      </c>
      <c r="AH183" s="41">
        <f t="shared" si="59"/>
        <v>590.98140000000001</v>
      </c>
      <c r="AI183" s="60">
        <f t="shared" si="60"/>
        <v>131.32920000000001</v>
      </c>
      <c r="AJ183" s="60">
        <f t="shared" si="61"/>
        <v>738.72675000000004</v>
      </c>
      <c r="AK183" s="60">
        <f t="shared" si="62"/>
        <v>2374.7197808219175</v>
      </c>
      <c r="AL183" s="60">
        <f t="shared" si="63"/>
        <v>1745.4190389041094</v>
      </c>
      <c r="AM183" s="41">
        <f t="shared" si="64"/>
        <v>667.7550110958905</v>
      </c>
      <c r="AN183" s="42">
        <f t="shared" si="65"/>
        <v>45715</v>
      </c>
      <c r="AO183" s="43">
        <f t="shared" si="66"/>
        <v>3283.23</v>
      </c>
    </row>
    <row r="184" spans="1:41" s="24" customFormat="1" ht="15.75" customHeight="1" x14ac:dyDescent="0.35">
      <c r="A184" s="36" t="s">
        <v>27</v>
      </c>
      <c r="B184" s="36">
        <v>202506</v>
      </c>
      <c r="C184" s="24" t="s">
        <v>128</v>
      </c>
      <c r="D184" s="24" t="s">
        <v>129</v>
      </c>
      <c r="E184" s="62">
        <v>45818</v>
      </c>
      <c r="F184" s="62">
        <v>46182</v>
      </c>
      <c r="G184" s="37" t="s">
        <v>312</v>
      </c>
      <c r="H184" s="36">
        <v>2021</v>
      </c>
      <c r="I184" s="63">
        <v>27106</v>
      </c>
      <c r="J184" s="24" t="s">
        <v>960</v>
      </c>
      <c r="K184" s="63">
        <f t="shared" si="50"/>
        <v>45818</v>
      </c>
      <c r="L184" s="55">
        <f t="shared" si="51"/>
        <v>0.04</v>
      </c>
      <c r="M184" s="76">
        <v>0.22500000000000001</v>
      </c>
      <c r="N184" s="62">
        <v>45818</v>
      </c>
      <c r="O184" s="62">
        <v>46182</v>
      </c>
      <c r="P184" s="63"/>
      <c r="Q184" s="63"/>
      <c r="R184" s="82">
        <v>51</v>
      </c>
      <c r="S184" s="63" t="str">
        <f>VLOOKUP(R184,SA!$B$5:$C$11,2,1)</f>
        <v>46-55</v>
      </c>
      <c r="T184" s="38" t="s">
        <v>96</v>
      </c>
      <c r="U184" s="24" t="s">
        <v>56</v>
      </c>
      <c r="V184" s="24">
        <v>300000</v>
      </c>
      <c r="W184" s="39">
        <f t="shared" si="52"/>
        <v>300000</v>
      </c>
      <c r="X184" s="29">
        <f t="shared" si="53"/>
        <v>1</v>
      </c>
      <c r="Y184" s="40">
        <f t="shared" si="54"/>
        <v>365</v>
      </c>
      <c r="Z184" s="38">
        <f t="shared" si="49"/>
        <v>46081</v>
      </c>
      <c r="AA184" s="41">
        <f t="shared" si="55"/>
        <v>264</v>
      </c>
      <c r="AB184" s="24" t="s">
        <v>125</v>
      </c>
      <c r="AC184" s="41">
        <f t="shared" si="56"/>
        <v>9586.9925999999996</v>
      </c>
      <c r="AD184" s="41">
        <v>1</v>
      </c>
      <c r="AE184" s="72">
        <f>IFERROR(INDEX(SA!$C$4:$E$11,MATCH(Details!S184,SA!$C$4:$C$11,0),MATCH(Details!V184,SA!$C$4:$E$4,0)),0)*Y184/(F184-E184+1)</f>
        <v>8124.57</v>
      </c>
      <c r="AF184" s="41">
        <f t="shared" si="57"/>
        <v>0</v>
      </c>
      <c r="AG184" s="41">
        <f t="shared" si="58"/>
        <v>0</v>
      </c>
      <c r="AH184" s="41">
        <f t="shared" si="59"/>
        <v>1462.4225999999999</v>
      </c>
      <c r="AI184" s="60">
        <f t="shared" si="60"/>
        <v>324.9828</v>
      </c>
      <c r="AJ184" s="60">
        <f t="shared" si="61"/>
        <v>1828.0282500000001</v>
      </c>
      <c r="AK184" s="60">
        <f t="shared" si="62"/>
        <v>5876.4013150684932</v>
      </c>
      <c r="AL184" s="60">
        <f t="shared" si="63"/>
        <v>4319.1549665753428</v>
      </c>
      <c r="AM184" s="41">
        <f t="shared" si="64"/>
        <v>1652.4039834246571</v>
      </c>
      <c r="AN184" s="42">
        <f t="shared" si="65"/>
        <v>45715</v>
      </c>
      <c r="AO184" s="43">
        <f t="shared" si="66"/>
        <v>8124.57</v>
      </c>
    </row>
    <row r="185" spans="1:41" s="24" customFormat="1" ht="15.75" customHeight="1" x14ac:dyDescent="0.35">
      <c r="A185" s="36" t="s">
        <v>27</v>
      </c>
      <c r="B185" s="36">
        <v>202506</v>
      </c>
      <c r="C185" s="24" t="s">
        <v>128</v>
      </c>
      <c r="D185" s="24" t="s">
        <v>129</v>
      </c>
      <c r="E185" s="62">
        <v>45818</v>
      </c>
      <c r="F185" s="62">
        <v>46182</v>
      </c>
      <c r="G185" s="37" t="s">
        <v>313</v>
      </c>
      <c r="H185" s="36">
        <v>2021</v>
      </c>
      <c r="I185" s="63">
        <v>38823</v>
      </c>
      <c r="J185" s="24" t="s">
        <v>961</v>
      </c>
      <c r="K185" s="63">
        <f t="shared" si="50"/>
        <v>45818</v>
      </c>
      <c r="L185" s="55">
        <f t="shared" si="51"/>
        <v>0.04</v>
      </c>
      <c r="M185" s="76">
        <v>0.22500000000000001</v>
      </c>
      <c r="N185" s="62">
        <v>45818</v>
      </c>
      <c r="O185" s="62">
        <v>46182</v>
      </c>
      <c r="P185" s="63"/>
      <c r="Q185" s="63"/>
      <c r="R185" s="82">
        <v>19</v>
      </c>
      <c r="S185" s="63" t="str">
        <f>VLOOKUP(R185,SA!$B$5:$C$11,2,1)</f>
        <v>0-35</v>
      </c>
      <c r="T185" s="38" t="s">
        <v>96</v>
      </c>
      <c r="U185" s="24" t="s">
        <v>114</v>
      </c>
      <c r="V185" s="24">
        <v>300000</v>
      </c>
      <c r="W185" s="39">
        <f t="shared" si="52"/>
        <v>0</v>
      </c>
      <c r="X185" s="29">
        <f t="shared" si="53"/>
        <v>0</v>
      </c>
      <c r="Y185" s="40">
        <f t="shared" si="54"/>
        <v>365</v>
      </c>
      <c r="Z185" s="38">
        <f t="shared" si="49"/>
        <v>46081</v>
      </c>
      <c r="AA185" s="41">
        <f t="shared" si="55"/>
        <v>264</v>
      </c>
      <c r="AB185" s="24" t="s">
        <v>125</v>
      </c>
      <c r="AC185" s="41">
        <f t="shared" si="56"/>
        <v>3874.2114000000001</v>
      </c>
      <c r="AD185" s="41">
        <v>1</v>
      </c>
      <c r="AE185" s="72">
        <f>IFERROR(INDEX(SA!$C$4:$E$11,MATCH(Details!S185,SA!$C$4:$C$11,0),MATCH(Details!V185,SA!$C$4:$E$4,0)),0)*Y185/(F185-E185+1)</f>
        <v>3283.23</v>
      </c>
      <c r="AF185" s="41">
        <f t="shared" si="57"/>
        <v>0</v>
      </c>
      <c r="AG185" s="41">
        <f t="shared" si="58"/>
        <v>0</v>
      </c>
      <c r="AH185" s="41">
        <f t="shared" si="59"/>
        <v>590.98140000000001</v>
      </c>
      <c r="AI185" s="60">
        <f t="shared" si="60"/>
        <v>131.32920000000001</v>
      </c>
      <c r="AJ185" s="60">
        <f t="shared" si="61"/>
        <v>738.72675000000004</v>
      </c>
      <c r="AK185" s="60">
        <f t="shared" si="62"/>
        <v>2374.7197808219175</v>
      </c>
      <c r="AL185" s="60">
        <f t="shared" si="63"/>
        <v>1745.4190389041094</v>
      </c>
      <c r="AM185" s="41">
        <f t="shared" si="64"/>
        <v>667.7550110958905</v>
      </c>
      <c r="AN185" s="42">
        <f t="shared" si="65"/>
        <v>45715</v>
      </c>
      <c r="AO185" s="43">
        <f t="shared" si="66"/>
        <v>3283.23</v>
      </c>
    </row>
    <row r="186" spans="1:41" s="24" customFormat="1" ht="15.75" customHeight="1" x14ac:dyDescent="0.35">
      <c r="A186" s="36" t="s">
        <v>27</v>
      </c>
      <c r="B186" s="36">
        <v>202506</v>
      </c>
      <c r="C186" s="24" t="s">
        <v>128</v>
      </c>
      <c r="D186" s="24" t="s">
        <v>129</v>
      </c>
      <c r="E186" s="62">
        <v>45818</v>
      </c>
      <c r="F186" s="62">
        <v>46182</v>
      </c>
      <c r="G186" s="37" t="s">
        <v>314</v>
      </c>
      <c r="H186" s="36">
        <v>2021</v>
      </c>
      <c r="I186" s="63">
        <v>40714</v>
      </c>
      <c r="J186" s="24" t="s">
        <v>962</v>
      </c>
      <c r="K186" s="63">
        <f t="shared" si="50"/>
        <v>45818</v>
      </c>
      <c r="L186" s="55">
        <f t="shared" si="51"/>
        <v>0.04</v>
      </c>
      <c r="M186" s="76">
        <v>0.22500000000000001</v>
      </c>
      <c r="N186" s="62">
        <v>45818</v>
      </c>
      <c r="O186" s="62">
        <v>46182</v>
      </c>
      <c r="P186" s="63"/>
      <c r="Q186" s="63"/>
      <c r="R186" s="82">
        <v>13</v>
      </c>
      <c r="S186" s="63" t="str">
        <f>VLOOKUP(R186,SA!$B$5:$C$11,2,1)</f>
        <v>0-35</v>
      </c>
      <c r="T186" s="38" t="s">
        <v>96</v>
      </c>
      <c r="U186" s="24" t="s">
        <v>114</v>
      </c>
      <c r="V186" s="24">
        <v>300000</v>
      </c>
      <c r="W186" s="39">
        <f t="shared" si="52"/>
        <v>0</v>
      </c>
      <c r="X186" s="29">
        <f t="shared" si="53"/>
        <v>0</v>
      </c>
      <c r="Y186" s="40">
        <f t="shared" si="54"/>
        <v>365</v>
      </c>
      <c r="Z186" s="38">
        <f t="shared" si="49"/>
        <v>46081</v>
      </c>
      <c r="AA186" s="41">
        <f t="shared" si="55"/>
        <v>264</v>
      </c>
      <c r="AB186" s="24" t="s">
        <v>125</v>
      </c>
      <c r="AC186" s="41">
        <f t="shared" si="56"/>
        <v>3874.2114000000001</v>
      </c>
      <c r="AD186" s="41">
        <v>1</v>
      </c>
      <c r="AE186" s="72">
        <f>IFERROR(INDEX(SA!$C$4:$E$11,MATCH(Details!S186,SA!$C$4:$C$11,0),MATCH(Details!V186,SA!$C$4:$E$4,0)),0)*Y186/(F186-E186+1)</f>
        <v>3283.23</v>
      </c>
      <c r="AF186" s="41">
        <f t="shared" si="57"/>
        <v>0</v>
      </c>
      <c r="AG186" s="41">
        <f t="shared" si="58"/>
        <v>0</v>
      </c>
      <c r="AH186" s="41">
        <f t="shared" si="59"/>
        <v>590.98140000000001</v>
      </c>
      <c r="AI186" s="60">
        <f t="shared" si="60"/>
        <v>131.32920000000001</v>
      </c>
      <c r="AJ186" s="60">
        <f t="shared" si="61"/>
        <v>738.72675000000004</v>
      </c>
      <c r="AK186" s="60">
        <f t="shared" si="62"/>
        <v>2374.7197808219175</v>
      </c>
      <c r="AL186" s="60">
        <f t="shared" si="63"/>
        <v>1745.4190389041094</v>
      </c>
      <c r="AM186" s="41">
        <f t="shared" si="64"/>
        <v>667.7550110958905</v>
      </c>
      <c r="AN186" s="42">
        <f t="shared" si="65"/>
        <v>45715</v>
      </c>
      <c r="AO186" s="43">
        <f t="shared" si="66"/>
        <v>3283.23</v>
      </c>
    </row>
    <row r="187" spans="1:41" s="24" customFormat="1" ht="15.75" customHeight="1" x14ac:dyDescent="0.35">
      <c r="A187" s="36" t="s">
        <v>27</v>
      </c>
      <c r="B187" s="36">
        <v>202506</v>
      </c>
      <c r="C187" s="24" t="s">
        <v>128</v>
      </c>
      <c r="D187" s="24" t="s">
        <v>129</v>
      </c>
      <c r="E187" s="62">
        <v>45818</v>
      </c>
      <c r="F187" s="62">
        <v>46182</v>
      </c>
      <c r="G187" s="37" t="s">
        <v>315</v>
      </c>
      <c r="H187" s="36">
        <v>2021</v>
      </c>
      <c r="I187" s="63">
        <v>29792</v>
      </c>
      <c r="J187" s="24" t="s">
        <v>963</v>
      </c>
      <c r="K187" s="63">
        <f t="shared" si="50"/>
        <v>45818</v>
      </c>
      <c r="L187" s="55">
        <f t="shared" si="51"/>
        <v>0.04</v>
      </c>
      <c r="M187" s="76">
        <v>0.22500000000000001</v>
      </c>
      <c r="N187" s="62">
        <v>45818</v>
      </c>
      <c r="O187" s="62">
        <v>46182</v>
      </c>
      <c r="P187" s="63"/>
      <c r="Q187" s="63"/>
      <c r="R187" s="82">
        <v>43</v>
      </c>
      <c r="S187" s="63" t="str">
        <f>VLOOKUP(R187,SA!$B$5:$C$11,2,1)</f>
        <v>36-45</v>
      </c>
      <c r="T187" s="38" t="s">
        <v>97</v>
      </c>
      <c r="U187" s="24" t="s">
        <v>115</v>
      </c>
      <c r="V187" s="24">
        <v>300000</v>
      </c>
      <c r="W187" s="39">
        <f t="shared" si="52"/>
        <v>0</v>
      </c>
      <c r="X187" s="29">
        <f t="shared" si="53"/>
        <v>0</v>
      </c>
      <c r="Y187" s="40">
        <f t="shared" si="54"/>
        <v>365</v>
      </c>
      <c r="Z187" s="38">
        <f t="shared" si="49"/>
        <v>46081</v>
      </c>
      <c r="AA187" s="41">
        <f t="shared" si="55"/>
        <v>264</v>
      </c>
      <c r="AB187" s="24" t="s">
        <v>125</v>
      </c>
      <c r="AC187" s="41">
        <f t="shared" si="56"/>
        <v>5017.3245999999999</v>
      </c>
      <c r="AD187" s="41">
        <v>1</v>
      </c>
      <c r="AE187" s="72">
        <f>IFERROR(INDEX(SA!$C$4:$E$11,MATCH(Details!S187,SA!$C$4:$C$11,0),MATCH(Details!V187,SA!$C$4:$E$4,0)),0)*Y187/(F187-E187+1)</f>
        <v>4251.97</v>
      </c>
      <c r="AF187" s="41">
        <f t="shared" si="57"/>
        <v>0</v>
      </c>
      <c r="AG187" s="41">
        <f t="shared" si="58"/>
        <v>0</v>
      </c>
      <c r="AH187" s="41">
        <f t="shared" si="59"/>
        <v>765.3546</v>
      </c>
      <c r="AI187" s="60">
        <f t="shared" si="60"/>
        <v>170.0788</v>
      </c>
      <c r="AJ187" s="60">
        <f t="shared" si="61"/>
        <v>956.69325000000003</v>
      </c>
      <c r="AK187" s="60">
        <f t="shared" si="62"/>
        <v>3075.397479452055</v>
      </c>
      <c r="AL187" s="60">
        <f t="shared" si="63"/>
        <v>2260.4171473972606</v>
      </c>
      <c r="AM187" s="41">
        <f t="shared" si="64"/>
        <v>864.78080260273941</v>
      </c>
      <c r="AN187" s="42">
        <f t="shared" si="65"/>
        <v>45715</v>
      </c>
      <c r="AO187" s="43">
        <f t="shared" si="66"/>
        <v>4251.97</v>
      </c>
    </row>
    <row r="188" spans="1:41" s="24" customFormat="1" ht="15.75" customHeight="1" x14ac:dyDescent="0.35">
      <c r="A188" s="36" t="s">
        <v>27</v>
      </c>
      <c r="B188" s="36">
        <v>202506</v>
      </c>
      <c r="C188" s="24" t="s">
        <v>128</v>
      </c>
      <c r="D188" s="24" t="s">
        <v>129</v>
      </c>
      <c r="E188" s="62">
        <v>45818</v>
      </c>
      <c r="F188" s="62">
        <v>46182</v>
      </c>
      <c r="G188" s="37" t="s">
        <v>316</v>
      </c>
      <c r="H188" s="36">
        <v>2022</v>
      </c>
      <c r="I188" s="63">
        <v>24704</v>
      </c>
      <c r="J188" s="24" t="s">
        <v>964</v>
      </c>
      <c r="K188" s="63">
        <f t="shared" si="50"/>
        <v>45818</v>
      </c>
      <c r="L188" s="55">
        <f t="shared" si="51"/>
        <v>0.04</v>
      </c>
      <c r="M188" s="76">
        <v>0.22500000000000001</v>
      </c>
      <c r="N188" s="62">
        <v>45818</v>
      </c>
      <c r="O188" s="62">
        <v>46182</v>
      </c>
      <c r="P188" s="63"/>
      <c r="Q188" s="63"/>
      <c r="R188" s="82">
        <v>57</v>
      </c>
      <c r="S188" s="63" t="str">
        <f>VLOOKUP(R188,SA!$B$5:$C$11,2,1)</f>
        <v>56-65</v>
      </c>
      <c r="T188" s="38" t="s">
        <v>96</v>
      </c>
      <c r="U188" s="24" t="s">
        <v>56</v>
      </c>
      <c r="V188" s="24">
        <v>300000</v>
      </c>
      <c r="W188" s="39">
        <f t="shared" si="52"/>
        <v>300000</v>
      </c>
      <c r="X188" s="29">
        <f t="shared" si="53"/>
        <v>1</v>
      </c>
      <c r="Y188" s="40">
        <f t="shared" si="54"/>
        <v>365</v>
      </c>
      <c r="Z188" s="38">
        <f t="shared" si="49"/>
        <v>46081</v>
      </c>
      <c r="AA188" s="41">
        <f t="shared" si="55"/>
        <v>264</v>
      </c>
      <c r="AB188" s="24" t="s">
        <v>125</v>
      </c>
      <c r="AC188" s="41">
        <f t="shared" si="56"/>
        <v>16811.448199999999</v>
      </c>
      <c r="AD188" s="41">
        <v>1</v>
      </c>
      <c r="AE188" s="72">
        <f>IFERROR(INDEX(SA!$C$4:$E$11,MATCH(Details!S188,SA!$C$4:$C$11,0),MATCH(Details!V188,SA!$C$4:$E$4,0)),0)*Y188/(F188-E188+1)</f>
        <v>14246.99</v>
      </c>
      <c r="AF188" s="41">
        <f t="shared" si="57"/>
        <v>0</v>
      </c>
      <c r="AG188" s="41">
        <f t="shared" si="58"/>
        <v>0</v>
      </c>
      <c r="AH188" s="41">
        <f t="shared" si="59"/>
        <v>2564.4582</v>
      </c>
      <c r="AI188" s="60">
        <f t="shared" si="60"/>
        <v>569.87959999999998</v>
      </c>
      <c r="AJ188" s="60">
        <f t="shared" si="61"/>
        <v>3205.5727499999998</v>
      </c>
      <c r="AK188" s="60">
        <f t="shared" si="62"/>
        <v>10304.672219178083</v>
      </c>
      <c r="AL188" s="60">
        <f t="shared" si="63"/>
        <v>7573.9340810958911</v>
      </c>
      <c r="AM188" s="41">
        <f t="shared" si="64"/>
        <v>2897.6035689041087</v>
      </c>
      <c r="AN188" s="42">
        <f t="shared" si="65"/>
        <v>45715</v>
      </c>
      <c r="AO188" s="43">
        <f t="shared" si="66"/>
        <v>14246.99</v>
      </c>
    </row>
    <row r="189" spans="1:41" s="24" customFormat="1" ht="15.75" customHeight="1" x14ac:dyDescent="0.35">
      <c r="A189" s="36" t="s">
        <v>27</v>
      </c>
      <c r="B189" s="36">
        <v>202506</v>
      </c>
      <c r="C189" s="24" t="s">
        <v>128</v>
      </c>
      <c r="D189" s="24" t="s">
        <v>129</v>
      </c>
      <c r="E189" s="62">
        <v>45818</v>
      </c>
      <c r="F189" s="62">
        <v>46182</v>
      </c>
      <c r="G189" s="37" t="s">
        <v>317</v>
      </c>
      <c r="H189" s="36">
        <v>2022</v>
      </c>
      <c r="I189" s="63">
        <v>26386</v>
      </c>
      <c r="J189" s="24" t="s">
        <v>965</v>
      </c>
      <c r="K189" s="63">
        <f t="shared" si="50"/>
        <v>45818</v>
      </c>
      <c r="L189" s="55">
        <f t="shared" si="51"/>
        <v>0.04</v>
      </c>
      <c r="M189" s="76">
        <v>0.22500000000000001</v>
      </c>
      <c r="N189" s="62">
        <v>45818</v>
      </c>
      <c r="O189" s="62">
        <v>46182</v>
      </c>
      <c r="P189" s="63"/>
      <c r="Q189" s="63"/>
      <c r="R189" s="82">
        <v>53</v>
      </c>
      <c r="S189" s="63" t="str">
        <f>VLOOKUP(R189,SA!$B$5:$C$11,2,1)</f>
        <v>46-55</v>
      </c>
      <c r="T189" s="38" t="s">
        <v>97</v>
      </c>
      <c r="U189" s="24" t="s">
        <v>115</v>
      </c>
      <c r="V189" s="24">
        <v>300000</v>
      </c>
      <c r="W189" s="39">
        <f t="shared" si="52"/>
        <v>0</v>
      </c>
      <c r="X189" s="29">
        <f t="shared" si="53"/>
        <v>0</v>
      </c>
      <c r="Y189" s="40">
        <f t="shared" si="54"/>
        <v>365</v>
      </c>
      <c r="Z189" s="38">
        <f t="shared" si="49"/>
        <v>46081</v>
      </c>
      <c r="AA189" s="41">
        <f t="shared" si="55"/>
        <v>264</v>
      </c>
      <c r="AB189" s="24" t="s">
        <v>125</v>
      </c>
      <c r="AC189" s="41">
        <f t="shared" si="56"/>
        <v>9586.9925999999996</v>
      </c>
      <c r="AD189" s="41">
        <v>1</v>
      </c>
      <c r="AE189" s="72">
        <f>IFERROR(INDEX(SA!$C$4:$E$11,MATCH(Details!S189,SA!$C$4:$C$11,0),MATCH(Details!V189,SA!$C$4:$E$4,0)),0)*Y189/(F189-E189+1)</f>
        <v>8124.57</v>
      </c>
      <c r="AF189" s="41">
        <f t="shared" si="57"/>
        <v>0</v>
      </c>
      <c r="AG189" s="41">
        <f t="shared" si="58"/>
        <v>0</v>
      </c>
      <c r="AH189" s="41">
        <f t="shared" si="59"/>
        <v>1462.4225999999999</v>
      </c>
      <c r="AI189" s="60">
        <f t="shared" si="60"/>
        <v>324.9828</v>
      </c>
      <c r="AJ189" s="60">
        <f t="shared" si="61"/>
        <v>1828.0282500000001</v>
      </c>
      <c r="AK189" s="60">
        <f t="shared" si="62"/>
        <v>5876.4013150684932</v>
      </c>
      <c r="AL189" s="60">
        <f t="shared" si="63"/>
        <v>4319.1549665753428</v>
      </c>
      <c r="AM189" s="41">
        <f t="shared" si="64"/>
        <v>1652.4039834246571</v>
      </c>
      <c r="AN189" s="42">
        <f t="shared" si="65"/>
        <v>45715</v>
      </c>
      <c r="AO189" s="43">
        <f t="shared" si="66"/>
        <v>8124.57</v>
      </c>
    </row>
    <row r="190" spans="1:41" s="24" customFormat="1" ht="15.75" customHeight="1" x14ac:dyDescent="0.35">
      <c r="A190" s="36" t="s">
        <v>27</v>
      </c>
      <c r="B190" s="36">
        <v>202506</v>
      </c>
      <c r="C190" s="24" t="s">
        <v>128</v>
      </c>
      <c r="D190" s="24" t="s">
        <v>129</v>
      </c>
      <c r="E190" s="62">
        <v>45818</v>
      </c>
      <c r="F190" s="62">
        <v>46182</v>
      </c>
      <c r="G190" s="37" t="s">
        <v>318</v>
      </c>
      <c r="H190" s="36">
        <v>2025</v>
      </c>
      <c r="I190" s="63">
        <v>27347</v>
      </c>
      <c r="J190" s="24" t="s">
        <v>966</v>
      </c>
      <c r="K190" s="63">
        <f t="shared" si="50"/>
        <v>45818</v>
      </c>
      <c r="L190" s="55">
        <f t="shared" si="51"/>
        <v>0.04</v>
      </c>
      <c r="M190" s="76">
        <v>0.22500000000000001</v>
      </c>
      <c r="N190" s="62">
        <v>45818</v>
      </c>
      <c r="O190" s="62">
        <v>46182</v>
      </c>
      <c r="P190" s="63"/>
      <c r="Q190" s="63"/>
      <c r="R190" s="82">
        <v>50</v>
      </c>
      <c r="S190" s="63" t="str">
        <f>VLOOKUP(R190,SA!$B$5:$C$11,2,1)</f>
        <v>46-55</v>
      </c>
      <c r="T190" s="38" t="s">
        <v>96</v>
      </c>
      <c r="U190" s="24" t="s">
        <v>56</v>
      </c>
      <c r="V190" s="24">
        <v>300000</v>
      </c>
      <c r="W190" s="39">
        <f t="shared" si="52"/>
        <v>300000</v>
      </c>
      <c r="X190" s="29">
        <f t="shared" si="53"/>
        <v>1</v>
      </c>
      <c r="Y190" s="40">
        <f t="shared" si="54"/>
        <v>365</v>
      </c>
      <c r="Z190" s="38">
        <f t="shared" si="49"/>
        <v>46081</v>
      </c>
      <c r="AA190" s="41">
        <f t="shared" si="55"/>
        <v>264</v>
      </c>
      <c r="AB190" s="24" t="s">
        <v>125</v>
      </c>
      <c r="AC190" s="41">
        <f t="shared" si="56"/>
        <v>9586.9925999999996</v>
      </c>
      <c r="AD190" s="41">
        <v>1</v>
      </c>
      <c r="AE190" s="72">
        <f>IFERROR(INDEX(SA!$C$4:$E$11,MATCH(Details!S190,SA!$C$4:$C$11,0),MATCH(Details!V190,SA!$C$4:$E$4,0)),0)*Y190/(F190-E190+1)</f>
        <v>8124.57</v>
      </c>
      <c r="AF190" s="41">
        <f t="shared" si="57"/>
        <v>0</v>
      </c>
      <c r="AG190" s="41">
        <f t="shared" si="58"/>
        <v>0</v>
      </c>
      <c r="AH190" s="41">
        <f t="shared" si="59"/>
        <v>1462.4225999999999</v>
      </c>
      <c r="AI190" s="60">
        <f t="shared" si="60"/>
        <v>324.9828</v>
      </c>
      <c r="AJ190" s="60">
        <f t="shared" si="61"/>
        <v>1828.0282500000001</v>
      </c>
      <c r="AK190" s="60">
        <f t="shared" si="62"/>
        <v>5876.4013150684932</v>
      </c>
      <c r="AL190" s="60">
        <f t="shared" si="63"/>
        <v>4319.1549665753428</v>
      </c>
      <c r="AM190" s="41">
        <f t="shared" si="64"/>
        <v>1652.4039834246571</v>
      </c>
      <c r="AN190" s="42">
        <f t="shared" si="65"/>
        <v>45715</v>
      </c>
      <c r="AO190" s="43">
        <f t="shared" si="66"/>
        <v>8124.57</v>
      </c>
    </row>
    <row r="191" spans="1:41" s="24" customFormat="1" ht="15.75" customHeight="1" x14ac:dyDescent="0.35">
      <c r="A191" s="36" t="s">
        <v>27</v>
      </c>
      <c r="B191" s="36">
        <v>202506</v>
      </c>
      <c r="C191" s="24" t="s">
        <v>128</v>
      </c>
      <c r="D191" s="24" t="s">
        <v>129</v>
      </c>
      <c r="E191" s="62">
        <v>45818</v>
      </c>
      <c r="F191" s="62">
        <v>46182</v>
      </c>
      <c r="G191" s="37" t="s">
        <v>319</v>
      </c>
      <c r="H191" s="36">
        <v>2025</v>
      </c>
      <c r="I191" s="63">
        <v>27785</v>
      </c>
      <c r="J191" s="24" t="s">
        <v>967</v>
      </c>
      <c r="K191" s="63">
        <f t="shared" si="50"/>
        <v>45818</v>
      </c>
      <c r="L191" s="55">
        <f t="shared" si="51"/>
        <v>0.04</v>
      </c>
      <c r="M191" s="76">
        <v>0.22500000000000001</v>
      </c>
      <c r="N191" s="62">
        <v>45818</v>
      </c>
      <c r="O191" s="62">
        <v>46182</v>
      </c>
      <c r="P191" s="63"/>
      <c r="Q191" s="63"/>
      <c r="R191" s="82">
        <v>49</v>
      </c>
      <c r="S191" s="63" t="str">
        <f>VLOOKUP(R191,SA!$B$5:$C$11,2,1)</f>
        <v>46-55</v>
      </c>
      <c r="T191" s="38" t="s">
        <v>97</v>
      </c>
      <c r="U191" s="24" t="s">
        <v>115</v>
      </c>
      <c r="V191" s="24">
        <v>300000</v>
      </c>
      <c r="W191" s="39">
        <f t="shared" si="52"/>
        <v>0</v>
      </c>
      <c r="X191" s="29">
        <f t="shared" si="53"/>
        <v>0</v>
      </c>
      <c r="Y191" s="40">
        <f t="shared" si="54"/>
        <v>365</v>
      </c>
      <c r="Z191" s="38">
        <f t="shared" si="49"/>
        <v>46081</v>
      </c>
      <c r="AA191" s="41">
        <f t="shared" si="55"/>
        <v>264</v>
      </c>
      <c r="AB191" s="24" t="s">
        <v>125</v>
      </c>
      <c r="AC191" s="41">
        <f t="shared" si="56"/>
        <v>9586.9925999999996</v>
      </c>
      <c r="AD191" s="41">
        <v>1</v>
      </c>
      <c r="AE191" s="72">
        <f>IFERROR(INDEX(SA!$C$4:$E$11,MATCH(Details!S191,SA!$C$4:$C$11,0),MATCH(Details!V191,SA!$C$4:$E$4,0)),0)*Y191/(F191-E191+1)</f>
        <v>8124.57</v>
      </c>
      <c r="AF191" s="41">
        <f t="shared" si="57"/>
        <v>0</v>
      </c>
      <c r="AG191" s="41">
        <f t="shared" si="58"/>
        <v>0</v>
      </c>
      <c r="AH191" s="41">
        <f t="shared" si="59"/>
        <v>1462.4225999999999</v>
      </c>
      <c r="AI191" s="60">
        <f t="shared" si="60"/>
        <v>324.9828</v>
      </c>
      <c r="AJ191" s="60">
        <f t="shared" si="61"/>
        <v>1828.0282500000001</v>
      </c>
      <c r="AK191" s="60">
        <f t="shared" si="62"/>
        <v>5876.4013150684932</v>
      </c>
      <c r="AL191" s="60">
        <f t="shared" si="63"/>
        <v>4319.1549665753428</v>
      </c>
      <c r="AM191" s="41">
        <f t="shared" si="64"/>
        <v>1652.4039834246571</v>
      </c>
      <c r="AN191" s="42">
        <f t="shared" si="65"/>
        <v>45715</v>
      </c>
      <c r="AO191" s="43">
        <f t="shared" si="66"/>
        <v>8124.57</v>
      </c>
    </row>
    <row r="192" spans="1:41" s="24" customFormat="1" ht="15.75" customHeight="1" x14ac:dyDescent="0.35">
      <c r="A192" s="36" t="s">
        <v>27</v>
      </c>
      <c r="B192" s="36">
        <v>202506</v>
      </c>
      <c r="C192" s="24" t="s">
        <v>128</v>
      </c>
      <c r="D192" s="24" t="s">
        <v>129</v>
      </c>
      <c r="E192" s="62">
        <v>45818</v>
      </c>
      <c r="F192" s="62">
        <v>46182</v>
      </c>
      <c r="G192" s="37" t="s">
        <v>320</v>
      </c>
      <c r="H192" s="36">
        <v>2026</v>
      </c>
      <c r="I192" s="63">
        <v>26451</v>
      </c>
      <c r="J192" s="24" t="s">
        <v>968</v>
      </c>
      <c r="K192" s="63">
        <f t="shared" si="50"/>
        <v>45818</v>
      </c>
      <c r="L192" s="55">
        <f t="shared" si="51"/>
        <v>0.04</v>
      </c>
      <c r="M192" s="76">
        <v>0.22500000000000001</v>
      </c>
      <c r="N192" s="62">
        <v>45818</v>
      </c>
      <c r="O192" s="62">
        <v>46182</v>
      </c>
      <c r="P192" s="63"/>
      <c r="Q192" s="63"/>
      <c r="R192" s="82">
        <v>53</v>
      </c>
      <c r="S192" s="63" t="str">
        <f>VLOOKUP(R192,SA!$B$5:$C$11,2,1)</f>
        <v>46-55</v>
      </c>
      <c r="T192" s="38" t="s">
        <v>96</v>
      </c>
      <c r="U192" s="24" t="s">
        <v>56</v>
      </c>
      <c r="V192" s="24">
        <v>300000</v>
      </c>
      <c r="W192" s="39">
        <f t="shared" si="52"/>
        <v>300000</v>
      </c>
      <c r="X192" s="29">
        <f t="shared" si="53"/>
        <v>1</v>
      </c>
      <c r="Y192" s="40">
        <f t="shared" si="54"/>
        <v>365</v>
      </c>
      <c r="Z192" s="38">
        <f t="shared" si="49"/>
        <v>46081</v>
      </c>
      <c r="AA192" s="41">
        <f t="shared" si="55"/>
        <v>264</v>
      </c>
      <c r="AB192" s="24" t="s">
        <v>125</v>
      </c>
      <c r="AC192" s="41">
        <f t="shared" si="56"/>
        <v>9586.9925999999996</v>
      </c>
      <c r="AD192" s="41">
        <v>1</v>
      </c>
      <c r="AE192" s="72">
        <f>IFERROR(INDEX(SA!$C$4:$E$11,MATCH(Details!S192,SA!$C$4:$C$11,0),MATCH(Details!V192,SA!$C$4:$E$4,0)),0)*Y192/(F192-E192+1)</f>
        <v>8124.57</v>
      </c>
      <c r="AF192" s="41">
        <f t="shared" si="57"/>
        <v>0</v>
      </c>
      <c r="AG192" s="41">
        <f t="shared" si="58"/>
        <v>0</v>
      </c>
      <c r="AH192" s="41">
        <f t="shared" si="59"/>
        <v>1462.4225999999999</v>
      </c>
      <c r="AI192" s="60">
        <f t="shared" si="60"/>
        <v>324.9828</v>
      </c>
      <c r="AJ192" s="60">
        <f t="shared" si="61"/>
        <v>1828.0282500000001</v>
      </c>
      <c r="AK192" s="60">
        <f t="shared" si="62"/>
        <v>5876.4013150684932</v>
      </c>
      <c r="AL192" s="60">
        <f t="shared" si="63"/>
        <v>4319.1549665753428</v>
      </c>
      <c r="AM192" s="41">
        <f t="shared" si="64"/>
        <v>1652.4039834246571</v>
      </c>
      <c r="AN192" s="42">
        <f t="shared" si="65"/>
        <v>45715</v>
      </c>
      <c r="AO192" s="43">
        <f t="shared" si="66"/>
        <v>8124.57</v>
      </c>
    </row>
    <row r="193" spans="1:41" s="24" customFormat="1" ht="15.75" customHeight="1" x14ac:dyDescent="0.35">
      <c r="A193" s="36" t="s">
        <v>27</v>
      </c>
      <c r="B193" s="36">
        <v>202506</v>
      </c>
      <c r="C193" s="24" t="s">
        <v>128</v>
      </c>
      <c r="D193" s="24" t="s">
        <v>129</v>
      </c>
      <c r="E193" s="62">
        <v>45818</v>
      </c>
      <c r="F193" s="62">
        <v>46182</v>
      </c>
      <c r="G193" s="37" t="s">
        <v>321</v>
      </c>
      <c r="H193" s="36">
        <v>2026</v>
      </c>
      <c r="I193" s="63">
        <v>27326</v>
      </c>
      <c r="J193" s="24" t="s">
        <v>969</v>
      </c>
      <c r="K193" s="63">
        <f t="shared" si="50"/>
        <v>45818</v>
      </c>
      <c r="L193" s="55">
        <f t="shared" si="51"/>
        <v>0.04</v>
      </c>
      <c r="M193" s="76">
        <v>0.22500000000000001</v>
      </c>
      <c r="N193" s="62">
        <v>45818</v>
      </c>
      <c r="O193" s="62">
        <v>46182</v>
      </c>
      <c r="P193" s="63"/>
      <c r="Q193" s="63"/>
      <c r="R193" s="82">
        <v>50</v>
      </c>
      <c r="S193" s="63" t="str">
        <f>VLOOKUP(R193,SA!$B$5:$C$11,2,1)</f>
        <v>46-55</v>
      </c>
      <c r="T193" s="38" t="s">
        <v>97</v>
      </c>
      <c r="U193" s="24" t="s">
        <v>115</v>
      </c>
      <c r="V193" s="24">
        <v>300000</v>
      </c>
      <c r="W193" s="39">
        <f t="shared" si="52"/>
        <v>0</v>
      </c>
      <c r="X193" s="29">
        <f t="shared" si="53"/>
        <v>0</v>
      </c>
      <c r="Y193" s="40">
        <f t="shared" si="54"/>
        <v>365</v>
      </c>
      <c r="Z193" s="38">
        <f t="shared" si="49"/>
        <v>46081</v>
      </c>
      <c r="AA193" s="41">
        <f t="shared" si="55"/>
        <v>264</v>
      </c>
      <c r="AB193" s="24" t="s">
        <v>125</v>
      </c>
      <c r="AC193" s="41">
        <f t="shared" si="56"/>
        <v>9586.9925999999996</v>
      </c>
      <c r="AD193" s="41">
        <v>1</v>
      </c>
      <c r="AE193" s="72">
        <f>IFERROR(INDEX(SA!$C$4:$E$11,MATCH(Details!S193,SA!$C$4:$C$11,0),MATCH(Details!V193,SA!$C$4:$E$4,0)),0)*Y193/(F193-E193+1)</f>
        <v>8124.57</v>
      </c>
      <c r="AF193" s="41">
        <f t="shared" si="57"/>
        <v>0</v>
      </c>
      <c r="AG193" s="41">
        <f t="shared" si="58"/>
        <v>0</v>
      </c>
      <c r="AH193" s="41">
        <f t="shared" si="59"/>
        <v>1462.4225999999999</v>
      </c>
      <c r="AI193" s="60">
        <f t="shared" si="60"/>
        <v>324.9828</v>
      </c>
      <c r="AJ193" s="60">
        <f t="shared" si="61"/>
        <v>1828.0282500000001</v>
      </c>
      <c r="AK193" s="60">
        <f t="shared" si="62"/>
        <v>5876.4013150684932</v>
      </c>
      <c r="AL193" s="60">
        <f t="shared" si="63"/>
        <v>4319.1549665753428</v>
      </c>
      <c r="AM193" s="41">
        <f t="shared" si="64"/>
        <v>1652.4039834246571</v>
      </c>
      <c r="AN193" s="42">
        <f t="shared" si="65"/>
        <v>45715</v>
      </c>
      <c r="AO193" s="43">
        <f t="shared" si="66"/>
        <v>8124.57</v>
      </c>
    </row>
    <row r="194" spans="1:41" s="24" customFormat="1" ht="15.75" customHeight="1" x14ac:dyDescent="0.35">
      <c r="A194" s="36" t="s">
        <v>27</v>
      </c>
      <c r="B194" s="36">
        <v>202506</v>
      </c>
      <c r="C194" s="24" t="s">
        <v>128</v>
      </c>
      <c r="D194" s="24" t="s">
        <v>129</v>
      </c>
      <c r="E194" s="62">
        <v>45818</v>
      </c>
      <c r="F194" s="62">
        <v>46182</v>
      </c>
      <c r="G194" s="37" t="s">
        <v>322</v>
      </c>
      <c r="H194" s="36">
        <v>2027</v>
      </c>
      <c r="I194" s="63">
        <v>30686</v>
      </c>
      <c r="J194" s="24" t="s">
        <v>970</v>
      </c>
      <c r="K194" s="63">
        <f t="shared" si="50"/>
        <v>45818</v>
      </c>
      <c r="L194" s="55">
        <f t="shared" si="51"/>
        <v>0.04</v>
      </c>
      <c r="M194" s="76">
        <v>0.22500000000000001</v>
      </c>
      <c r="N194" s="62">
        <v>45818</v>
      </c>
      <c r="O194" s="62">
        <v>46182</v>
      </c>
      <c r="P194" s="63"/>
      <c r="Q194" s="63"/>
      <c r="R194" s="82">
        <v>41</v>
      </c>
      <c r="S194" s="63" t="str">
        <f>VLOOKUP(R194,SA!$B$5:$C$11,2,1)</f>
        <v>36-45</v>
      </c>
      <c r="T194" s="38" t="s">
        <v>96</v>
      </c>
      <c r="U194" s="24" t="s">
        <v>56</v>
      </c>
      <c r="V194" s="24">
        <v>300000</v>
      </c>
      <c r="W194" s="39">
        <f t="shared" si="52"/>
        <v>300000</v>
      </c>
      <c r="X194" s="29">
        <f t="shared" si="53"/>
        <v>1</v>
      </c>
      <c r="Y194" s="40">
        <f t="shared" si="54"/>
        <v>365</v>
      </c>
      <c r="Z194" s="38">
        <f t="shared" si="49"/>
        <v>46081</v>
      </c>
      <c r="AA194" s="41">
        <f t="shared" si="55"/>
        <v>264</v>
      </c>
      <c r="AB194" s="24" t="s">
        <v>125</v>
      </c>
      <c r="AC194" s="41">
        <f t="shared" si="56"/>
        <v>5017.3245999999999</v>
      </c>
      <c r="AD194" s="41">
        <v>1</v>
      </c>
      <c r="AE194" s="72">
        <f>IFERROR(INDEX(SA!$C$4:$E$11,MATCH(Details!S194,SA!$C$4:$C$11,0),MATCH(Details!V194,SA!$C$4:$E$4,0)),0)*Y194/(F194-E194+1)</f>
        <v>4251.97</v>
      </c>
      <c r="AF194" s="41">
        <f t="shared" si="57"/>
        <v>0</v>
      </c>
      <c r="AG194" s="41">
        <f t="shared" si="58"/>
        <v>0</v>
      </c>
      <c r="AH194" s="41">
        <f t="shared" si="59"/>
        <v>765.3546</v>
      </c>
      <c r="AI194" s="60">
        <f t="shared" si="60"/>
        <v>170.0788</v>
      </c>
      <c r="AJ194" s="60">
        <f t="shared" si="61"/>
        <v>956.69325000000003</v>
      </c>
      <c r="AK194" s="60">
        <f t="shared" si="62"/>
        <v>3075.397479452055</v>
      </c>
      <c r="AL194" s="60">
        <f t="shared" si="63"/>
        <v>2260.4171473972606</v>
      </c>
      <c r="AM194" s="41">
        <f t="shared" si="64"/>
        <v>864.78080260273941</v>
      </c>
      <c r="AN194" s="42">
        <f t="shared" si="65"/>
        <v>45715</v>
      </c>
      <c r="AO194" s="43">
        <f t="shared" si="66"/>
        <v>4251.97</v>
      </c>
    </row>
    <row r="195" spans="1:41" s="24" customFormat="1" ht="15.75" customHeight="1" x14ac:dyDescent="0.35">
      <c r="A195" s="36" t="s">
        <v>27</v>
      </c>
      <c r="B195" s="36">
        <v>202506</v>
      </c>
      <c r="C195" s="24" t="s">
        <v>128</v>
      </c>
      <c r="D195" s="24" t="s">
        <v>129</v>
      </c>
      <c r="E195" s="62">
        <v>45818</v>
      </c>
      <c r="F195" s="62">
        <v>46182</v>
      </c>
      <c r="G195" s="37" t="s">
        <v>323</v>
      </c>
      <c r="H195" s="36">
        <v>2027</v>
      </c>
      <c r="I195" s="63">
        <v>34575</v>
      </c>
      <c r="J195" s="24" t="s">
        <v>971</v>
      </c>
      <c r="K195" s="63">
        <f t="shared" si="50"/>
        <v>45818</v>
      </c>
      <c r="L195" s="55">
        <f t="shared" si="51"/>
        <v>0.04</v>
      </c>
      <c r="M195" s="76">
        <v>0.22500000000000001</v>
      </c>
      <c r="N195" s="62">
        <v>45818</v>
      </c>
      <c r="O195" s="62">
        <v>46182</v>
      </c>
      <c r="P195" s="63"/>
      <c r="Q195" s="63"/>
      <c r="R195" s="82">
        <v>30</v>
      </c>
      <c r="S195" s="63" t="str">
        <f>VLOOKUP(R195,SA!$B$5:$C$11,2,1)</f>
        <v>0-35</v>
      </c>
      <c r="T195" s="38" t="s">
        <v>97</v>
      </c>
      <c r="U195" s="24" t="s">
        <v>115</v>
      </c>
      <c r="V195" s="24">
        <v>300000</v>
      </c>
      <c r="W195" s="39">
        <f t="shared" si="52"/>
        <v>0</v>
      </c>
      <c r="X195" s="29">
        <f t="shared" si="53"/>
        <v>0</v>
      </c>
      <c r="Y195" s="40">
        <f t="shared" si="54"/>
        <v>365</v>
      </c>
      <c r="Z195" s="38">
        <f t="shared" ref="Z195:Z258" si="67">$Z$1</f>
        <v>46081</v>
      </c>
      <c r="AA195" s="41">
        <f t="shared" si="55"/>
        <v>264</v>
      </c>
      <c r="AB195" s="24" t="s">
        <v>125</v>
      </c>
      <c r="AC195" s="41">
        <f t="shared" si="56"/>
        <v>3874.2114000000001</v>
      </c>
      <c r="AD195" s="41">
        <v>1</v>
      </c>
      <c r="AE195" s="72">
        <f>IFERROR(INDEX(SA!$C$4:$E$11,MATCH(Details!S195,SA!$C$4:$C$11,0),MATCH(Details!V195,SA!$C$4:$E$4,0)),0)*Y195/(F195-E195+1)</f>
        <v>3283.23</v>
      </c>
      <c r="AF195" s="41">
        <f t="shared" si="57"/>
        <v>0</v>
      </c>
      <c r="AG195" s="41">
        <f t="shared" si="58"/>
        <v>0</v>
      </c>
      <c r="AH195" s="41">
        <f t="shared" si="59"/>
        <v>590.98140000000001</v>
      </c>
      <c r="AI195" s="60">
        <f t="shared" si="60"/>
        <v>131.32920000000001</v>
      </c>
      <c r="AJ195" s="60">
        <f t="shared" si="61"/>
        <v>738.72675000000004</v>
      </c>
      <c r="AK195" s="60">
        <f t="shared" si="62"/>
        <v>2374.7197808219175</v>
      </c>
      <c r="AL195" s="60">
        <f t="shared" si="63"/>
        <v>1745.4190389041094</v>
      </c>
      <c r="AM195" s="41">
        <f t="shared" si="64"/>
        <v>667.7550110958905</v>
      </c>
      <c r="AN195" s="42">
        <f t="shared" si="65"/>
        <v>45715</v>
      </c>
      <c r="AO195" s="43">
        <f t="shared" si="66"/>
        <v>3283.23</v>
      </c>
    </row>
    <row r="196" spans="1:41" s="24" customFormat="1" ht="15.75" customHeight="1" x14ac:dyDescent="0.35">
      <c r="A196" s="36" t="s">
        <v>27</v>
      </c>
      <c r="B196" s="36">
        <v>202506</v>
      </c>
      <c r="C196" s="24" t="s">
        <v>128</v>
      </c>
      <c r="D196" s="24" t="s">
        <v>129</v>
      </c>
      <c r="E196" s="62">
        <v>45818</v>
      </c>
      <c r="F196" s="62">
        <v>46182</v>
      </c>
      <c r="G196" s="37" t="s">
        <v>324</v>
      </c>
      <c r="H196" s="36">
        <v>2027</v>
      </c>
      <c r="I196" s="63">
        <v>42330</v>
      </c>
      <c r="J196" s="24" t="s">
        <v>972</v>
      </c>
      <c r="K196" s="63">
        <f t="shared" ref="K196:K259" si="68">N196</f>
        <v>45818</v>
      </c>
      <c r="L196" s="55">
        <f t="shared" ref="L196:L259" si="69">IF(K196&gt;=DATE(2022,4,1),4%,5%)</f>
        <v>0.04</v>
      </c>
      <c r="M196" s="76">
        <v>0.22500000000000001</v>
      </c>
      <c r="N196" s="62">
        <v>45818</v>
      </c>
      <c r="O196" s="62">
        <v>46182</v>
      </c>
      <c r="P196" s="63"/>
      <c r="Q196" s="63"/>
      <c r="R196" s="82">
        <v>9</v>
      </c>
      <c r="S196" s="63" t="str">
        <f>VLOOKUP(R196,SA!$B$5:$C$11,2,1)</f>
        <v>0-35</v>
      </c>
      <c r="T196" s="38" t="s">
        <v>97</v>
      </c>
      <c r="U196" s="24" t="s">
        <v>113</v>
      </c>
      <c r="V196" s="24">
        <v>300000</v>
      </c>
      <c r="W196" s="39">
        <f t="shared" ref="W196:W259" si="70">IF(U196="self",V196,0)</f>
        <v>0</v>
      </c>
      <c r="X196" s="29">
        <f t="shared" ref="X196:X259" si="71">IF(U196="self",1,0)</f>
        <v>0</v>
      </c>
      <c r="Y196" s="40">
        <f t="shared" ref="Y196:Y259" si="72">O196-N196+1</f>
        <v>365</v>
      </c>
      <c r="Z196" s="38">
        <f t="shared" si="67"/>
        <v>46081</v>
      </c>
      <c r="AA196" s="41">
        <f t="shared" ref="AA196:AA259" si="73">IF(MIN((Z196-N196)+1,Y196)&lt;0,0,MIN((Z196-N196)+1,Y196))</f>
        <v>264</v>
      </c>
      <c r="AB196" s="24" t="s">
        <v>125</v>
      </c>
      <c r="AC196" s="41">
        <f t="shared" ref="AC196:AC259" si="74">AE196+AF196+AG196+AH196</f>
        <v>3874.2114000000001</v>
      </c>
      <c r="AD196" s="41">
        <v>1</v>
      </c>
      <c r="AE196" s="72">
        <f>IFERROR(INDEX(SA!$C$4:$E$11,MATCH(Details!S196,SA!$C$4:$C$11,0),MATCH(Details!V196,SA!$C$4:$E$4,0)),0)*Y196/(F196-E196+1)</f>
        <v>3283.23</v>
      </c>
      <c r="AF196" s="41">
        <f t="shared" ref="AF196:AF259" si="75">IF(AB196="Karnataka",AE196*9%,0)</f>
        <v>0</v>
      </c>
      <c r="AG196" s="41">
        <f t="shared" ref="AG196:AG259" si="76">IF(AB196="Karnataka",AE196*9%,0)</f>
        <v>0</v>
      </c>
      <c r="AH196" s="41">
        <f t="shared" ref="AH196:AH259" si="77">IF(AF196+AG196&gt;0,0,AE196*18%)</f>
        <v>590.98140000000001</v>
      </c>
      <c r="AI196" s="60">
        <f t="shared" ref="AI196:AI259" si="78">AE196*L196</f>
        <v>131.32920000000001</v>
      </c>
      <c r="AJ196" s="60">
        <f t="shared" ref="AJ196:AJ259" si="79">$AE196*M196</f>
        <v>738.72675000000004</v>
      </c>
      <c r="AK196" s="60">
        <f t="shared" ref="AK196:AK259" si="80">(AE196)*AA196/Y196</f>
        <v>2374.7197808219175</v>
      </c>
      <c r="AL196" s="60">
        <f t="shared" ref="AL196:AL259" si="81">AK196*(1-L196-M196)</f>
        <v>1745.4190389041094</v>
      </c>
      <c r="AM196" s="41">
        <f t="shared" ref="AM196:AM259" si="82">AE196-AI196-AL196-AJ196</f>
        <v>667.7550110958905</v>
      </c>
      <c r="AN196" s="42">
        <f t="shared" ref="AN196:AN259" si="83">Z196-366</f>
        <v>45715</v>
      </c>
      <c r="AO196" s="43">
        <f t="shared" ref="AO196:AO259" si="84">IF(AND(O196&gt;Z196,N196&gt;AN196),AE196,0)</f>
        <v>3283.23</v>
      </c>
    </row>
    <row r="197" spans="1:41" s="24" customFormat="1" ht="15.75" customHeight="1" x14ac:dyDescent="0.35">
      <c r="A197" s="36" t="s">
        <v>27</v>
      </c>
      <c r="B197" s="36">
        <v>202506</v>
      </c>
      <c r="C197" s="24" t="s">
        <v>128</v>
      </c>
      <c r="D197" s="24" t="s">
        <v>129</v>
      </c>
      <c r="E197" s="62">
        <v>45818</v>
      </c>
      <c r="F197" s="62">
        <v>46182</v>
      </c>
      <c r="G197" s="37" t="s">
        <v>325</v>
      </c>
      <c r="H197" s="36">
        <v>2029</v>
      </c>
      <c r="I197" s="63">
        <v>26782</v>
      </c>
      <c r="J197" s="24" t="s">
        <v>973</v>
      </c>
      <c r="K197" s="63">
        <f t="shared" si="68"/>
        <v>45818</v>
      </c>
      <c r="L197" s="55">
        <f t="shared" si="69"/>
        <v>0.04</v>
      </c>
      <c r="M197" s="76">
        <v>0.22500000000000001</v>
      </c>
      <c r="N197" s="62">
        <v>45818</v>
      </c>
      <c r="O197" s="62">
        <v>46182</v>
      </c>
      <c r="P197" s="63"/>
      <c r="Q197" s="63"/>
      <c r="R197" s="82">
        <v>52</v>
      </c>
      <c r="S197" s="63" t="str">
        <f>VLOOKUP(R197,SA!$B$5:$C$11,2,1)</f>
        <v>46-55</v>
      </c>
      <c r="T197" s="38" t="s">
        <v>96</v>
      </c>
      <c r="U197" s="24" t="s">
        <v>56</v>
      </c>
      <c r="V197" s="24">
        <v>300000</v>
      </c>
      <c r="W197" s="39">
        <f t="shared" si="70"/>
        <v>300000</v>
      </c>
      <c r="X197" s="29">
        <f t="shared" si="71"/>
        <v>1</v>
      </c>
      <c r="Y197" s="40">
        <f t="shared" si="72"/>
        <v>365</v>
      </c>
      <c r="Z197" s="38">
        <f t="shared" si="67"/>
        <v>46081</v>
      </c>
      <c r="AA197" s="41">
        <f t="shared" si="73"/>
        <v>264</v>
      </c>
      <c r="AB197" s="24" t="s">
        <v>125</v>
      </c>
      <c r="AC197" s="41">
        <f t="shared" si="74"/>
        <v>9586.9925999999996</v>
      </c>
      <c r="AD197" s="41">
        <v>1</v>
      </c>
      <c r="AE197" s="72">
        <f>IFERROR(INDEX(SA!$C$4:$E$11,MATCH(Details!S197,SA!$C$4:$C$11,0),MATCH(Details!V197,SA!$C$4:$E$4,0)),0)*Y197/(F197-E197+1)</f>
        <v>8124.57</v>
      </c>
      <c r="AF197" s="41">
        <f t="shared" si="75"/>
        <v>0</v>
      </c>
      <c r="AG197" s="41">
        <f t="shared" si="76"/>
        <v>0</v>
      </c>
      <c r="AH197" s="41">
        <f t="shared" si="77"/>
        <v>1462.4225999999999</v>
      </c>
      <c r="AI197" s="60">
        <f t="shared" si="78"/>
        <v>324.9828</v>
      </c>
      <c r="AJ197" s="60">
        <f t="shared" si="79"/>
        <v>1828.0282500000001</v>
      </c>
      <c r="AK197" s="60">
        <f t="shared" si="80"/>
        <v>5876.4013150684932</v>
      </c>
      <c r="AL197" s="60">
        <f t="shared" si="81"/>
        <v>4319.1549665753428</v>
      </c>
      <c r="AM197" s="41">
        <f t="shared" si="82"/>
        <v>1652.4039834246571</v>
      </c>
      <c r="AN197" s="42">
        <f t="shared" si="83"/>
        <v>45715</v>
      </c>
      <c r="AO197" s="43">
        <f t="shared" si="84"/>
        <v>8124.57</v>
      </c>
    </row>
    <row r="198" spans="1:41" s="24" customFormat="1" ht="15.75" customHeight="1" x14ac:dyDescent="0.35">
      <c r="A198" s="36" t="s">
        <v>27</v>
      </c>
      <c r="B198" s="36">
        <v>202506</v>
      </c>
      <c r="C198" s="24" t="s">
        <v>128</v>
      </c>
      <c r="D198" s="24" t="s">
        <v>129</v>
      </c>
      <c r="E198" s="62">
        <v>45818</v>
      </c>
      <c r="F198" s="62">
        <v>46182</v>
      </c>
      <c r="G198" s="37" t="s">
        <v>326</v>
      </c>
      <c r="H198" s="36">
        <v>2029</v>
      </c>
      <c r="I198" s="63">
        <v>29446</v>
      </c>
      <c r="J198" s="24" t="s">
        <v>974</v>
      </c>
      <c r="K198" s="63">
        <f t="shared" si="68"/>
        <v>45818</v>
      </c>
      <c r="L198" s="55">
        <f t="shared" si="69"/>
        <v>0.04</v>
      </c>
      <c r="M198" s="76">
        <v>0.22500000000000001</v>
      </c>
      <c r="N198" s="62">
        <v>45818</v>
      </c>
      <c r="O198" s="62">
        <v>46182</v>
      </c>
      <c r="P198" s="63"/>
      <c r="Q198" s="63"/>
      <c r="R198" s="82">
        <v>44</v>
      </c>
      <c r="S198" s="63" t="str">
        <f>VLOOKUP(R198,SA!$B$5:$C$11,2,1)</f>
        <v>36-45</v>
      </c>
      <c r="T198" s="38" t="s">
        <v>97</v>
      </c>
      <c r="U198" s="24" t="s">
        <v>115</v>
      </c>
      <c r="V198" s="24">
        <v>300000</v>
      </c>
      <c r="W198" s="39">
        <f t="shared" si="70"/>
        <v>0</v>
      </c>
      <c r="X198" s="29">
        <f t="shared" si="71"/>
        <v>0</v>
      </c>
      <c r="Y198" s="40">
        <f t="shared" si="72"/>
        <v>365</v>
      </c>
      <c r="Z198" s="38">
        <f t="shared" si="67"/>
        <v>46081</v>
      </c>
      <c r="AA198" s="41">
        <f t="shared" si="73"/>
        <v>264</v>
      </c>
      <c r="AB198" s="24" t="s">
        <v>125</v>
      </c>
      <c r="AC198" s="41">
        <f t="shared" si="74"/>
        <v>5017.3245999999999</v>
      </c>
      <c r="AD198" s="41">
        <v>1</v>
      </c>
      <c r="AE198" s="72">
        <f>IFERROR(INDEX(SA!$C$4:$E$11,MATCH(Details!S198,SA!$C$4:$C$11,0),MATCH(Details!V198,SA!$C$4:$E$4,0)),0)*Y198/(F198-E198+1)</f>
        <v>4251.97</v>
      </c>
      <c r="AF198" s="41">
        <f t="shared" si="75"/>
        <v>0</v>
      </c>
      <c r="AG198" s="41">
        <f t="shared" si="76"/>
        <v>0</v>
      </c>
      <c r="AH198" s="41">
        <f t="shared" si="77"/>
        <v>765.3546</v>
      </c>
      <c r="AI198" s="60">
        <f t="shared" si="78"/>
        <v>170.0788</v>
      </c>
      <c r="AJ198" s="60">
        <f t="shared" si="79"/>
        <v>956.69325000000003</v>
      </c>
      <c r="AK198" s="60">
        <f t="shared" si="80"/>
        <v>3075.397479452055</v>
      </c>
      <c r="AL198" s="60">
        <f t="shared" si="81"/>
        <v>2260.4171473972606</v>
      </c>
      <c r="AM198" s="41">
        <f t="shared" si="82"/>
        <v>864.78080260273941</v>
      </c>
      <c r="AN198" s="42">
        <f t="shared" si="83"/>
        <v>45715</v>
      </c>
      <c r="AO198" s="43">
        <f t="shared" si="84"/>
        <v>4251.97</v>
      </c>
    </row>
    <row r="199" spans="1:41" s="24" customFormat="1" ht="15.75" customHeight="1" x14ac:dyDescent="0.35">
      <c r="A199" s="36" t="s">
        <v>27</v>
      </c>
      <c r="B199" s="36">
        <v>202506</v>
      </c>
      <c r="C199" s="24" t="s">
        <v>128</v>
      </c>
      <c r="D199" s="24" t="s">
        <v>129</v>
      </c>
      <c r="E199" s="62">
        <v>45818</v>
      </c>
      <c r="F199" s="62">
        <v>46182</v>
      </c>
      <c r="G199" s="37" t="s">
        <v>327</v>
      </c>
      <c r="H199" s="36">
        <v>2029</v>
      </c>
      <c r="I199" s="63">
        <v>38307</v>
      </c>
      <c r="J199" s="24" t="s">
        <v>975</v>
      </c>
      <c r="K199" s="63">
        <f t="shared" si="68"/>
        <v>45818</v>
      </c>
      <c r="L199" s="55">
        <f t="shared" si="69"/>
        <v>0.04</v>
      </c>
      <c r="M199" s="76">
        <v>0.22500000000000001</v>
      </c>
      <c r="N199" s="62">
        <v>45818</v>
      </c>
      <c r="O199" s="62">
        <v>46182</v>
      </c>
      <c r="P199" s="63"/>
      <c r="Q199" s="63"/>
      <c r="R199" s="82">
        <v>20</v>
      </c>
      <c r="S199" s="63" t="str">
        <f>VLOOKUP(R199,SA!$B$5:$C$11,2,1)</f>
        <v>0-35</v>
      </c>
      <c r="T199" s="38" t="s">
        <v>97</v>
      </c>
      <c r="U199" s="24" t="s">
        <v>113</v>
      </c>
      <c r="V199" s="24">
        <v>300000</v>
      </c>
      <c r="W199" s="39">
        <f t="shared" si="70"/>
        <v>0</v>
      </c>
      <c r="X199" s="29">
        <f t="shared" si="71"/>
        <v>0</v>
      </c>
      <c r="Y199" s="40">
        <f t="shared" si="72"/>
        <v>365</v>
      </c>
      <c r="Z199" s="38">
        <f t="shared" si="67"/>
        <v>46081</v>
      </c>
      <c r="AA199" s="41">
        <f t="shared" si="73"/>
        <v>264</v>
      </c>
      <c r="AB199" s="24" t="s">
        <v>125</v>
      </c>
      <c r="AC199" s="41">
        <f t="shared" si="74"/>
        <v>3874.2114000000001</v>
      </c>
      <c r="AD199" s="41">
        <v>1</v>
      </c>
      <c r="AE199" s="72">
        <f>IFERROR(INDEX(SA!$C$4:$E$11,MATCH(Details!S199,SA!$C$4:$C$11,0),MATCH(Details!V199,SA!$C$4:$E$4,0)),0)*Y199/(F199-E199+1)</f>
        <v>3283.23</v>
      </c>
      <c r="AF199" s="41">
        <f t="shared" si="75"/>
        <v>0</v>
      </c>
      <c r="AG199" s="41">
        <f t="shared" si="76"/>
        <v>0</v>
      </c>
      <c r="AH199" s="41">
        <f t="shared" si="77"/>
        <v>590.98140000000001</v>
      </c>
      <c r="AI199" s="60">
        <f t="shared" si="78"/>
        <v>131.32920000000001</v>
      </c>
      <c r="AJ199" s="60">
        <f t="shared" si="79"/>
        <v>738.72675000000004</v>
      </c>
      <c r="AK199" s="60">
        <f t="shared" si="80"/>
        <v>2374.7197808219175</v>
      </c>
      <c r="AL199" s="60">
        <f t="shared" si="81"/>
        <v>1745.4190389041094</v>
      </c>
      <c r="AM199" s="41">
        <f t="shared" si="82"/>
        <v>667.7550110958905</v>
      </c>
      <c r="AN199" s="42">
        <f t="shared" si="83"/>
        <v>45715</v>
      </c>
      <c r="AO199" s="43">
        <f t="shared" si="84"/>
        <v>3283.23</v>
      </c>
    </row>
    <row r="200" spans="1:41" s="24" customFormat="1" ht="15.75" customHeight="1" x14ac:dyDescent="0.35">
      <c r="A200" s="36" t="s">
        <v>27</v>
      </c>
      <c r="B200" s="36">
        <v>202506</v>
      </c>
      <c r="C200" s="24" t="s">
        <v>128</v>
      </c>
      <c r="D200" s="24" t="s">
        <v>129</v>
      </c>
      <c r="E200" s="62">
        <v>45818</v>
      </c>
      <c r="F200" s="62">
        <v>46182</v>
      </c>
      <c r="G200" s="37" t="s">
        <v>328</v>
      </c>
      <c r="H200" s="36">
        <v>2029</v>
      </c>
      <c r="I200" s="63">
        <v>39760</v>
      </c>
      <c r="J200" s="24" t="s">
        <v>976</v>
      </c>
      <c r="K200" s="63">
        <f t="shared" si="68"/>
        <v>45818</v>
      </c>
      <c r="L200" s="55">
        <f t="shared" si="69"/>
        <v>0.04</v>
      </c>
      <c r="M200" s="76">
        <v>0.22500000000000001</v>
      </c>
      <c r="N200" s="62">
        <v>45818</v>
      </c>
      <c r="O200" s="62">
        <v>46182</v>
      </c>
      <c r="P200" s="63"/>
      <c r="Q200" s="63"/>
      <c r="R200" s="82">
        <v>16</v>
      </c>
      <c r="S200" s="63" t="str">
        <f>VLOOKUP(R200,SA!$B$5:$C$11,2,1)</f>
        <v>0-35</v>
      </c>
      <c r="T200" s="38" t="s">
        <v>96</v>
      </c>
      <c r="U200" s="24" t="s">
        <v>114</v>
      </c>
      <c r="V200" s="24">
        <v>300000</v>
      </c>
      <c r="W200" s="39">
        <f t="shared" si="70"/>
        <v>0</v>
      </c>
      <c r="X200" s="29">
        <f t="shared" si="71"/>
        <v>0</v>
      </c>
      <c r="Y200" s="40">
        <f t="shared" si="72"/>
        <v>365</v>
      </c>
      <c r="Z200" s="38">
        <f t="shared" si="67"/>
        <v>46081</v>
      </c>
      <c r="AA200" s="41">
        <f t="shared" si="73"/>
        <v>264</v>
      </c>
      <c r="AB200" s="24" t="s">
        <v>125</v>
      </c>
      <c r="AC200" s="41">
        <f t="shared" si="74"/>
        <v>3874.2114000000001</v>
      </c>
      <c r="AD200" s="41">
        <v>1</v>
      </c>
      <c r="AE200" s="72">
        <f>IFERROR(INDEX(SA!$C$4:$E$11,MATCH(Details!S200,SA!$C$4:$C$11,0),MATCH(Details!V200,SA!$C$4:$E$4,0)),0)*Y200/(F200-E200+1)</f>
        <v>3283.23</v>
      </c>
      <c r="AF200" s="41">
        <f t="shared" si="75"/>
        <v>0</v>
      </c>
      <c r="AG200" s="41">
        <f t="shared" si="76"/>
        <v>0</v>
      </c>
      <c r="AH200" s="41">
        <f t="shared" si="77"/>
        <v>590.98140000000001</v>
      </c>
      <c r="AI200" s="60">
        <f t="shared" si="78"/>
        <v>131.32920000000001</v>
      </c>
      <c r="AJ200" s="60">
        <f t="shared" si="79"/>
        <v>738.72675000000004</v>
      </c>
      <c r="AK200" s="60">
        <f t="shared" si="80"/>
        <v>2374.7197808219175</v>
      </c>
      <c r="AL200" s="60">
        <f t="shared" si="81"/>
        <v>1745.4190389041094</v>
      </c>
      <c r="AM200" s="41">
        <f t="shared" si="82"/>
        <v>667.7550110958905</v>
      </c>
      <c r="AN200" s="42">
        <f t="shared" si="83"/>
        <v>45715</v>
      </c>
      <c r="AO200" s="43">
        <f t="shared" si="84"/>
        <v>3283.23</v>
      </c>
    </row>
    <row r="201" spans="1:41" s="24" customFormat="1" ht="15.75" customHeight="1" x14ac:dyDescent="0.35">
      <c r="A201" s="36" t="s">
        <v>27</v>
      </c>
      <c r="B201" s="36">
        <v>202506</v>
      </c>
      <c r="C201" s="24" t="s">
        <v>128</v>
      </c>
      <c r="D201" s="24" t="s">
        <v>129</v>
      </c>
      <c r="E201" s="62">
        <v>45818</v>
      </c>
      <c r="F201" s="62">
        <v>46182</v>
      </c>
      <c r="G201" s="37" t="s">
        <v>329</v>
      </c>
      <c r="H201" s="36">
        <v>2030</v>
      </c>
      <c r="I201" s="63">
        <v>29706</v>
      </c>
      <c r="J201" s="24" t="s">
        <v>977</v>
      </c>
      <c r="K201" s="63">
        <f t="shared" si="68"/>
        <v>45818</v>
      </c>
      <c r="L201" s="55">
        <f t="shared" si="69"/>
        <v>0.04</v>
      </c>
      <c r="M201" s="76">
        <v>0.22500000000000001</v>
      </c>
      <c r="N201" s="62">
        <v>45818</v>
      </c>
      <c r="O201" s="62">
        <v>46182</v>
      </c>
      <c r="P201" s="63"/>
      <c r="Q201" s="63"/>
      <c r="R201" s="82">
        <v>44</v>
      </c>
      <c r="S201" s="63" t="str">
        <f>VLOOKUP(R201,SA!$B$5:$C$11,2,1)</f>
        <v>36-45</v>
      </c>
      <c r="T201" s="38" t="s">
        <v>96</v>
      </c>
      <c r="U201" s="24" t="s">
        <v>56</v>
      </c>
      <c r="V201" s="24">
        <v>300000</v>
      </c>
      <c r="W201" s="39">
        <f t="shared" si="70"/>
        <v>300000</v>
      </c>
      <c r="X201" s="29">
        <f t="shared" si="71"/>
        <v>1</v>
      </c>
      <c r="Y201" s="40">
        <f t="shared" si="72"/>
        <v>365</v>
      </c>
      <c r="Z201" s="38">
        <f t="shared" si="67"/>
        <v>46081</v>
      </c>
      <c r="AA201" s="41">
        <f t="shared" si="73"/>
        <v>264</v>
      </c>
      <c r="AB201" s="24" t="s">
        <v>125</v>
      </c>
      <c r="AC201" s="41">
        <f t="shared" si="74"/>
        <v>5017.3245999999999</v>
      </c>
      <c r="AD201" s="41">
        <v>1</v>
      </c>
      <c r="AE201" s="72">
        <f>IFERROR(INDEX(SA!$C$4:$E$11,MATCH(Details!S201,SA!$C$4:$C$11,0),MATCH(Details!V201,SA!$C$4:$E$4,0)),0)*Y201/(F201-E201+1)</f>
        <v>4251.97</v>
      </c>
      <c r="AF201" s="41">
        <f t="shared" si="75"/>
        <v>0</v>
      </c>
      <c r="AG201" s="41">
        <f t="shared" si="76"/>
        <v>0</v>
      </c>
      <c r="AH201" s="41">
        <f t="shared" si="77"/>
        <v>765.3546</v>
      </c>
      <c r="AI201" s="60">
        <f t="shared" si="78"/>
        <v>170.0788</v>
      </c>
      <c r="AJ201" s="60">
        <f t="shared" si="79"/>
        <v>956.69325000000003</v>
      </c>
      <c r="AK201" s="60">
        <f t="shared" si="80"/>
        <v>3075.397479452055</v>
      </c>
      <c r="AL201" s="60">
        <f t="shared" si="81"/>
        <v>2260.4171473972606</v>
      </c>
      <c r="AM201" s="41">
        <f t="shared" si="82"/>
        <v>864.78080260273941</v>
      </c>
      <c r="AN201" s="42">
        <f t="shared" si="83"/>
        <v>45715</v>
      </c>
      <c r="AO201" s="43">
        <f t="shared" si="84"/>
        <v>4251.97</v>
      </c>
    </row>
    <row r="202" spans="1:41" s="24" customFormat="1" ht="15.75" customHeight="1" x14ac:dyDescent="0.35">
      <c r="A202" s="36" t="s">
        <v>27</v>
      </c>
      <c r="B202" s="36">
        <v>202506</v>
      </c>
      <c r="C202" s="24" t="s">
        <v>128</v>
      </c>
      <c r="D202" s="24" t="s">
        <v>129</v>
      </c>
      <c r="E202" s="62">
        <v>45818</v>
      </c>
      <c r="F202" s="62">
        <v>46182</v>
      </c>
      <c r="G202" s="37" t="s">
        <v>330</v>
      </c>
      <c r="H202" s="36">
        <v>2030</v>
      </c>
      <c r="I202" s="63">
        <v>41373</v>
      </c>
      <c r="J202" s="24" t="s">
        <v>978</v>
      </c>
      <c r="K202" s="63">
        <f t="shared" si="68"/>
        <v>45818</v>
      </c>
      <c r="L202" s="55">
        <f t="shared" si="69"/>
        <v>0.04</v>
      </c>
      <c r="M202" s="76">
        <v>0.22500000000000001</v>
      </c>
      <c r="N202" s="62">
        <v>45818</v>
      </c>
      <c r="O202" s="62">
        <v>46182</v>
      </c>
      <c r="P202" s="63"/>
      <c r="Q202" s="63"/>
      <c r="R202" s="82">
        <v>12</v>
      </c>
      <c r="S202" s="63" t="str">
        <f>VLOOKUP(R202,SA!$B$5:$C$11,2,1)</f>
        <v>0-35</v>
      </c>
      <c r="T202" s="38" t="s">
        <v>96</v>
      </c>
      <c r="U202" s="24" t="s">
        <v>114</v>
      </c>
      <c r="V202" s="24">
        <v>300000</v>
      </c>
      <c r="W202" s="39">
        <f t="shared" si="70"/>
        <v>0</v>
      </c>
      <c r="X202" s="29">
        <f t="shared" si="71"/>
        <v>0</v>
      </c>
      <c r="Y202" s="40">
        <f t="shared" si="72"/>
        <v>365</v>
      </c>
      <c r="Z202" s="38">
        <f t="shared" si="67"/>
        <v>46081</v>
      </c>
      <c r="AA202" s="41">
        <f t="shared" si="73"/>
        <v>264</v>
      </c>
      <c r="AB202" s="24" t="s">
        <v>125</v>
      </c>
      <c r="AC202" s="41">
        <f t="shared" si="74"/>
        <v>3874.2114000000001</v>
      </c>
      <c r="AD202" s="41">
        <v>1</v>
      </c>
      <c r="AE202" s="72">
        <f>IFERROR(INDEX(SA!$C$4:$E$11,MATCH(Details!S202,SA!$C$4:$C$11,0),MATCH(Details!V202,SA!$C$4:$E$4,0)),0)*Y202/(F202-E202+1)</f>
        <v>3283.23</v>
      </c>
      <c r="AF202" s="41">
        <f t="shared" si="75"/>
        <v>0</v>
      </c>
      <c r="AG202" s="41">
        <f t="shared" si="76"/>
        <v>0</v>
      </c>
      <c r="AH202" s="41">
        <f t="shared" si="77"/>
        <v>590.98140000000001</v>
      </c>
      <c r="AI202" s="60">
        <f t="shared" si="78"/>
        <v>131.32920000000001</v>
      </c>
      <c r="AJ202" s="60">
        <f t="shared" si="79"/>
        <v>738.72675000000004</v>
      </c>
      <c r="AK202" s="60">
        <f t="shared" si="80"/>
        <v>2374.7197808219175</v>
      </c>
      <c r="AL202" s="60">
        <f t="shared" si="81"/>
        <v>1745.4190389041094</v>
      </c>
      <c r="AM202" s="41">
        <f t="shared" si="82"/>
        <v>667.7550110958905</v>
      </c>
      <c r="AN202" s="42">
        <f t="shared" si="83"/>
        <v>45715</v>
      </c>
      <c r="AO202" s="43">
        <f t="shared" si="84"/>
        <v>3283.23</v>
      </c>
    </row>
    <row r="203" spans="1:41" s="24" customFormat="1" ht="15.75" customHeight="1" x14ac:dyDescent="0.35">
      <c r="A203" s="36" t="s">
        <v>27</v>
      </c>
      <c r="B203" s="36">
        <v>202506</v>
      </c>
      <c r="C203" s="24" t="s">
        <v>128</v>
      </c>
      <c r="D203" s="24" t="s">
        <v>129</v>
      </c>
      <c r="E203" s="62">
        <v>45818</v>
      </c>
      <c r="F203" s="62">
        <v>46182</v>
      </c>
      <c r="G203" s="37" t="s">
        <v>331</v>
      </c>
      <c r="H203" s="36">
        <v>2030</v>
      </c>
      <c r="I203" s="63">
        <v>43038</v>
      </c>
      <c r="J203" s="24" t="s">
        <v>979</v>
      </c>
      <c r="K203" s="63">
        <f t="shared" si="68"/>
        <v>45818</v>
      </c>
      <c r="L203" s="55">
        <f t="shared" si="69"/>
        <v>0.04</v>
      </c>
      <c r="M203" s="76">
        <v>0.22500000000000001</v>
      </c>
      <c r="N203" s="62">
        <v>45818</v>
      </c>
      <c r="O203" s="62">
        <v>46182</v>
      </c>
      <c r="P203" s="63"/>
      <c r="Q203" s="63"/>
      <c r="R203" s="82">
        <v>7</v>
      </c>
      <c r="S203" s="63" t="str">
        <f>VLOOKUP(R203,SA!$B$5:$C$11,2,1)</f>
        <v>0-35</v>
      </c>
      <c r="T203" s="38" t="s">
        <v>97</v>
      </c>
      <c r="U203" s="24" t="s">
        <v>113</v>
      </c>
      <c r="V203" s="24">
        <v>300000</v>
      </c>
      <c r="W203" s="39">
        <f t="shared" si="70"/>
        <v>0</v>
      </c>
      <c r="X203" s="29">
        <f t="shared" si="71"/>
        <v>0</v>
      </c>
      <c r="Y203" s="40">
        <f t="shared" si="72"/>
        <v>365</v>
      </c>
      <c r="Z203" s="38">
        <f t="shared" si="67"/>
        <v>46081</v>
      </c>
      <c r="AA203" s="41">
        <f t="shared" si="73"/>
        <v>264</v>
      </c>
      <c r="AB203" s="24" t="s">
        <v>125</v>
      </c>
      <c r="AC203" s="41">
        <f t="shared" si="74"/>
        <v>3874.2114000000001</v>
      </c>
      <c r="AD203" s="41">
        <v>1</v>
      </c>
      <c r="AE203" s="72">
        <f>IFERROR(INDEX(SA!$C$4:$E$11,MATCH(Details!S203,SA!$C$4:$C$11,0),MATCH(Details!V203,SA!$C$4:$E$4,0)),0)*Y203/(F203-E203+1)</f>
        <v>3283.23</v>
      </c>
      <c r="AF203" s="41">
        <f t="shared" si="75"/>
        <v>0</v>
      </c>
      <c r="AG203" s="41">
        <f t="shared" si="76"/>
        <v>0</v>
      </c>
      <c r="AH203" s="41">
        <f t="shared" si="77"/>
        <v>590.98140000000001</v>
      </c>
      <c r="AI203" s="60">
        <f t="shared" si="78"/>
        <v>131.32920000000001</v>
      </c>
      <c r="AJ203" s="60">
        <f t="shared" si="79"/>
        <v>738.72675000000004</v>
      </c>
      <c r="AK203" s="60">
        <f t="shared" si="80"/>
        <v>2374.7197808219175</v>
      </c>
      <c r="AL203" s="60">
        <f t="shared" si="81"/>
        <v>1745.4190389041094</v>
      </c>
      <c r="AM203" s="41">
        <f t="shared" si="82"/>
        <v>667.7550110958905</v>
      </c>
      <c r="AN203" s="42">
        <f t="shared" si="83"/>
        <v>45715</v>
      </c>
      <c r="AO203" s="43">
        <f t="shared" si="84"/>
        <v>3283.23</v>
      </c>
    </row>
    <row r="204" spans="1:41" s="24" customFormat="1" ht="15.75" customHeight="1" x14ac:dyDescent="0.35">
      <c r="A204" s="36" t="s">
        <v>27</v>
      </c>
      <c r="B204" s="36">
        <v>202506</v>
      </c>
      <c r="C204" s="24" t="s">
        <v>128</v>
      </c>
      <c r="D204" s="24" t="s">
        <v>129</v>
      </c>
      <c r="E204" s="62">
        <v>45818</v>
      </c>
      <c r="F204" s="62">
        <v>46182</v>
      </c>
      <c r="G204" s="37" t="s">
        <v>332</v>
      </c>
      <c r="H204" s="36">
        <v>2030</v>
      </c>
      <c r="I204" s="63">
        <v>33365</v>
      </c>
      <c r="J204" s="24" t="s">
        <v>980</v>
      </c>
      <c r="K204" s="63">
        <f t="shared" si="68"/>
        <v>45818</v>
      </c>
      <c r="L204" s="55">
        <f t="shared" si="69"/>
        <v>0.04</v>
      </c>
      <c r="M204" s="76">
        <v>0.22500000000000001</v>
      </c>
      <c r="N204" s="62">
        <v>45818</v>
      </c>
      <c r="O204" s="62">
        <v>46182</v>
      </c>
      <c r="P204" s="63"/>
      <c r="Q204" s="63"/>
      <c r="R204" s="82">
        <v>34</v>
      </c>
      <c r="S204" s="63" t="str">
        <f>VLOOKUP(R204,SA!$B$5:$C$11,2,1)</f>
        <v>0-35</v>
      </c>
      <c r="T204" s="38" t="s">
        <v>97</v>
      </c>
      <c r="U204" s="24" t="s">
        <v>115</v>
      </c>
      <c r="V204" s="24">
        <v>300000</v>
      </c>
      <c r="W204" s="39">
        <f t="shared" si="70"/>
        <v>0</v>
      </c>
      <c r="X204" s="29">
        <f t="shared" si="71"/>
        <v>0</v>
      </c>
      <c r="Y204" s="40">
        <f t="shared" si="72"/>
        <v>365</v>
      </c>
      <c r="Z204" s="38">
        <f t="shared" si="67"/>
        <v>46081</v>
      </c>
      <c r="AA204" s="41">
        <f t="shared" si="73"/>
        <v>264</v>
      </c>
      <c r="AB204" s="24" t="s">
        <v>125</v>
      </c>
      <c r="AC204" s="41">
        <f t="shared" si="74"/>
        <v>3874.2114000000001</v>
      </c>
      <c r="AD204" s="41">
        <v>1</v>
      </c>
      <c r="AE204" s="72">
        <f>IFERROR(INDEX(SA!$C$4:$E$11,MATCH(Details!S204,SA!$C$4:$C$11,0),MATCH(Details!V204,SA!$C$4:$E$4,0)),0)*Y204/(F204-E204+1)</f>
        <v>3283.23</v>
      </c>
      <c r="AF204" s="41">
        <f t="shared" si="75"/>
        <v>0</v>
      </c>
      <c r="AG204" s="41">
        <f t="shared" si="76"/>
        <v>0</v>
      </c>
      <c r="AH204" s="41">
        <f t="shared" si="77"/>
        <v>590.98140000000001</v>
      </c>
      <c r="AI204" s="60">
        <f t="shared" si="78"/>
        <v>131.32920000000001</v>
      </c>
      <c r="AJ204" s="60">
        <f t="shared" si="79"/>
        <v>738.72675000000004</v>
      </c>
      <c r="AK204" s="60">
        <f t="shared" si="80"/>
        <v>2374.7197808219175</v>
      </c>
      <c r="AL204" s="60">
        <f t="shared" si="81"/>
        <v>1745.4190389041094</v>
      </c>
      <c r="AM204" s="41">
        <f t="shared" si="82"/>
        <v>667.7550110958905</v>
      </c>
      <c r="AN204" s="42">
        <f t="shared" si="83"/>
        <v>45715</v>
      </c>
      <c r="AO204" s="43">
        <f t="shared" si="84"/>
        <v>3283.23</v>
      </c>
    </row>
    <row r="205" spans="1:41" s="24" customFormat="1" ht="15.75" customHeight="1" x14ac:dyDescent="0.35">
      <c r="A205" s="36" t="s">
        <v>27</v>
      </c>
      <c r="B205" s="36">
        <v>202506</v>
      </c>
      <c r="C205" s="24" t="s">
        <v>128</v>
      </c>
      <c r="D205" s="24" t="s">
        <v>129</v>
      </c>
      <c r="E205" s="62">
        <v>45818</v>
      </c>
      <c r="F205" s="62">
        <v>46182</v>
      </c>
      <c r="G205" s="37" t="s">
        <v>333</v>
      </c>
      <c r="H205" s="36">
        <v>2031</v>
      </c>
      <c r="I205" s="63">
        <v>25355</v>
      </c>
      <c r="J205" s="24" t="s">
        <v>981</v>
      </c>
      <c r="K205" s="63">
        <f t="shared" si="68"/>
        <v>45818</v>
      </c>
      <c r="L205" s="55">
        <f t="shared" si="69"/>
        <v>0.04</v>
      </c>
      <c r="M205" s="76">
        <v>0.22500000000000001</v>
      </c>
      <c r="N205" s="62">
        <v>45818</v>
      </c>
      <c r="O205" s="62">
        <v>46182</v>
      </c>
      <c r="P205" s="63"/>
      <c r="Q205" s="63"/>
      <c r="R205" s="82">
        <v>56</v>
      </c>
      <c r="S205" s="63" t="str">
        <f>VLOOKUP(R205,SA!$B$5:$C$11,2,1)</f>
        <v>56-65</v>
      </c>
      <c r="T205" s="38" t="s">
        <v>96</v>
      </c>
      <c r="U205" s="24" t="s">
        <v>56</v>
      </c>
      <c r="V205" s="24">
        <v>300000</v>
      </c>
      <c r="W205" s="39">
        <f t="shared" si="70"/>
        <v>300000</v>
      </c>
      <c r="X205" s="29">
        <f t="shared" si="71"/>
        <v>1</v>
      </c>
      <c r="Y205" s="40">
        <f t="shared" si="72"/>
        <v>365</v>
      </c>
      <c r="Z205" s="38">
        <f t="shared" si="67"/>
        <v>46081</v>
      </c>
      <c r="AA205" s="41">
        <f t="shared" si="73"/>
        <v>264</v>
      </c>
      <c r="AB205" s="24" t="s">
        <v>125</v>
      </c>
      <c r="AC205" s="41">
        <f t="shared" si="74"/>
        <v>16811.448199999999</v>
      </c>
      <c r="AD205" s="41">
        <v>1</v>
      </c>
      <c r="AE205" s="72">
        <f>IFERROR(INDEX(SA!$C$4:$E$11,MATCH(Details!S205,SA!$C$4:$C$11,0),MATCH(Details!V205,SA!$C$4:$E$4,0)),0)*Y205/(F205-E205+1)</f>
        <v>14246.99</v>
      </c>
      <c r="AF205" s="41">
        <f t="shared" si="75"/>
        <v>0</v>
      </c>
      <c r="AG205" s="41">
        <f t="shared" si="76"/>
        <v>0</v>
      </c>
      <c r="AH205" s="41">
        <f t="shared" si="77"/>
        <v>2564.4582</v>
      </c>
      <c r="AI205" s="60">
        <f t="shared" si="78"/>
        <v>569.87959999999998</v>
      </c>
      <c r="AJ205" s="60">
        <f t="shared" si="79"/>
        <v>3205.5727499999998</v>
      </c>
      <c r="AK205" s="60">
        <f t="shared" si="80"/>
        <v>10304.672219178083</v>
      </c>
      <c r="AL205" s="60">
        <f t="shared" si="81"/>
        <v>7573.9340810958911</v>
      </c>
      <c r="AM205" s="41">
        <f t="shared" si="82"/>
        <v>2897.6035689041087</v>
      </c>
      <c r="AN205" s="42">
        <f t="shared" si="83"/>
        <v>45715</v>
      </c>
      <c r="AO205" s="43">
        <f t="shared" si="84"/>
        <v>14246.99</v>
      </c>
    </row>
    <row r="206" spans="1:41" s="24" customFormat="1" ht="15.75" customHeight="1" x14ac:dyDescent="0.35">
      <c r="A206" s="36" t="s">
        <v>27</v>
      </c>
      <c r="B206" s="36">
        <v>202506</v>
      </c>
      <c r="C206" s="24" t="s">
        <v>128</v>
      </c>
      <c r="D206" s="24" t="s">
        <v>129</v>
      </c>
      <c r="E206" s="62">
        <v>45818</v>
      </c>
      <c r="F206" s="62">
        <v>46182</v>
      </c>
      <c r="G206" s="37" t="s">
        <v>334</v>
      </c>
      <c r="H206" s="36">
        <v>2031</v>
      </c>
      <c r="I206" s="63">
        <v>39119</v>
      </c>
      <c r="J206" s="24" t="s">
        <v>982</v>
      </c>
      <c r="K206" s="63">
        <f t="shared" si="68"/>
        <v>45818</v>
      </c>
      <c r="L206" s="55">
        <f t="shared" si="69"/>
        <v>0.04</v>
      </c>
      <c r="M206" s="76">
        <v>0.22500000000000001</v>
      </c>
      <c r="N206" s="62">
        <v>45818</v>
      </c>
      <c r="O206" s="62">
        <v>46182</v>
      </c>
      <c r="P206" s="63"/>
      <c r="Q206" s="63"/>
      <c r="R206" s="82">
        <v>18</v>
      </c>
      <c r="S206" s="63" t="str">
        <f>VLOOKUP(R206,SA!$B$5:$C$11,2,1)</f>
        <v>0-35</v>
      </c>
      <c r="T206" s="38" t="s">
        <v>96</v>
      </c>
      <c r="U206" s="24" t="s">
        <v>114</v>
      </c>
      <c r="V206" s="24">
        <v>300000</v>
      </c>
      <c r="W206" s="39">
        <f t="shared" si="70"/>
        <v>0</v>
      </c>
      <c r="X206" s="29">
        <f t="shared" si="71"/>
        <v>0</v>
      </c>
      <c r="Y206" s="40">
        <f t="shared" si="72"/>
        <v>365</v>
      </c>
      <c r="Z206" s="38">
        <f t="shared" si="67"/>
        <v>46081</v>
      </c>
      <c r="AA206" s="41">
        <f t="shared" si="73"/>
        <v>264</v>
      </c>
      <c r="AB206" s="24" t="s">
        <v>125</v>
      </c>
      <c r="AC206" s="41">
        <f t="shared" si="74"/>
        <v>3874.2114000000001</v>
      </c>
      <c r="AD206" s="41">
        <v>1</v>
      </c>
      <c r="AE206" s="72">
        <f>IFERROR(INDEX(SA!$C$4:$E$11,MATCH(Details!S206,SA!$C$4:$C$11,0),MATCH(Details!V206,SA!$C$4:$E$4,0)),0)*Y206/(F206-E206+1)</f>
        <v>3283.23</v>
      </c>
      <c r="AF206" s="41">
        <f t="shared" si="75"/>
        <v>0</v>
      </c>
      <c r="AG206" s="41">
        <f t="shared" si="76"/>
        <v>0</v>
      </c>
      <c r="AH206" s="41">
        <f t="shared" si="77"/>
        <v>590.98140000000001</v>
      </c>
      <c r="AI206" s="60">
        <f t="shared" si="78"/>
        <v>131.32920000000001</v>
      </c>
      <c r="AJ206" s="60">
        <f t="shared" si="79"/>
        <v>738.72675000000004</v>
      </c>
      <c r="AK206" s="60">
        <f t="shared" si="80"/>
        <v>2374.7197808219175</v>
      </c>
      <c r="AL206" s="60">
        <f t="shared" si="81"/>
        <v>1745.4190389041094</v>
      </c>
      <c r="AM206" s="41">
        <f t="shared" si="82"/>
        <v>667.7550110958905</v>
      </c>
      <c r="AN206" s="42">
        <f t="shared" si="83"/>
        <v>45715</v>
      </c>
      <c r="AO206" s="43">
        <f t="shared" si="84"/>
        <v>3283.23</v>
      </c>
    </row>
    <row r="207" spans="1:41" s="24" customFormat="1" ht="15.75" customHeight="1" x14ac:dyDescent="0.35">
      <c r="A207" s="36" t="s">
        <v>27</v>
      </c>
      <c r="B207" s="36">
        <v>202506</v>
      </c>
      <c r="C207" s="24" t="s">
        <v>128</v>
      </c>
      <c r="D207" s="24" t="s">
        <v>129</v>
      </c>
      <c r="E207" s="62">
        <v>45818</v>
      </c>
      <c r="F207" s="62">
        <v>46182</v>
      </c>
      <c r="G207" s="37" t="s">
        <v>335</v>
      </c>
      <c r="H207" s="36">
        <v>2031</v>
      </c>
      <c r="I207" s="63">
        <v>37863</v>
      </c>
      <c r="J207" s="24" t="s">
        <v>983</v>
      </c>
      <c r="K207" s="63">
        <f t="shared" si="68"/>
        <v>45818</v>
      </c>
      <c r="L207" s="55">
        <f t="shared" si="69"/>
        <v>0.04</v>
      </c>
      <c r="M207" s="76">
        <v>0.22500000000000001</v>
      </c>
      <c r="N207" s="62">
        <v>45818</v>
      </c>
      <c r="O207" s="62">
        <v>46182</v>
      </c>
      <c r="P207" s="63"/>
      <c r="Q207" s="63"/>
      <c r="R207" s="82">
        <v>21</v>
      </c>
      <c r="S207" s="63" t="str">
        <f>VLOOKUP(R207,SA!$B$5:$C$11,2,1)</f>
        <v>0-35</v>
      </c>
      <c r="T207" s="38" t="s">
        <v>97</v>
      </c>
      <c r="U207" s="24" t="s">
        <v>113</v>
      </c>
      <c r="V207" s="24">
        <v>300000</v>
      </c>
      <c r="W207" s="39">
        <f t="shared" si="70"/>
        <v>0</v>
      </c>
      <c r="X207" s="29">
        <f t="shared" si="71"/>
        <v>0</v>
      </c>
      <c r="Y207" s="40">
        <f t="shared" si="72"/>
        <v>365</v>
      </c>
      <c r="Z207" s="38">
        <f t="shared" si="67"/>
        <v>46081</v>
      </c>
      <c r="AA207" s="41">
        <f t="shared" si="73"/>
        <v>264</v>
      </c>
      <c r="AB207" s="24" t="s">
        <v>125</v>
      </c>
      <c r="AC207" s="41">
        <f t="shared" si="74"/>
        <v>3874.2114000000001</v>
      </c>
      <c r="AD207" s="41">
        <v>1</v>
      </c>
      <c r="AE207" s="72">
        <f>IFERROR(INDEX(SA!$C$4:$E$11,MATCH(Details!S207,SA!$C$4:$C$11,0),MATCH(Details!V207,SA!$C$4:$E$4,0)),0)*Y207/(F207-E207+1)</f>
        <v>3283.23</v>
      </c>
      <c r="AF207" s="41">
        <f t="shared" si="75"/>
        <v>0</v>
      </c>
      <c r="AG207" s="41">
        <f t="shared" si="76"/>
        <v>0</v>
      </c>
      <c r="AH207" s="41">
        <f t="shared" si="77"/>
        <v>590.98140000000001</v>
      </c>
      <c r="AI207" s="60">
        <f t="shared" si="78"/>
        <v>131.32920000000001</v>
      </c>
      <c r="AJ207" s="60">
        <f t="shared" si="79"/>
        <v>738.72675000000004</v>
      </c>
      <c r="AK207" s="60">
        <f t="shared" si="80"/>
        <v>2374.7197808219175</v>
      </c>
      <c r="AL207" s="60">
        <f t="shared" si="81"/>
        <v>1745.4190389041094</v>
      </c>
      <c r="AM207" s="41">
        <f t="shared" si="82"/>
        <v>667.7550110958905</v>
      </c>
      <c r="AN207" s="42">
        <f t="shared" si="83"/>
        <v>45715</v>
      </c>
      <c r="AO207" s="43">
        <f t="shared" si="84"/>
        <v>3283.23</v>
      </c>
    </row>
    <row r="208" spans="1:41" s="24" customFormat="1" ht="15.75" customHeight="1" x14ac:dyDescent="0.35">
      <c r="A208" s="36" t="s">
        <v>27</v>
      </c>
      <c r="B208" s="36">
        <v>202506</v>
      </c>
      <c r="C208" s="24" t="s">
        <v>128</v>
      </c>
      <c r="D208" s="24" t="s">
        <v>129</v>
      </c>
      <c r="E208" s="62">
        <v>45818</v>
      </c>
      <c r="F208" s="62">
        <v>46182</v>
      </c>
      <c r="G208" s="37" t="s">
        <v>336</v>
      </c>
      <c r="H208" s="36">
        <v>2031</v>
      </c>
      <c r="I208" s="63">
        <v>30529</v>
      </c>
      <c r="J208" s="24" t="s">
        <v>984</v>
      </c>
      <c r="K208" s="63">
        <f t="shared" si="68"/>
        <v>45818</v>
      </c>
      <c r="L208" s="55">
        <f t="shared" si="69"/>
        <v>0.04</v>
      </c>
      <c r="M208" s="76">
        <v>0.22500000000000001</v>
      </c>
      <c r="N208" s="62">
        <v>45818</v>
      </c>
      <c r="O208" s="62">
        <v>46182</v>
      </c>
      <c r="P208" s="63"/>
      <c r="Q208" s="63"/>
      <c r="R208" s="82">
        <v>41</v>
      </c>
      <c r="S208" s="63" t="str">
        <f>VLOOKUP(R208,SA!$B$5:$C$11,2,1)</f>
        <v>36-45</v>
      </c>
      <c r="T208" s="38" t="s">
        <v>97</v>
      </c>
      <c r="U208" s="24" t="s">
        <v>115</v>
      </c>
      <c r="V208" s="24">
        <v>300000</v>
      </c>
      <c r="W208" s="39">
        <f t="shared" si="70"/>
        <v>0</v>
      </c>
      <c r="X208" s="29">
        <f t="shared" si="71"/>
        <v>0</v>
      </c>
      <c r="Y208" s="40">
        <f t="shared" si="72"/>
        <v>365</v>
      </c>
      <c r="Z208" s="38">
        <f t="shared" si="67"/>
        <v>46081</v>
      </c>
      <c r="AA208" s="41">
        <f t="shared" si="73"/>
        <v>264</v>
      </c>
      <c r="AB208" s="24" t="s">
        <v>125</v>
      </c>
      <c r="AC208" s="41">
        <f t="shared" si="74"/>
        <v>5017.3245999999999</v>
      </c>
      <c r="AD208" s="41">
        <v>1</v>
      </c>
      <c r="AE208" s="72">
        <f>IFERROR(INDEX(SA!$C$4:$E$11,MATCH(Details!S208,SA!$C$4:$C$11,0),MATCH(Details!V208,SA!$C$4:$E$4,0)),0)*Y208/(F208-E208+1)</f>
        <v>4251.97</v>
      </c>
      <c r="AF208" s="41">
        <f t="shared" si="75"/>
        <v>0</v>
      </c>
      <c r="AG208" s="41">
        <f t="shared" si="76"/>
        <v>0</v>
      </c>
      <c r="AH208" s="41">
        <f t="shared" si="77"/>
        <v>765.3546</v>
      </c>
      <c r="AI208" s="60">
        <f t="shared" si="78"/>
        <v>170.0788</v>
      </c>
      <c r="AJ208" s="60">
        <f t="shared" si="79"/>
        <v>956.69325000000003</v>
      </c>
      <c r="AK208" s="60">
        <f t="shared" si="80"/>
        <v>3075.397479452055</v>
      </c>
      <c r="AL208" s="60">
        <f t="shared" si="81"/>
        <v>2260.4171473972606</v>
      </c>
      <c r="AM208" s="41">
        <f t="shared" si="82"/>
        <v>864.78080260273941</v>
      </c>
      <c r="AN208" s="42">
        <f t="shared" si="83"/>
        <v>45715</v>
      </c>
      <c r="AO208" s="43">
        <f t="shared" si="84"/>
        <v>4251.97</v>
      </c>
    </row>
    <row r="209" spans="1:41" s="24" customFormat="1" ht="15.75" customHeight="1" x14ac:dyDescent="0.35">
      <c r="A209" s="36" t="s">
        <v>27</v>
      </c>
      <c r="B209" s="36">
        <v>202506</v>
      </c>
      <c r="C209" s="24" t="s">
        <v>128</v>
      </c>
      <c r="D209" s="24" t="s">
        <v>129</v>
      </c>
      <c r="E209" s="62">
        <v>45818</v>
      </c>
      <c r="F209" s="62">
        <v>46182</v>
      </c>
      <c r="G209" s="37" t="s">
        <v>337</v>
      </c>
      <c r="H209" s="36">
        <v>2032</v>
      </c>
      <c r="I209" s="63">
        <v>31195</v>
      </c>
      <c r="J209" s="24" t="s">
        <v>985</v>
      </c>
      <c r="K209" s="63">
        <f t="shared" si="68"/>
        <v>45818</v>
      </c>
      <c r="L209" s="55">
        <f t="shared" si="69"/>
        <v>0.04</v>
      </c>
      <c r="M209" s="76">
        <v>0.22500000000000001</v>
      </c>
      <c r="N209" s="62">
        <v>45818</v>
      </c>
      <c r="O209" s="62">
        <v>46182</v>
      </c>
      <c r="P209" s="63"/>
      <c r="Q209" s="63"/>
      <c r="R209" s="82">
        <v>40</v>
      </c>
      <c r="S209" s="63" t="str">
        <f>VLOOKUP(R209,SA!$B$5:$C$11,2,1)</f>
        <v>36-45</v>
      </c>
      <c r="T209" s="38" t="s">
        <v>96</v>
      </c>
      <c r="U209" s="24" t="s">
        <v>56</v>
      </c>
      <c r="V209" s="24">
        <v>300000</v>
      </c>
      <c r="W209" s="39">
        <f t="shared" si="70"/>
        <v>300000</v>
      </c>
      <c r="X209" s="29">
        <f t="shared" si="71"/>
        <v>1</v>
      </c>
      <c r="Y209" s="40">
        <f t="shared" si="72"/>
        <v>365</v>
      </c>
      <c r="Z209" s="38">
        <f t="shared" si="67"/>
        <v>46081</v>
      </c>
      <c r="AA209" s="41">
        <f t="shared" si="73"/>
        <v>264</v>
      </c>
      <c r="AB209" s="24" t="s">
        <v>125</v>
      </c>
      <c r="AC209" s="41">
        <f t="shared" si="74"/>
        <v>5017.3245999999999</v>
      </c>
      <c r="AD209" s="41">
        <v>1</v>
      </c>
      <c r="AE209" s="72">
        <f>IFERROR(INDEX(SA!$C$4:$E$11,MATCH(Details!S209,SA!$C$4:$C$11,0),MATCH(Details!V209,SA!$C$4:$E$4,0)),0)*Y209/(F209-E209+1)</f>
        <v>4251.97</v>
      </c>
      <c r="AF209" s="41">
        <f t="shared" si="75"/>
        <v>0</v>
      </c>
      <c r="AG209" s="41">
        <f t="shared" si="76"/>
        <v>0</v>
      </c>
      <c r="AH209" s="41">
        <f t="shared" si="77"/>
        <v>765.3546</v>
      </c>
      <c r="AI209" s="60">
        <f t="shared" si="78"/>
        <v>170.0788</v>
      </c>
      <c r="AJ209" s="60">
        <f t="shared" si="79"/>
        <v>956.69325000000003</v>
      </c>
      <c r="AK209" s="60">
        <f t="shared" si="80"/>
        <v>3075.397479452055</v>
      </c>
      <c r="AL209" s="60">
        <f t="shared" si="81"/>
        <v>2260.4171473972606</v>
      </c>
      <c r="AM209" s="41">
        <f t="shared" si="82"/>
        <v>864.78080260273941</v>
      </c>
      <c r="AN209" s="42">
        <f t="shared" si="83"/>
        <v>45715</v>
      </c>
      <c r="AO209" s="43">
        <f t="shared" si="84"/>
        <v>4251.97</v>
      </c>
    </row>
    <row r="210" spans="1:41" s="24" customFormat="1" ht="15.75" customHeight="1" x14ac:dyDescent="0.35">
      <c r="A210" s="36" t="s">
        <v>27</v>
      </c>
      <c r="B210" s="36">
        <v>202506</v>
      </c>
      <c r="C210" s="24" t="s">
        <v>128</v>
      </c>
      <c r="D210" s="24" t="s">
        <v>129</v>
      </c>
      <c r="E210" s="62">
        <v>45818</v>
      </c>
      <c r="F210" s="62">
        <v>46182</v>
      </c>
      <c r="G210" s="37" t="s">
        <v>338</v>
      </c>
      <c r="H210" s="36">
        <v>2032</v>
      </c>
      <c r="I210" s="63">
        <v>32135</v>
      </c>
      <c r="J210" s="24" t="s">
        <v>986</v>
      </c>
      <c r="K210" s="63">
        <f t="shared" si="68"/>
        <v>45818</v>
      </c>
      <c r="L210" s="55">
        <f t="shared" si="69"/>
        <v>0.04</v>
      </c>
      <c r="M210" s="76">
        <v>0.22500000000000001</v>
      </c>
      <c r="N210" s="62">
        <v>45818</v>
      </c>
      <c r="O210" s="62">
        <v>46182</v>
      </c>
      <c r="P210" s="63"/>
      <c r="Q210" s="63"/>
      <c r="R210" s="82">
        <v>37</v>
      </c>
      <c r="S210" s="63" t="str">
        <f>VLOOKUP(R210,SA!$B$5:$C$11,2,1)</f>
        <v>36-45</v>
      </c>
      <c r="T210" s="38" t="s">
        <v>97</v>
      </c>
      <c r="U210" s="24" t="s">
        <v>115</v>
      </c>
      <c r="V210" s="24">
        <v>300000</v>
      </c>
      <c r="W210" s="39">
        <f t="shared" si="70"/>
        <v>0</v>
      </c>
      <c r="X210" s="29">
        <f t="shared" si="71"/>
        <v>0</v>
      </c>
      <c r="Y210" s="40">
        <f t="shared" si="72"/>
        <v>365</v>
      </c>
      <c r="Z210" s="38">
        <f t="shared" si="67"/>
        <v>46081</v>
      </c>
      <c r="AA210" s="41">
        <f t="shared" si="73"/>
        <v>264</v>
      </c>
      <c r="AB210" s="24" t="s">
        <v>125</v>
      </c>
      <c r="AC210" s="41">
        <f t="shared" si="74"/>
        <v>5017.3245999999999</v>
      </c>
      <c r="AD210" s="41">
        <v>1</v>
      </c>
      <c r="AE210" s="72">
        <f>IFERROR(INDEX(SA!$C$4:$E$11,MATCH(Details!S210,SA!$C$4:$C$11,0),MATCH(Details!V210,SA!$C$4:$E$4,0)),0)*Y210/(F210-E210+1)</f>
        <v>4251.97</v>
      </c>
      <c r="AF210" s="41">
        <f t="shared" si="75"/>
        <v>0</v>
      </c>
      <c r="AG210" s="41">
        <f t="shared" si="76"/>
        <v>0</v>
      </c>
      <c r="AH210" s="41">
        <f t="shared" si="77"/>
        <v>765.3546</v>
      </c>
      <c r="AI210" s="60">
        <f t="shared" si="78"/>
        <v>170.0788</v>
      </c>
      <c r="AJ210" s="60">
        <f t="shared" si="79"/>
        <v>956.69325000000003</v>
      </c>
      <c r="AK210" s="60">
        <f t="shared" si="80"/>
        <v>3075.397479452055</v>
      </c>
      <c r="AL210" s="60">
        <f t="shared" si="81"/>
        <v>2260.4171473972606</v>
      </c>
      <c r="AM210" s="41">
        <f t="shared" si="82"/>
        <v>864.78080260273941</v>
      </c>
      <c r="AN210" s="42">
        <f t="shared" si="83"/>
        <v>45715</v>
      </c>
      <c r="AO210" s="43">
        <f t="shared" si="84"/>
        <v>4251.97</v>
      </c>
    </row>
    <row r="211" spans="1:41" s="24" customFormat="1" ht="15.75" customHeight="1" x14ac:dyDescent="0.35">
      <c r="A211" s="36" t="s">
        <v>27</v>
      </c>
      <c r="B211" s="36">
        <v>202506</v>
      </c>
      <c r="C211" s="24" t="s">
        <v>128</v>
      </c>
      <c r="D211" s="24" t="s">
        <v>129</v>
      </c>
      <c r="E211" s="62">
        <v>45818</v>
      </c>
      <c r="F211" s="62">
        <v>46182</v>
      </c>
      <c r="G211" s="37" t="s">
        <v>339</v>
      </c>
      <c r="H211" s="36">
        <v>2032</v>
      </c>
      <c r="I211" s="63">
        <v>42649</v>
      </c>
      <c r="J211" s="24" t="s">
        <v>987</v>
      </c>
      <c r="K211" s="63">
        <f t="shared" si="68"/>
        <v>45818</v>
      </c>
      <c r="L211" s="55">
        <f t="shared" si="69"/>
        <v>0.04</v>
      </c>
      <c r="M211" s="76">
        <v>0.22500000000000001</v>
      </c>
      <c r="N211" s="62">
        <v>45818</v>
      </c>
      <c r="O211" s="62">
        <v>46182</v>
      </c>
      <c r="P211" s="63"/>
      <c r="Q211" s="63"/>
      <c r="R211" s="82">
        <v>8</v>
      </c>
      <c r="S211" s="63" t="str">
        <f>VLOOKUP(R211,SA!$B$5:$C$11,2,1)</f>
        <v>0-35</v>
      </c>
      <c r="T211" s="38" t="s">
        <v>96</v>
      </c>
      <c r="U211" s="24" t="s">
        <v>114</v>
      </c>
      <c r="V211" s="24">
        <v>300000</v>
      </c>
      <c r="W211" s="39">
        <f t="shared" si="70"/>
        <v>0</v>
      </c>
      <c r="X211" s="29">
        <f t="shared" si="71"/>
        <v>0</v>
      </c>
      <c r="Y211" s="40">
        <f t="shared" si="72"/>
        <v>365</v>
      </c>
      <c r="Z211" s="38">
        <f t="shared" si="67"/>
        <v>46081</v>
      </c>
      <c r="AA211" s="41">
        <f t="shared" si="73"/>
        <v>264</v>
      </c>
      <c r="AB211" s="24" t="s">
        <v>125</v>
      </c>
      <c r="AC211" s="41">
        <f t="shared" si="74"/>
        <v>3874.2114000000001</v>
      </c>
      <c r="AD211" s="41">
        <v>1</v>
      </c>
      <c r="AE211" s="72">
        <f>IFERROR(INDEX(SA!$C$4:$E$11,MATCH(Details!S211,SA!$C$4:$C$11,0),MATCH(Details!V211,SA!$C$4:$E$4,0)),0)*Y211/(F211-E211+1)</f>
        <v>3283.23</v>
      </c>
      <c r="AF211" s="41">
        <f t="shared" si="75"/>
        <v>0</v>
      </c>
      <c r="AG211" s="41">
        <f t="shared" si="76"/>
        <v>0</v>
      </c>
      <c r="AH211" s="41">
        <f t="shared" si="77"/>
        <v>590.98140000000001</v>
      </c>
      <c r="AI211" s="60">
        <f t="shared" si="78"/>
        <v>131.32920000000001</v>
      </c>
      <c r="AJ211" s="60">
        <f t="shared" si="79"/>
        <v>738.72675000000004</v>
      </c>
      <c r="AK211" s="60">
        <f t="shared" si="80"/>
        <v>2374.7197808219175</v>
      </c>
      <c r="AL211" s="60">
        <f t="shared" si="81"/>
        <v>1745.4190389041094</v>
      </c>
      <c r="AM211" s="41">
        <f t="shared" si="82"/>
        <v>667.7550110958905</v>
      </c>
      <c r="AN211" s="42">
        <f t="shared" si="83"/>
        <v>45715</v>
      </c>
      <c r="AO211" s="43">
        <f t="shared" si="84"/>
        <v>3283.23</v>
      </c>
    </row>
    <row r="212" spans="1:41" s="24" customFormat="1" ht="15.75" customHeight="1" x14ac:dyDescent="0.35">
      <c r="A212" s="36" t="s">
        <v>27</v>
      </c>
      <c r="B212" s="36">
        <v>202506</v>
      </c>
      <c r="C212" s="24" t="s">
        <v>128</v>
      </c>
      <c r="D212" s="24" t="s">
        <v>129</v>
      </c>
      <c r="E212" s="62">
        <v>45818</v>
      </c>
      <c r="F212" s="62">
        <v>46182</v>
      </c>
      <c r="G212" s="37" t="s">
        <v>340</v>
      </c>
      <c r="H212" s="36">
        <v>2032</v>
      </c>
      <c r="I212" s="63">
        <v>41508</v>
      </c>
      <c r="J212" s="24" t="s">
        <v>988</v>
      </c>
      <c r="K212" s="63">
        <f t="shared" si="68"/>
        <v>45818</v>
      </c>
      <c r="L212" s="55">
        <f t="shared" si="69"/>
        <v>0.04</v>
      </c>
      <c r="M212" s="76">
        <v>0.22500000000000001</v>
      </c>
      <c r="N212" s="62">
        <v>45818</v>
      </c>
      <c r="O212" s="62">
        <v>46182</v>
      </c>
      <c r="P212" s="63"/>
      <c r="Q212" s="63"/>
      <c r="R212" s="82">
        <v>11</v>
      </c>
      <c r="S212" s="63" t="str">
        <f>VLOOKUP(R212,SA!$B$5:$C$11,2,1)</f>
        <v>0-35</v>
      </c>
      <c r="T212" s="38" t="s">
        <v>97</v>
      </c>
      <c r="U212" s="24" t="s">
        <v>113</v>
      </c>
      <c r="V212" s="24">
        <v>300000</v>
      </c>
      <c r="W212" s="39">
        <f t="shared" si="70"/>
        <v>0</v>
      </c>
      <c r="X212" s="29">
        <f t="shared" si="71"/>
        <v>0</v>
      </c>
      <c r="Y212" s="40">
        <f t="shared" si="72"/>
        <v>365</v>
      </c>
      <c r="Z212" s="38">
        <f t="shared" si="67"/>
        <v>46081</v>
      </c>
      <c r="AA212" s="41">
        <f t="shared" si="73"/>
        <v>264</v>
      </c>
      <c r="AB212" s="24" t="s">
        <v>125</v>
      </c>
      <c r="AC212" s="41">
        <f t="shared" si="74"/>
        <v>3874.2114000000001</v>
      </c>
      <c r="AD212" s="41">
        <v>1</v>
      </c>
      <c r="AE212" s="72">
        <f>IFERROR(INDEX(SA!$C$4:$E$11,MATCH(Details!S212,SA!$C$4:$C$11,0),MATCH(Details!V212,SA!$C$4:$E$4,0)),0)*Y212/(F212-E212+1)</f>
        <v>3283.23</v>
      </c>
      <c r="AF212" s="41">
        <f t="shared" si="75"/>
        <v>0</v>
      </c>
      <c r="AG212" s="41">
        <f t="shared" si="76"/>
        <v>0</v>
      </c>
      <c r="AH212" s="41">
        <f t="shared" si="77"/>
        <v>590.98140000000001</v>
      </c>
      <c r="AI212" s="60">
        <f t="shared" si="78"/>
        <v>131.32920000000001</v>
      </c>
      <c r="AJ212" s="60">
        <f t="shared" si="79"/>
        <v>738.72675000000004</v>
      </c>
      <c r="AK212" s="60">
        <f t="shared" si="80"/>
        <v>2374.7197808219175</v>
      </c>
      <c r="AL212" s="60">
        <f t="shared" si="81"/>
        <v>1745.4190389041094</v>
      </c>
      <c r="AM212" s="41">
        <f t="shared" si="82"/>
        <v>667.7550110958905</v>
      </c>
      <c r="AN212" s="42">
        <f t="shared" si="83"/>
        <v>45715</v>
      </c>
      <c r="AO212" s="43">
        <f t="shared" si="84"/>
        <v>3283.23</v>
      </c>
    </row>
    <row r="213" spans="1:41" s="24" customFormat="1" ht="15.75" customHeight="1" x14ac:dyDescent="0.35">
      <c r="A213" s="36" t="s">
        <v>27</v>
      </c>
      <c r="B213" s="36">
        <v>202506</v>
      </c>
      <c r="C213" s="24" t="s">
        <v>128</v>
      </c>
      <c r="D213" s="24" t="s">
        <v>129</v>
      </c>
      <c r="E213" s="62">
        <v>45818</v>
      </c>
      <c r="F213" s="62">
        <v>46182</v>
      </c>
      <c r="G213" s="37" t="s">
        <v>341</v>
      </c>
      <c r="H213" s="36">
        <v>2036</v>
      </c>
      <c r="I213" s="63">
        <v>30851</v>
      </c>
      <c r="J213" s="24" t="s">
        <v>989</v>
      </c>
      <c r="K213" s="63">
        <f t="shared" si="68"/>
        <v>45818</v>
      </c>
      <c r="L213" s="55">
        <f t="shared" si="69"/>
        <v>0.04</v>
      </c>
      <c r="M213" s="76">
        <v>0.22500000000000001</v>
      </c>
      <c r="N213" s="62">
        <v>45818</v>
      </c>
      <c r="O213" s="62">
        <v>46182</v>
      </c>
      <c r="P213" s="63"/>
      <c r="Q213" s="63"/>
      <c r="R213" s="82">
        <v>40</v>
      </c>
      <c r="S213" s="63" t="str">
        <f>VLOOKUP(R213,SA!$B$5:$C$11,2,1)</f>
        <v>36-45</v>
      </c>
      <c r="T213" s="38" t="s">
        <v>96</v>
      </c>
      <c r="U213" s="24" t="s">
        <v>56</v>
      </c>
      <c r="V213" s="24">
        <v>300000</v>
      </c>
      <c r="W213" s="39">
        <f t="shared" si="70"/>
        <v>300000</v>
      </c>
      <c r="X213" s="29">
        <f t="shared" si="71"/>
        <v>1</v>
      </c>
      <c r="Y213" s="40">
        <f t="shared" si="72"/>
        <v>365</v>
      </c>
      <c r="Z213" s="38">
        <f t="shared" si="67"/>
        <v>46081</v>
      </c>
      <c r="AA213" s="41">
        <f t="shared" si="73"/>
        <v>264</v>
      </c>
      <c r="AB213" s="24" t="s">
        <v>125</v>
      </c>
      <c r="AC213" s="41">
        <f t="shared" si="74"/>
        <v>5017.3245999999999</v>
      </c>
      <c r="AD213" s="41">
        <v>1</v>
      </c>
      <c r="AE213" s="72">
        <f>IFERROR(INDEX(SA!$C$4:$E$11,MATCH(Details!S213,SA!$C$4:$C$11,0),MATCH(Details!V213,SA!$C$4:$E$4,0)),0)*Y213/(F213-E213+1)</f>
        <v>4251.97</v>
      </c>
      <c r="AF213" s="41">
        <f t="shared" si="75"/>
        <v>0</v>
      </c>
      <c r="AG213" s="41">
        <f t="shared" si="76"/>
        <v>0</v>
      </c>
      <c r="AH213" s="41">
        <f t="shared" si="77"/>
        <v>765.3546</v>
      </c>
      <c r="AI213" s="60">
        <f t="shared" si="78"/>
        <v>170.0788</v>
      </c>
      <c r="AJ213" s="60">
        <f t="shared" si="79"/>
        <v>956.69325000000003</v>
      </c>
      <c r="AK213" s="60">
        <f t="shared" si="80"/>
        <v>3075.397479452055</v>
      </c>
      <c r="AL213" s="60">
        <f t="shared" si="81"/>
        <v>2260.4171473972606</v>
      </c>
      <c r="AM213" s="41">
        <f t="shared" si="82"/>
        <v>864.78080260273941</v>
      </c>
      <c r="AN213" s="42">
        <f t="shared" si="83"/>
        <v>45715</v>
      </c>
      <c r="AO213" s="43">
        <f t="shared" si="84"/>
        <v>4251.97</v>
      </c>
    </row>
    <row r="214" spans="1:41" s="24" customFormat="1" ht="15.75" customHeight="1" x14ac:dyDescent="0.35">
      <c r="A214" s="36" t="s">
        <v>27</v>
      </c>
      <c r="B214" s="36">
        <v>202506</v>
      </c>
      <c r="C214" s="24" t="s">
        <v>128</v>
      </c>
      <c r="D214" s="24" t="s">
        <v>129</v>
      </c>
      <c r="E214" s="62">
        <v>45818</v>
      </c>
      <c r="F214" s="62">
        <v>46182</v>
      </c>
      <c r="G214" s="37" t="s">
        <v>342</v>
      </c>
      <c r="H214" s="36">
        <v>2036</v>
      </c>
      <c r="I214" s="63">
        <v>43434</v>
      </c>
      <c r="J214" s="24" t="s">
        <v>990</v>
      </c>
      <c r="K214" s="63">
        <f t="shared" si="68"/>
        <v>45818</v>
      </c>
      <c r="L214" s="55">
        <f t="shared" si="69"/>
        <v>0.04</v>
      </c>
      <c r="M214" s="76">
        <v>0.22500000000000001</v>
      </c>
      <c r="N214" s="62">
        <v>45818</v>
      </c>
      <c r="O214" s="62">
        <v>46182</v>
      </c>
      <c r="P214" s="63"/>
      <c r="Q214" s="63"/>
      <c r="R214" s="82">
        <v>6</v>
      </c>
      <c r="S214" s="63" t="str">
        <f>VLOOKUP(R214,SA!$B$5:$C$11,2,1)</f>
        <v>0-35</v>
      </c>
      <c r="T214" s="38" t="s">
        <v>97</v>
      </c>
      <c r="U214" s="24" t="s">
        <v>113</v>
      </c>
      <c r="V214" s="24">
        <v>300000</v>
      </c>
      <c r="W214" s="39">
        <f t="shared" si="70"/>
        <v>0</v>
      </c>
      <c r="X214" s="29">
        <f t="shared" si="71"/>
        <v>0</v>
      </c>
      <c r="Y214" s="40">
        <f t="shared" si="72"/>
        <v>365</v>
      </c>
      <c r="Z214" s="38">
        <f t="shared" si="67"/>
        <v>46081</v>
      </c>
      <c r="AA214" s="41">
        <f t="shared" si="73"/>
        <v>264</v>
      </c>
      <c r="AB214" s="24" t="s">
        <v>125</v>
      </c>
      <c r="AC214" s="41">
        <f t="shared" si="74"/>
        <v>3874.2114000000001</v>
      </c>
      <c r="AD214" s="41">
        <v>1</v>
      </c>
      <c r="AE214" s="72">
        <f>IFERROR(INDEX(SA!$C$4:$E$11,MATCH(Details!S214,SA!$C$4:$C$11,0),MATCH(Details!V214,SA!$C$4:$E$4,0)),0)*Y214/(F214-E214+1)</f>
        <v>3283.23</v>
      </c>
      <c r="AF214" s="41">
        <f t="shared" si="75"/>
        <v>0</v>
      </c>
      <c r="AG214" s="41">
        <f t="shared" si="76"/>
        <v>0</v>
      </c>
      <c r="AH214" s="41">
        <f t="shared" si="77"/>
        <v>590.98140000000001</v>
      </c>
      <c r="AI214" s="60">
        <f t="shared" si="78"/>
        <v>131.32920000000001</v>
      </c>
      <c r="AJ214" s="60">
        <f t="shared" si="79"/>
        <v>738.72675000000004</v>
      </c>
      <c r="AK214" s="60">
        <f t="shared" si="80"/>
        <v>2374.7197808219175</v>
      </c>
      <c r="AL214" s="60">
        <f t="shared" si="81"/>
        <v>1745.4190389041094</v>
      </c>
      <c r="AM214" s="41">
        <f t="shared" si="82"/>
        <v>667.7550110958905</v>
      </c>
      <c r="AN214" s="42">
        <f t="shared" si="83"/>
        <v>45715</v>
      </c>
      <c r="AO214" s="43">
        <f t="shared" si="84"/>
        <v>3283.23</v>
      </c>
    </row>
    <row r="215" spans="1:41" s="24" customFormat="1" ht="15.75" customHeight="1" x14ac:dyDescent="0.35">
      <c r="A215" s="36" t="s">
        <v>27</v>
      </c>
      <c r="B215" s="36">
        <v>202506</v>
      </c>
      <c r="C215" s="24" t="s">
        <v>128</v>
      </c>
      <c r="D215" s="24" t="s">
        <v>129</v>
      </c>
      <c r="E215" s="62">
        <v>45818</v>
      </c>
      <c r="F215" s="62">
        <v>46182</v>
      </c>
      <c r="G215" s="37" t="s">
        <v>343</v>
      </c>
      <c r="H215" s="36">
        <v>2036</v>
      </c>
      <c r="I215" s="63">
        <v>32451</v>
      </c>
      <c r="J215" s="24" t="s">
        <v>991</v>
      </c>
      <c r="K215" s="63">
        <f t="shared" si="68"/>
        <v>45818</v>
      </c>
      <c r="L215" s="55">
        <f t="shared" si="69"/>
        <v>0.04</v>
      </c>
      <c r="M215" s="76">
        <v>0.22500000000000001</v>
      </c>
      <c r="N215" s="62">
        <v>45818</v>
      </c>
      <c r="O215" s="62">
        <v>46182</v>
      </c>
      <c r="P215" s="63"/>
      <c r="Q215" s="63"/>
      <c r="R215" s="82">
        <v>36</v>
      </c>
      <c r="S215" s="63" t="str">
        <f>VLOOKUP(R215,SA!$B$5:$C$11,2,1)</f>
        <v>36-45</v>
      </c>
      <c r="T215" s="38" t="s">
        <v>97</v>
      </c>
      <c r="U215" s="24" t="s">
        <v>115</v>
      </c>
      <c r="V215" s="24">
        <v>300000</v>
      </c>
      <c r="W215" s="39">
        <f t="shared" si="70"/>
        <v>0</v>
      </c>
      <c r="X215" s="29">
        <f t="shared" si="71"/>
        <v>0</v>
      </c>
      <c r="Y215" s="40">
        <f t="shared" si="72"/>
        <v>365</v>
      </c>
      <c r="Z215" s="38">
        <f t="shared" si="67"/>
        <v>46081</v>
      </c>
      <c r="AA215" s="41">
        <f t="shared" si="73"/>
        <v>264</v>
      </c>
      <c r="AB215" s="24" t="s">
        <v>125</v>
      </c>
      <c r="AC215" s="41">
        <f t="shared" si="74"/>
        <v>5017.3245999999999</v>
      </c>
      <c r="AD215" s="41">
        <v>1</v>
      </c>
      <c r="AE215" s="72">
        <f>IFERROR(INDEX(SA!$C$4:$E$11,MATCH(Details!S215,SA!$C$4:$C$11,0),MATCH(Details!V215,SA!$C$4:$E$4,0)),0)*Y215/(F215-E215+1)</f>
        <v>4251.97</v>
      </c>
      <c r="AF215" s="41">
        <f t="shared" si="75"/>
        <v>0</v>
      </c>
      <c r="AG215" s="41">
        <f t="shared" si="76"/>
        <v>0</v>
      </c>
      <c r="AH215" s="41">
        <f t="shared" si="77"/>
        <v>765.3546</v>
      </c>
      <c r="AI215" s="60">
        <f t="shared" si="78"/>
        <v>170.0788</v>
      </c>
      <c r="AJ215" s="60">
        <f t="shared" si="79"/>
        <v>956.69325000000003</v>
      </c>
      <c r="AK215" s="60">
        <f t="shared" si="80"/>
        <v>3075.397479452055</v>
      </c>
      <c r="AL215" s="60">
        <f t="shared" si="81"/>
        <v>2260.4171473972606</v>
      </c>
      <c r="AM215" s="41">
        <f t="shared" si="82"/>
        <v>864.78080260273941</v>
      </c>
      <c r="AN215" s="42">
        <f t="shared" si="83"/>
        <v>45715</v>
      </c>
      <c r="AO215" s="43">
        <f t="shared" si="84"/>
        <v>4251.97</v>
      </c>
    </row>
    <row r="216" spans="1:41" s="24" customFormat="1" ht="15.75" customHeight="1" x14ac:dyDescent="0.35">
      <c r="A216" s="36" t="s">
        <v>27</v>
      </c>
      <c r="B216" s="36">
        <v>202506</v>
      </c>
      <c r="C216" s="24" t="s">
        <v>128</v>
      </c>
      <c r="D216" s="24" t="s">
        <v>129</v>
      </c>
      <c r="E216" s="62">
        <v>45818</v>
      </c>
      <c r="F216" s="62">
        <v>46182</v>
      </c>
      <c r="G216" s="37" t="s">
        <v>344</v>
      </c>
      <c r="H216" s="36">
        <v>2036</v>
      </c>
      <c r="I216" s="63">
        <v>44130</v>
      </c>
      <c r="J216" s="24" t="s">
        <v>992</v>
      </c>
      <c r="K216" s="63">
        <f t="shared" si="68"/>
        <v>45818</v>
      </c>
      <c r="L216" s="55">
        <f t="shared" si="69"/>
        <v>0.04</v>
      </c>
      <c r="M216" s="76">
        <v>0.22500000000000001</v>
      </c>
      <c r="N216" s="62">
        <v>45818</v>
      </c>
      <c r="O216" s="62">
        <v>46182</v>
      </c>
      <c r="P216" s="63"/>
      <c r="Q216" s="63"/>
      <c r="R216" s="82">
        <v>4</v>
      </c>
      <c r="S216" s="63" t="str">
        <f>VLOOKUP(R216,SA!$B$5:$C$11,2,1)</f>
        <v>0-35</v>
      </c>
      <c r="T216" s="38" t="s">
        <v>97</v>
      </c>
      <c r="U216" s="24" t="s">
        <v>113</v>
      </c>
      <c r="V216" s="24">
        <v>300000</v>
      </c>
      <c r="W216" s="39">
        <f t="shared" si="70"/>
        <v>0</v>
      </c>
      <c r="X216" s="29">
        <f t="shared" si="71"/>
        <v>0</v>
      </c>
      <c r="Y216" s="40">
        <f t="shared" si="72"/>
        <v>365</v>
      </c>
      <c r="Z216" s="38">
        <f t="shared" si="67"/>
        <v>46081</v>
      </c>
      <c r="AA216" s="41">
        <f t="shared" si="73"/>
        <v>264</v>
      </c>
      <c r="AB216" s="24" t="s">
        <v>125</v>
      </c>
      <c r="AC216" s="41">
        <f t="shared" si="74"/>
        <v>3874.2114000000001</v>
      </c>
      <c r="AD216" s="41">
        <v>1</v>
      </c>
      <c r="AE216" s="72">
        <f>IFERROR(INDEX(SA!$C$4:$E$11,MATCH(Details!S216,SA!$C$4:$C$11,0),MATCH(Details!V216,SA!$C$4:$E$4,0)),0)*Y216/(F216-E216+1)</f>
        <v>3283.23</v>
      </c>
      <c r="AF216" s="41">
        <f t="shared" si="75"/>
        <v>0</v>
      </c>
      <c r="AG216" s="41">
        <f t="shared" si="76"/>
        <v>0</v>
      </c>
      <c r="AH216" s="41">
        <f t="shared" si="77"/>
        <v>590.98140000000001</v>
      </c>
      <c r="AI216" s="60">
        <f t="shared" si="78"/>
        <v>131.32920000000001</v>
      </c>
      <c r="AJ216" s="60">
        <f t="shared" si="79"/>
        <v>738.72675000000004</v>
      </c>
      <c r="AK216" s="60">
        <f t="shared" si="80"/>
        <v>2374.7197808219175</v>
      </c>
      <c r="AL216" s="60">
        <f t="shared" si="81"/>
        <v>1745.4190389041094</v>
      </c>
      <c r="AM216" s="41">
        <f t="shared" si="82"/>
        <v>667.7550110958905</v>
      </c>
      <c r="AN216" s="42">
        <f t="shared" si="83"/>
        <v>45715</v>
      </c>
      <c r="AO216" s="43">
        <f t="shared" si="84"/>
        <v>3283.23</v>
      </c>
    </row>
    <row r="217" spans="1:41" s="24" customFormat="1" ht="15.75" customHeight="1" x14ac:dyDescent="0.35">
      <c r="A217" s="36" t="s">
        <v>27</v>
      </c>
      <c r="B217" s="36">
        <v>202506</v>
      </c>
      <c r="C217" s="24" t="s">
        <v>128</v>
      </c>
      <c r="D217" s="24" t="s">
        <v>129</v>
      </c>
      <c r="E217" s="62">
        <v>45818</v>
      </c>
      <c r="F217" s="62">
        <v>46182</v>
      </c>
      <c r="G217" s="37" t="s">
        <v>345</v>
      </c>
      <c r="H217" s="36">
        <v>2037</v>
      </c>
      <c r="I217" s="63">
        <v>28940</v>
      </c>
      <c r="J217" s="24" t="s">
        <v>993</v>
      </c>
      <c r="K217" s="63">
        <f t="shared" si="68"/>
        <v>45818</v>
      </c>
      <c r="L217" s="55">
        <f t="shared" si="69"/>
        <v>0.04</v>
      </c>
      <c r="M217" s="76">
        <v>0.22500000000000001</v>
      </c>
      <c r="N217" s="62">
        <v>45818</v>
      </c>
      <c r="O217" s="62">
        <v>46182</v>
      </c>
      <c r="P217" s="63"/>
      <c r="Q217" s="63"/>
      <c r="R217" s="82">
        <v>46</v>
      </c>
      <c r="S217" s="63" t="str">
        <f>VLOOKUP(R217,SA!$B$5:$C$11,2,1)</f>
        <v>46-55</v>
      </c>
      <c r="T217" s="38" t="s">
        <v>96</v>
      </c>
      <c r="U217" s="24" t="s">
        <v>56</v>
      </c>
      <c r="V217" s="24">
        <v>300000</v>
      </c>
      <c r="W217" s="39">
        <f t="shared" si="70"/>
        <v>300000</v>
      </c>
      <c r="X217" s="29">
        <f t="shared" si="71"/>
        <v>1</v>
      </c>
      <c r="Y217" s="40">
        <f t="shared" si="72"/>
        <v>365</v>
      </c>
      <c r="Z217" s="38">
        <f t="shared" si="67"/>
        <v>46081</v>
      </c>
      <c r="AA217" s="41">
        <f t="shared" si="73"/>
        <v>264</v>
      </c>
      <c r="AB217" s="24" t="s">
        <v>125</v>
      </c>
      <c r="AC217" s="41">
        <f t="shared" si="74"/>
        <v>9586.9925999999996</v>
      </c>
      <c r="AD217" s="41">
        <v>1</v>
      </c>
      <c r="AE217" s="72">
        <f>IFERROR(INDEX(SA!$C$4:$E$11,MATCH(Details!S217,SA!$C$4:$C$11,0),MATCH(Details!V217,SA!$C$4:$E$4,0)),0)*Y217/(F217-E217+1)</f>
        <v>8124.57</v>
      </c>
      <c r="AF217" s="41">
        <f t="shared" si="75"/>
        <v>0</v>
      </c>
      <c r="AG217" s="41">
        <f t="shared" si="76"/>
        <v>0</v>
      </c>
      <c r="AH217" s="41">
        <f t="shared" si="77"/>
        <v>1462.4225999999999</v>
      </c>
      <c r="AI217" s="60">
        <f t="shared" si="78"/>
        <v>324.9828</v>
      </c>
      <c r="AJ217" s="60">
        <f t="shared" si="79"/>
        <v>1828.0282500000001</v>
      </c>
      <c r="AK217" s="60">
        <f t="shared" si="80"/>
        <v>5876.4013150684932</v>
      </c>
      <c r="AL217" s="60">
        <f t="shared" si="81"/>
        <v>4319.1549665753428</v>
      </c>
      <c r="AM217" s="41">
        <f t="shared" si="82"/>
        <v>1652.4039834246571</v>
      </c>
      <c r="AN217" s="42">
        <f t="shared" si="83"/>
        <v>45715</v>
      </c>
      <c r="AO217" s="43">
        <f t="shared" si="84"/>
        <v>8124.57</v>
      </c>
    </row>
    <row r="218" spans="1:41" s="24" customFormat="1" ht="15.75" customHeight="1" x14ac:dyDescent="0.35">
      <c r="A218" s="36" t="s">
        <v>27</v>
      </c>
      <c r="B218" s="36">
        <v>202506</v>
      </c>
      <c r="C218" s="24" t="s">
        <v>128</v>
      </c>
      <c r="D218" s="24" t="s">
        <v>129</v>
      </c>
      <c r="E218" s="62">
        <v>45818</v>
      </c>
      <c r="F218" s="62">
        <v>46182</v>
      </c>
      <c r="G218" s="37" t="s">
        <v>346</v>
      </c>
      <c r="H218" s="36">
        <v>2037</v>
      </c>
      <c r="I218" s="63">
        <v>39382</v>
      </c>
      <c r="J218" s="24" t="s">
        <v>994</v>
      </c>
      <c r="K218" s="63">
        <f t="shared" si="68"/>
        <v>45818</v>
      </c>
      <c r="L218" s="55">
        <f t="shared" si="69"/>
        <v>0.04</v>
      </c>
      <c r="M218" s="76">
        <v>0.22500000000000001</v>
      </c>
      <c r="N218" s="62">
        <v>45818</v>
      </c>
      <c r="O218" s="62">
        <v>46182</v>
      </c>
      <c r="P218" s="63"/>
      <c r="Q218" s="63"/>
      <c r="R218" s="82">
        <v>17</v>
      </c>
      <c r="S218" s="63" t="str">
        <f>VLOOKUP(R218,SA!$B$5:$C$11,2,1)</f>
        <v>0-35</v>
      </c>
      <c r="T218" s="38" t="s">
        <v>97</v>
      </c>
      <c r="U218" s="24" t="s">
        <v>113</v>
      </c>
      <c r="V218" s="24">
        <v>300000</v>
      </c>
      <c r="W218" s="39">
        <f t="shared" si="70"/>
        <v>0</v>
      </c>
      <c r="X218" s="29">
        <f t="shared" si="71"/>
        <v>0</v>
      </c>
      <c r="Y218" s="40">
        <f t="shared" si="72"/>
        <v>365</v>
      </c>
      <c r="Z218" s="38">
        <f t="shared" si="67"/>
        <v>46081</v>
      </c>
      <c r="AA218" s="41">
        <f t="shared" si="73"/>
        <v>264</v>
      </c>
      <c r="AB218" s="24" t="s">
        <v>125</v>
      </c>
      <c r="AC218" s="41">
        <f t="shared" si="74"/>
        <v>3874.2114000000001</v>
      </c>
      <c r="AD218" s="41">
        <v>1</v>
      </c>
      <c r="AE218" s="72">
        <f>IFERROR(INDEX(SA!$C$4:$E$11,MATCH(Details!S218,SA!$C$4:$C$11,0),MATCH(Details!V218,SA!$C$4:$E$4,0)),0)*Y218/(F218-E218+1)</f>
        <v>3283.23</v>
      </c>
      <c r="AF218" s="41">
        <f t="shared" si="75"/>
        <v>0</v>
      </c>
      <c r="AG218" s="41">
        <f t="shared" si="76"/>
        <v>0</v>
      </c>
      <c r="AH218" s="41">
        <f t="shared" si="77"/>
        <v>590.98140000000001</v>
      </c>
      <c r="AI218" s="60">
        <f t="shared" si="78"/>
        <v>131.32920000000001</v>
      </c>
      <c r="AJ218" s="60">
        <f t="shared" si="79"/>
        <v>738.72675000000004</v>
      </c>
      <c r="AK218" s="60">
        <f t="shared" si="80"/>
        <v>2374.7197808219175</v>
      </c>
      <c r="AL218" s="60">
        <f t="shared" si="81"/>
        <v>1745.4190389041094</v>
      </c>
      <c r="AM218" s="41">
        <f t="shared" si="82"/>
        <v>667.7550110958905</v>
      </c>
      <c r="AN218" s="42">
        <f t="shared" si="83"/>
        <v>45715</v>
      </c>
      <c r="AO218" s="43">
        <f t="shared" si="84"/>
        <v>3283.23</v>
      </c>
    </row>
    <row r="219" spans="1:41" s="24" customFormat="1" ht="15.75" customHeight="1" x14ac:dyDescent="0.35">
      <c r="A219" s="36" t="s">
        <v>27</v>
      </c>
      <c r="B219" s="36">
        <v>202506</v>
      </c>
      <c r="C219" s="24" t="s">
        <v>128</v>
      </c>
      <c r="D219" s="24" t="s">
        <v>129</v>
      </c>
      <c r="E219" s="62">
        <v>45818</v>
      </c>
      <c r="F219" s="62">
        <v>46182</v>
      </c>
      <c r="G219" s="37" t="s">
        <v>347</v>
      </c>
      <c r="H219" s="36">
        <v>2037</v>
      </c>
      <c r="I219" s="63">
        <v>30258</v>
      </c>
      <c r="J219" s="24" t="s">
        <v>995</v>
      </c>
      <c r="K219" s="63">
        <f t="shared" si="68"/>
        <v>45818</v>
      </c>
      <c r="L219" s="55">
        <f t="shared" si="69"/>
        <v>0.04</v>
      </c>
      <c r="M219" s="76">
        <v>0.22500000000000001</v>
      </c>
      <c r="N219" s="62">
        <v>45818</v>
      </c>
      <c r="O219" s="62">
        <v>46182</v>
      </c>
      <c r="P219" s="63"/>
      <c r="Q219" s="63"/>
      <c r="R219" s="82">
        <v>42</v>
      </c>
      <c r="S219" s="63" t="str">
        <f>VLOOKUP(R219,SA!$B$5:$C$11,2,1)</f>
        <v>36-45</v>
      </c>
      <c r="T219" s="38" t="s">
        <v>97</v>
      </c>
      <c r="U219" s="24" t="s">
        <v>115</v>
      </c>
      <c r="V219" s="24">
        <v>300000</v>
      </c>
      <c r="W219" s="39">
        <f t="shared" si="70"/>
        <v>0</v>
      </c>
      <c r="X219" s="29">
        <f t="shared" si="71"/>
        <v>0</v>
      </c>
      <c r="Y219" s="40">
        <f t="shared" si="72"/>
        <v>365</v>
      </c>
      <c r="Z219" s="38">
        <f t="shared" si="67"/>
        <v>46081</v>
      </c>
      <c r="AA219" s="41">
        <f t="shared" si="73"/>
        <v>264</v>
      </c>
      <c r="AB219" s="24" t="s">
        <v>125</v>
      </c>
      <c r="AC219" s="41">
        <f t="shared" si="74"/>
        <v>5017.3245999999999</v>
      </c>
      <c r="AD219" s="41">
        <v>1</v>
      </c>
      <c r="AE219" s="72">
        <f>IFERROR(INDEX(SA!$C$4:$E$11,MATCH(Details!S219,SA!$C$4:$C$11,0),MATCH(Details!V219,SA!$C$4:$E$4,0)),0)*Y219/(F219-E219+1)</f>
        <v>4251.97</v>
      </c>
      <c r="AF219" s="41">
        <f t="shared" si="75"/>
        <v>0</v>
      </c>
      <c r="AG219" s="41">
        <f t="shared" si="76"/>
        <v>0</v>
      </c>
      <c r="AH219" s="41">
        <f t="shared" si="77"/>
        <v>765.3546</v>
      </c>
      <c r="AI219" s="60">
        <f t="shared" si="78"/>
        <v>170.0788</v>
      </c>
      <c r="AJ219" s="60">
        <f t="shared" si="79"/>
        <v>956.69325000000003</v>
      </c>
      <c r="AK219" s="60">
        <f t="shared" si="80"/>
        <v>3075.397479452055</v>
      </c>
      <c r="AL219" s="60">
        <f t="shared" si="81"/>
        <v>2260.4171473972606</v>
      </c>
      <c r="AM219" s="41">
        <f t="shared" si="82"/>
        <v>864.78080260273941</v>
      </c>
      <c r="AN219" s="42">
        <f t="shared" si="83"/>
        <v>45715</v>
      </c>
      <c r="AO219" s="43">
        <f t="shared" si="84"/>
        <v>4251.97</v>
      </c>
    </row>
    <row r="220" spans="1:41" s="24" customFormat="1" ht="15.75" customHeight="1" x14ac:dyDescent="0.35">
      <c r="A220" s="36" t="s">
        <v>27</v>
      </c>
      <c r="B220" s="36">
        <v>202506</v>
      </c>
      <c r="C220" s="24" t="s">
        <v>128</v>
      </c>
      <c r="D220" s="24" t="s">
        <v>129</v>
      </c>
      <c r="E220" s="62">
        <v>45818</v>
      </c>
      <c r="F220" s="62">
        <v>46182</v>
      </c>
      <c r="G220" s="37" t="s">
        <v>348</v>
      </c>
      <c r="H220" s="36">
        <v>2038</v>
      </c>
      <c r="I220" s="63">
        <v>28790</v>
      </c>
      <c r="J220" s="24" t="s">
        <v>996</v>
      </c>
      <c r="K220" s="63">
        <f t="shared" si="68"/>
        <v>45818</v>
      </c>
      <c r="L220" s="55">
        <f t="shared" si="69"/>
        <v>0.04</v>
      </c>
      <c r="M220" s="76">
        <v>0.22500000000000001</v>
      </c>
      <c r="N220" s="62">
        <v>45818</v>
      </c>
      <c r="O220" s="62">
        <v>46182</v>
      </c>
      <c r="P220" s="63"/>
      <c r="Q220" s="63"/>
      <c r="R220" s="82">
        <v>46</v>
      </c>
      <c r="S220" s="63" t="str">
        <f>VLOOKUP(R220,SA!$B$5:$C$11,2,1)</f>
        <v>46-55</v>
      </c>
      <c r="T220" s="38" t="s">
        <v>96</v>
      </c>
      <c r="U220" s="24" t="s">
        <v>56</v>
      </c>
      <c r="V220" s="24">
        <v>300000</v>
      </c>
      <c r="W220" s="39">
        <f t="shared" si="70"/>
        <v>300000</v>
      </c>
      <c r="X220" s="29">
        <f t="shared" si="71"/>
        <v>1</v>
      </c>
      <c r="Y220" s="40">
        <f t="shared" si="72"/>
        <v>365</v>
      </c>
      <c r="Z220" s="38">
        <f t="shared" si="67"/>
        <v>46081</v>
      </c>
      <c r="AA220" s="41">
        <f t="shared" si="73"/>
        <v>264</v>
      </c>
      <c r="AB220" s="24" t="s">
        <v>125</v>
      </c>
      <c r="AC220" s="41">
        <f t="shared" si="74"/>
        <v>9586.9925999999996</v>
      </c>
      <c r="AD220" s="41">
        <v>1</v>
      </c>
      <c r="AE220" s="72">
        <f>IFERROR(INDEX(SA!$C$4:$E$11,MATCH(Details!S220,SA!$C$4:$C$11,0),MATCH(Details!V220,SA!$C$4:$E$4,0)),0)*Y220/(F220-E220+1)</f>
        <v>8124.57</v>
      </c>
      <c r="AF220" s="41">
        <f t="shared" si="75"/>
        <v>0</v>
      </c>
      <c r="AG220" s="41">
        <f t="shared" si="76"/>
        <v>0</v>
      </c>
      <c r="AH220" s="41">
        <f t="shared" si="77"/>
        <v>1462.4225999999999</v>
      </c>
      <c r="AI220" s="60">
        <f t="shared" si="78"/>
        <v>324.9828</v>
      </c>
      <c r="AJ220" s="60">
        <f t="shared" si="79"/>
        <v>1828.0282500000001</v>
      </c>
      <c r="AK220" s="60">
        <f t="shared" si="80"/>
        <v>5876.4013150684932</v>
      </c>
      <c r="AL220" s="60">
        <f t="shared" si="81"/>
        <v>4319.1549665753428</v>
      </c>
      <c r="AM220" s="41">
        <f t="shared" si="82"/>
        <v>1652.4039834246571</v>
      </c>
      <c r="AN220" s="42">
        <f t="shared" si="83"/>
        <v>45715</v>
      </c>
      <c r="AO220" s="43">
        <f t="shared" si="84"/>
        <v>8124.57</v>
      </c>
    </row>
    <row r="221" spans="1:41" s="24" customFormat="1" ht="15.75" customHeight="1" x14ac:dyDescent="0.35">
      <c r="A221" s="36" t="s">
        <v>27</v>
      </c>
      <c r="B221" s="36">
        <v>202506</v>
      </c>
      <c r="C221" s="24" t="s">
        <v>128</v>
      </c>
      <c r="D221" s="24" t="s">
        <v>129</v>
      </c>
      <c r="E221" s="62">
        <v>45818</v>
      </c>
      <c r="F221" s="62">
        <v>46182</v>
      </c>
      <c r="G221" s="37" t="s">
        <v>349</v>
      </c>
      <c r="H221" s="36">
        <v>2038</v>
      </c>
      <c r="I221" s="63">
        <v>31077</v>
      </c>
      <c r="J221" s="24" t="s">
        <v>997</v>
      </c>
      <c r="K221" s="63">
        <f t="shared" si="68"/>
        <v>45818</v>
      </c>
      <c r="L221" s="55">
        <f t="shared" si="69"/>
        <v>0.04</v>
      </c>
      <c r="M221" s="76">
        <v>0.22500000000000001</v>
      </c>
      <c r="N221" s="62">
        <v>45818</v>
      </c>
      <c r="O221" s="62">
        <v>46182</v>
      </c>
      <c r="P221" s="63"/>
      <c r="Q221" s="63"/>
      <c r="R221" s="82">
        <v>40</v>
      </c>
      <c r="S221" s="63" t="str">
        <f>VLOOKUP(R221,SA!$B$5:$C$11,2,1)</f>
        <v>36-45</v>
      </c>
      <c r="T221" s="38" t="s">
        <v>97</v>
      </c>
      <c r="U221" s="24" t="s">
        <v>115</v>
      </c>
      <c r="V221" s="24">
        <v>300000</v>
      </c>
      <c r="W221" s="39">
        <f t="shared" si="70"/>
        <v>0</v>
      </c>
      <c r="X221" s="29">
        <f t="shared" si="71"/>
        <v>0</v>
      </c>
      <c r="Y221" s="40">
        <f t="shared" si="72"/>
        <v>365</v>
      </c>
      <c r="Z221" s="38">
        <f t="shared" si="67"/>
        <v>46081</v>
      </c>
      <c r="AA221" s="41">
        <f t="shared" si="73"/>
        <v>264</v>
      </c>
      <c r="AB221" s="24" t="s">
        <v>125</v>
      </c>
      <c r="AC221" s="41">
        <f t="shared" si="74"/>
        <v>5017.3245999999999</v>
      </c>
      <c r="AD221" s="41">
        <v>1</v>
      </c>
      <c r="AE221" s="72">
        <f>IFERROR(INDEX(SA!$C$4:$E$11,MATCH(Details!S221,SA!$C$4:$C$11,0),MATCH(Details!V221,SA!$C$4:$E$4,0)),0)*Y221/(F221-E221+1)</f>
        <v>4251.97</v>
      </c>
      <c r="AF221" s="41">
        <f t="shared" si="75"/>
        <v>0</v>
      </c>
      <c r="AG221" s="41">
        <f t="shared" si="76"/>
        <v>0</v>
      </c>
      <c r="AH221" s="41">
        <f t="shared" si="77"/>
        <v>765.3546</v>
      </c>
      <c r="AI221" s="60">
        <f t="shared" si="78"/>
        <v>170.0788</v>
      </c>
      <c r="AJ221" s="60">
        <f t="shared" si="79"/>
        <v>956.69325000000003</v>
      </c>
      <c r="AK221" s="60">
        <f t="shared" si="80"/>
        <v>3075.397479452055</v>
      </c>
      <c r="AL221" s="60">
        <f t="shared" si="81"/>
        <v>2260.4171473972606</v>
      </c>
      <c r="AM221" s="41">
        <f t="shared" si="82"/>
        <v>864.78080260273941</v>
      </c>
      <c r="AN221" s="42">
        <f t="shared" si="83"/>
        <v>45715</v>
      </c>
      <c r="AO221" s="43">
        <f t="shared" si="84"/>
        <v>4251.97</v>
      </c>
    </row>
    <row r="222" spans="1:41" s="24" customFormat="1" ht="15.75" customHeight="1" x14ac:dyDescent="0.35">
      <c r="A222" s="36" t="s">
        <v>27</v>
      </c>
      <c r="B222" s="36">
        <v>202506</v>
      </c>
      <c r="C222" s="24" t="s">
        <v>128</v>
      </c>
      <c r="D222" s="24" t="s">
        <v>129</v>
      </c>
      <c r="E222" s="62">
        <v>45818</v>
      </c>
      <c r="F222" s="62">
        <v>46182</v>
      </c>
      <c r="G222" s="37" t="s">
        <v>350</v>
      </c>
      <c r="H222" s="36">
        <v>2038</v>
      </c>
      <c r="I222" s="63">
        <v>40159</v>
      </c>
      <c r="J222" s="24" t="s">
        <v>998</v>
      </c>
      <c r="K222" s="63">
        <f t="shared" si="68"/>
        <v>45818</v>
      </c>
      <c r="L222" s="55">
        <f t="shared" si="69"/>
        <v>0.04</v>
      </c>
      <c r="M222" s="76">
        <v>0.22500000000000001</v>
      </c>
      <c r="N222" s="62">
        <v>45818</v>
      </c>
      <c r="O222" s="62">
        <v>46182</v>
      </c>
      <c r="P222" s="63"/>
      <c r="Q222" s="63"/>
      <c r="R222" s="82">
        <v>15</v>
      </c>
      <c r="S222" s="63" t="str">
        <f>VLOOKUP(R222,SA!$B$5:$C$11,2,1)</f>
        <v>0-35</v>
      </c>
      <c r="T222" s="38" t="s">
        <v>97</v>
      </c>
      <c r="U222" s="24" t="s">
        <v>113</v>
      </c>
      <c r="V222" s="24">
        <v>300000</v>
      </c>
      <c r="W222" s="39">
        <f t="shared" si="70"/>
        <v>0</v>
      </c>
      <c r="X222" s="29">
        <f t="shared" si="71"/>
        <v>0</v>
      </c>
      <c r="Y222" s="40">
        <f t="shared" si="72"/>
        <v>365</v>
      </c>
      <c r="Z222" s="38">
        <f t="shared" si="67"/>
        <v>46081</v>
      </c>
      <c r="AA222" s="41">
        <f t="shared" si="73"/>
        <v>264</v>
      </c>
      <c r="AB222" s="24" t="s">
        <v>125</v>
      </c>
      <c r="AC222" s="41">
        <f t="shared" si="74"/>
        <v>3874.2114000000001</v>
      </c>
      <c r="AD222" s="41">
        <v>1</v>
      </c>
      <c r="AE222" s="72">
        <f>IFERROR(INDEX(SA!$C$4:$E$11,MATCH(Details!S222,SA!$C$4:$C$11,0),MATCH(Details!V222,SA!$C$4:$E$4,0)),0)*Y222/(F222-E222+1)</f>
        <v>3283.23</v>
      </c>
      <c r="AF222" s="41">
        <f t="shared" si="75"/>
        <v>0</v>
      </c>
      <c r="AG222" s="41">
        <f t="shared" si="76"/>
        <v>0</v>
      </c>
      <c r="AH222" s="41">
        <f t="shared" si="77"/>
        <v>590.98140000000001</v>
      </c>
      <c r="AI222" s="60">
        <f t="shared" si="78"/>
        <v>131.32920000000001</v>
      </c>
      <c r="AJ222" s="60">
        <f t="shared" si="79"/>
        <v>738.72675000000004</v>
      </c>
      <c r="AK222" s="60">
        <f t="shared" si="80"/>
        <v>2374.7197808219175</v>
      </c>
      <c r="AL222" s="60">
        <f t="shared" si="81"/>
        <v>1745.4190389041094</v>
      </c>
      <c r="AM222" s="41">
        <f t="shared" si="82"/>
        <v>667.7550110958905</v>
      </c>
      <c r="AN222" s="42">
        <f t="shared" si="83"/>
        <v>45715</v>
      </c>
      <c r="AO222" s="43">
        <f t="shared" si="84"/>
        <v>3283.23</v>
      </c>
    </row>
    <row r="223" spans="1:41" s="24" customFormat="1" ht="15.75" customHeight="1" x14ac:dyDescent="0.35">
      <c r="A223" s="36" t="s">
        <v>27</v>
      </c>
      <c r="B223" s="36">
        <v>202506</v>
      </c>
      <c r="C223" s="24" t="s">
        <v>128</v>
      </c>
      <c r="D223" s="24" t="s">
        <v>129</v>
      </c>
      <c r="E223" s="62">
        <v>45818</v>
      </c>
      <c r="F223" s="62">
        <v>46182</v>
      </c>
      <c r="G223" s="37" t="s">
        <v>351</v>
      </c>
      <c r="H223" s="36">
        <v>2040</v>
      </c>
      <c r="I223" s="63">
        <v>25356</v>
      </c>
      <c r="J223" s="24" t="s">
        <v>999</v>
      </c>
      <c r="K223" s="63">
        <f t="shared" si="68"/>
        <v>45818</v>
      </c>
      <c r="L223" s="55">
        <f t="shared" si="69"/>
        <v>0.04</v>
      </c>
      <c r="M223" s="76">
        <v>0.22500000000000001</v>
      </c>
      <c r="N223" s="62">
        <v>45818</v>
      </c>
      <c r="O223" s="62">
        <v>46182</v>
      </c>
      <c r="P223" s="63"/>
      <c r="Q223" s="63"/>
      <c r="R223" s="82">
        <v>56</v>
      </c>
      <c r="S223" s="63" t="str">
        <f>VLOOKUP(R223,SA!$B$5:$C$11,2,1)</f>
        <v>56-65</v>
      </c>
      <c r="T223" s="38" t="s">
        <v>96</v>
      </c>
      <c r="U223" s="24" t="s">
        <v>56</v>
      </c>
      <c r="V223" s="24">
        <v>300000</v>
      </c>
      <c r="W223" s="39">
        <f t="shared" si="70"/>
        <v>300000</v>
      </c>
      <c r="X223" s="29">
        <f t="shared" si="71"/>
        <v>1</v>
      </c>
      <c r="Y223" s="40">
        <f t="shared" si="72"/>
        <v>365</v>
      </c>
      <c r="Z223" s="38">
        <f t="shared" si="67"/>
        <v>46081</v>
      </c>
      <c r="AA223" s="41">
        <f t="shared" si="73"/>
        <v>264</v>
      </c>
      <c r="AB223" s="24" t="s">
        <v>125</v>
      </c>
      <c r="AC223" s="41">
        <f t="shared" si="74"/>
        <v>16811.448199999999</v>
      </c>
      <c r="AD223" s="41">
        <v>1</v>
      </c>
      <c r="AE223" s="72">
        <f>IFERROR(INDEX(SA!$C$4:$E$11,MATCH(Details!S223,SA!$C$4:$C$11,0),MATCH(Details!V223,SA!$C$4:$E$4,0)),0)*Y223/(F223-E223+1)</f>
        <v>14246.99</v>
      </c>
      <c r="AF223" s="41">
        <f t="shared" si="75"/>
        <v>0</v>
      </c>
      <c r="AG223" s="41">
        <f t="shared" si="76"/>
        <v>0</v>
      </c>
      <c r="AH223" s="41">
        <f t="shared" si="77"/>
        <v>2564.4582</v>
      </c>
      <c r="AI223" s="60">
        <f t="shared" si="78"/>
        <v>569.87959999999998</v>
      </c>
      <c r="AJ223" s="60">
        <f t="shared" si="79"/>
        <v>3205.5727499999998</v>
      </c>
      <c r="AK223" s="60">
        <f t="shared" si="80"/>
        <v>10304.672219178083</v>
      </c>
      <c r="AL223" s="60">
        <f t="shared" si="81"/>
        <v>7573.9340810958911</v>
      </c>
      <c r="AM223" s="41">
        <f t="shared" si="82"/>
        <v>2897.6035689041087</v>
      </c>
      <c r="AN223" s="42">
        <f t="shared" si="83"/>
        <v>45715</v>
      </c>
      <c r="AO223" s="43">
        <f t="shared" si="84"/>
        <v>14246.99</v>
      </c>
    </row>
    <row r="224" spans="1:41" s="24" customFormat="1" ht="15.75" customHeight="1" x14ac:dyDescent="0.35">
      <c r="A224" s="36" t="s">
        <v>27</v>
      </c>
      <c r="B224" s="36">
        <v>202506</v>
      </c>
      <c r="C224" s="24" t="s">
        <v>128</v>
      </c>
      <c r="D224" s="24" t="s">
        <v>129</v>
      </c>
      <c r="E224" s="62">
        <v>45818</v>
      </c>
      <c r="F224" s="62">
        <v>46182</v>
      </c>
      <c r="G224" s="37" t="s">
        <v>352</v>
      </c>
      <c r="H224" s="36">
        <v>2040</v>
      </c>
      <c r="I224" s="63">
        <v>26975</v>
      </c>
      <c r="J224" s="24" t="s">
        <v>1000</v>
      </c>
      <c r="K224" s="63">
        <f t="shared" si="68"/>
        <v>45818</v>
      </c>
      <c r="L224" s="55">
        <f t="shared" si="69"/>
        <v>0.04</v>
      </c>
      <c r="M224" s="76">
        <v>0.22500000000000001</v>
      </c>
      <c r="N224" s="62">
        <v>45818</v>
      </c>
      <c r="O224" s="62">
        <v>46182</v>
      </c>
      <c r="P224" s="63"/>
      <c r="Q224" s="63"/>
      <c r="R224" s="82">
        <v>51</v>
      </c>
      <c r="S224" s="63" t="str">
        <f>VLOOKUP(R224,SA!$B$5:$C$11,2,1)</f>
        <v>46-55</v>
      </c>
      <c r="T224" s="38" t="s">
        <v>97</v>
      </c>
      <c r="U224" s="24" t="s">
        <v>115</v>
      </c>
      <c r="V224" s="24">
        <v>300000</v>
      </c>
      <c r="W224" s="39">
        <f t="shared" si="70"/>
        <v>0</v>
      </c>
      <c r="X224" s="29">
        <f t="shared" si="71"/>
        <v>0</v>
      </c>
      <c r="Y224" s="40">
        <f t="shared" si="72"/>
        <v>365</v>
      </c>
      <c r="Z224" s="38">
        <f t="shared" si="67"/>
        <v>46081</v>
      </c>
      <c r="AA224" s="41">
        <f t="shared" si="73"/>
        <v>264</v>
      </c>
      <c r="AB224" s="24" t="s">
        <v>125</v>
      </c>
      <c r="AC224" s="41">
        <f t="shared" si="74"/>
        <v>9586.9925999999996</v>
      </c>
      <c r="AD224" s="41">
        <v>1</v>
      </c>
      <c r="AE224" s="72">
        <f>IFERROR(INDEX(SA!$C$4:$E$11,MATCH(Details!S224,SA!$C$4:$C$11,0),MATCH(Details!V224,SA!$C$4:$E$4,0)),0)*Y224/(F224-E224+1)</f>
        <v>8124.57</v>
      </c>
      <c r="AF224" s="41">
        <f t="shared" si="75"/>
        <v>0</v>
      </c>
      <c r="AG224" s="41">
        <f t="shared" si="76"/>
        <v>0</v>
      </c>
      <c r="AH224" s="41">
        <f t="shared" si="77"/>
        <v>1462.4225999999999</v>
      </c>
      <c r="AI224" s="60">
        <f t="shared" si="78"/>
        <v>324.9828</v>
      </c>
      <c r="AJ224" s="60">
        <f t="shared" si="79"/>
        <v>1828.0282500000001</v>
      </c>
      <c r="AK224" s="60">
        <f t="shared" si="80"/>
        <v>5876.4013150684932</v>
      </c>
      <c r="AL224" s="60">
        <f t="shared" si="81"/>
        <v>4319.1549665753428</v>
      </c>
      <c r="AM224" s="41">
        <f t="shared" si="82"/>
        <v>1652.4039834246571</v>
      </c>
      <c r="AN224" s="42">
        <f t="shared" si="83"/>
        <v>45715</v>
      </c>
      <c r="AO224" s="43">
        <f t="shared" si="84"/>
        <v>8124.57</v>
      </c>
    </row>
    <row r="225" spans="1:41" s="24" customFormat="1" ht="15.75" customHeight="1" x14ac:dyDescent="0.35">
      <c r="A225" s="36" t="s">
        <v>27</v>
      </c>
      <c r="B225" s="36">
        <v>202506</v>
      </c>
      <c r="C225" s="24" t="s">
        <v>128</v>
      </c>
      <c r="D225" s="24" t="s">
        <v>129</v>
      </c>
      <c r="E225" s="62">
        <v>45818</v>
      </c>
      <c r="F225" s="62">
        <v>46182</v>
      </c>
      <c r="G225" s="37" t="s">
        <v>353</v>
      </c>
      <c r="H225" s="36">
        <v>2041</v>
      </c>
      <c r="I225" s="63">
        <v>25281</v>
      </c>
      <c r="J225" s="24" t="s">
        <v>1001</v>
      </c>
      <c r="K225" s="63">
        <f t="shared" si="68"/>
        <v>45818</v>
      </c>
      <c r="L225" s="55">
        <f t="shared" si="69"/>
        <v>0.04</v>
      </c>
      <c r="M225" s="76">
        <v>0.22500000000000001</v>
      </c>
      <c r="N225" s="62">
        <v>45818</v>
      </c>
      <c r="O225" s="62">
        <v>46182</v>
      </c>
      <c r="P225" s="63"/>
      <c r="Q225" s="63"/>
      <c r="R225" s="82">
        <v>56</v>
      </c>
      <c r="S225" s="63" t="str">
        <f>VLOOKUP(R225,SA!$B$5:$C$11,2,1)</f>
        <v>56-65</v>
      </c>
      <c r="T225" s="38" t="s">
        <v>96</v>
      </c>
      <c r="U225" s="24" t="s">
        <v>56</v>
      </c>
      <c r="V225" s="24">
        <v>300000</v>
      </c>
      <c r="W225" s="39">
        <f t="shared" si="70"/>
        <v>300000</v>
      </c>
      <c r="X225" s="29">
        <f t="shared" si="71"/>
        <v>1</v>
      </c>
      <c r="Y225" s="40">
        <f t="shared" si="72"/>
        <v>365</v>
      </c>
      <c r="Z225" s="38">
        <f t="shared" si="67"/>
        <v>46081</v>
      </c>
      <c r="AA225" s="41">
        <f t="shared" si="73"/>
        <v>264</v>
      </c>
      <c r="AB225" s="24" t="s">
        <v>125</v>
      </c>
      <c r="AC225" s="41">
        <f t="shared" si="74"/>
        <v>16811.448199999999</v>
      </c>
      <c r="AD225" s="41">
        <v>1</v>
      </c>
      <c r="AE225" s="72">
        <f>IFERROR(INDEX(SA!$C$4:$E$11,MATCH(Details!S225,SA!$C$4:$C$11,0),MATCH(Details!V225,SA!$C$4:$E$4,0)),0)*Y225/(F225-E225+1)</f>
        <v>14246.99</v>
      </c>
      <c r="AF225" s="41">
        <f t="shared" si="75"/>
        <v>0</v>
      </c>
      <c r="AG225" s="41">
        <f t="shared" si="76"/>
        <v>0</v>
      </c>
      <c r="AH225" s="41">
        <f t="shared" si="77"/>
        <v>2564.4582</v>
      </c>
      <c r="AI225" s="60">
        <f t="shared" si="78"/>
        <v>569.87959999999998</v>
      </c>
      <c r="AJ225" s="60">
        <f t="shared" si="79"/>
        <v>3205.5727499999998</v>
      </c>
      <c r="AK225" s="60">
        <f t="shared" si="80"/>
        <v>10304.672219178083</v>
      </c>
      <c r="AL225" s="60">
        <f t="shared" si="81"/>
        <v>7573.9340810958911</v>
      </c>
      <c r="AM225" s="41">
        <f t="shared" si="82"/>
        <v>2897.6035689041087</v>
      </c>
      <c r="AN225" s="42">
        <f t="shared" si="83"/>
        <v>45715</v>
      </c>
      <c r="AO225" s="43">
        <f t="shared" si="84"/>
        <v>14246.99</v>
      </c>
    </row>
    <row r="226" spans="1:41" s="24" customFormat="1" ht="15.75" customHeight="1" x14ac:dyDescent="0.35">
      <c r="A226" s="36" t="s">
        <v>27</v>
      </c>
      <c r="B226" s="36">
        <v>202506</v>
      </c>
      <c r="C226" s="24" t="s">
        <v>128</v>
      </c>
      <c r="D226" s="24" t="s">
        <v>129</v>
      </c>
      <c r="E226" s="62">
        <v>45818</v>
      </c>
      <c r="F226" s="62">
        <v>46182</v>
      </c>
      <c r="G226" s="37" t="s">
        <v>354</v>
      </c>
      <c r="H226" s="36">
        <v>2041</v>
      </c>
      <c r="I226" s="63">
        <v>27406</v>
      </c>
      <c r="J226" s="24" t="s">
        <v>1002</v>
      </c>
      <c r="K226" s="63">
        <f t="shared" si="68"/>
        <v>45818</v>
      </c>
      <c r="L226" s="55">
        <f t="shared" si="69"/>
        <v>0.04</v>
      </c>
      <c r="M226" s="76">
        <v>0.22500000000000001</v>
      </c>
      <c r="N226" s="62">
        <v>45818</v>
      </c>
      <c r="O226" s="62">
        <v>46182</v>
      </c>
      <c r="P226" s="63"/>
      <c r="Q226" s="63"/>
      <c r="R226" s="82">
        <v>50</v>
      </c>
      <c r="S226" s="63" t="str">
        <f>VLOOKUP(R226,SA!$B$5:$C$11,2,1)</f>
        <v>46-55</v>
      </c>
      <c r="T226" s="38" t="s">
        <v>97</v>
      </c>
      <c r="U226" s="24" t="s">
        <v>115</v>
      </c>
      <c r="V226" s="24">
        <v>300000</v>
      </c>
      <c r="W226" s="39">
        <f t="shared" si="70"/>
        <v>0</v>
      </c>
      <c r="X226" s="29">
        <f t="shared" si="71"/>
        <v>0</v>
      </c>
      <c r="Y226" s="40">
        <f t="shared" si="72"/>
        <v>365</v>
      </c>
      <c r="Z226" s="38">
        <f t="shared" si="67"/>
        <v>46081</v>
      </c>
      <c r="AA226" s="41">
        <f t="shared" si="73"/>
        <v>264</v>
      </c>
      <c r="AB226" s="24" t="s">
        <v>125</v>
      </c>
      <c r="AC226" s="41">
        <f t="shared" si="74"/>
        <v>9586.9925999999996</v>
      </c>
      <c r="AD226" s="41">
        <v>1</v>
      </c>
      <c r="AE226" s="72">
        <f>IFERROR(INDEX(SA!$C$4:$E$11,MATCH(Details!S226,SA!$C$4:$C$11,0),MATCH(Details!V226,SA!$C$4:$E$4,0)),0)*Y226/(F226-E226+1)</f>
        <v>8124.57</v>
      </c>
      <c r="AF226" s="41">
        <f t="shared" si="75"/>
        <v>0</v>
      </c>
      <c r="AG226" s="41">
        <f t="shared" si="76"/>
        <v>0</v>
      </c>
      <c r="AH226" s="41">
        <f t="shared" si="77"/>
        <v>1462.4225999999999</v>
      </c>
      <c r="AI226" s="60">
        <f t="shared" si="78"/>
        <v>324.9828</v>
      </c>
      <c r="AJ226" s="60">
        <f t="shared" si="79"/>
        <v>1828.0282500000001</v>
      </c>
      <c r="AK226" s="60">
        <f t="shared" si="80"/>
        <v>5876.4013150684932</v>
      </c>
      <c r="AL226" s="60">
        <f t="shared" si="81"/>
        <v>4319.1549665753428</v>
      </c>
      <c r="AM226" s="41">
        <f t="shared" si="82"/>
        <v>1652.4039834246571</v>
      </c>
      <c r="AN226" s="42">
        <f t="shared" si="83"/>
        <v>45715</v>
      </c>
      <c r="AO226" s="43">
        <f t="shared" si="84"/>
        <v>8124.57</v>
      </c>
    </row>
    <row r="227" spans="1:41" s="24" customFormat="1" ht="15.75" customHeight="1" x14ac:dyDescent="0.35">
      <c r="A227" s="36" t="s">
        <v>27</v>
      </c>
      <c r="B227" s="36">
        <v>202506</v>
      </c>
      <c r="C227" s="24" t="s">
        <v>128</v>
      </c>
      <c r="D227" s="24" t="s">
        <v>129</v>
      </c>
      <c r="E227" s="62">
        <v>45818</v>
      </c>
      <c r="F227" s="62">
        <v>46182</v>
      </c>
      <c r="G227" s="37" t="s">
        <v>355</v>
      </c>
      <c r="H227" s="36">
        <v>2045</v>
      </c>
      <c r="I227" s="63">
        <v>30436</v>
      </c>
      <c r="J227" s="24" t="s">
        <v>1003</v>
      </c>
      <c r="K227" s="63">
        <f t="shared" si="68"/>
        <v>45818</v>
      </c>
      <c r="L227" s="55">
        <f t="shared" si="69"/>
        <v>0.04</v>
      </c>
      <c r="M227" s="76">
        <v>0.22500000000000001</v>
      </c>
      <c r="N227" s="62">
        <v>45818</v>
      </c>
      <c r="O227" s="62">
        <v>46182</v>
      </c>
      <c r="P227" s="63"/>
      <c r="Q227" s="63"/>
      <c r="R227" s="82">
        <v>42</v>
      </c>
      <c r="S227" s="63" t="str">
        <f>VLOOKUP(R227,SA!$B$5:$C$11,2,1)</f>
        <v>36-45</v>
      </c>
      <c r="T227" s="38" t="s">
        <v>96</v>
      </c>
      <c r="U227" s="24" t="s">
        <v>56</v>
      </c>
      <c r="V227" s="24">
        <v>300000</v>
      </c>
      <c r="W227" s="39">
        <f t="shared" si="70"/>
        <v>300000</v>
      </c>
      <c r="X227" s="29">
        <f t="shared" si="71"/>
        <v>1</v>
      </c>
      <c r="Y227" s="40">
        <f t="shared" si="72"/>
        <v>365</v>
      </c>
      <c r="Z227" s="38">
        <f t="shared" si="67"/>
        <v>46081</v>
      </c>
      <c r="AA227" s="41">
        <f t="shared" si="73"/>
        <v>264</v>
      </c>
      <c r="AB227" s="24" t="s">
        <v>125</v>
      </c>
      <c r="AC227" s="41">
        <f t="shared" si="74"/>
        <v>5017.3245999999999</v>
      </c>
      <c r="AD227" s="41">
        <v>1</v>
      </c>
      <c r="AE227" s="72">
        <f>IFERROR(INDEX(SA!$C$4:$E$11,MATCH(Details!S227,SA!$C$4:$C$11,0),MATCH(Details!V227,SA!$C$4:$E$4,0)),0)*Y227/(F227-E227+1)</f>
        <v>4251.97</v>
      </c>
      <c r="AF227" s="41">
        <f t="shared" si="75"/>
        <v>0</v>
      </c>
      <c r="AG227" s="41">
        <f t="shared" si="76"/>
        <v>0</v>
      </c>
      <c r="AH227" s="41">
        <f t="shared" si="77"/>
        <v>765.3546</v>
      </c>
      <c r="AI227" s="60">
        <f t="shared" si="78"/>
        <v>170.0788</v>
      </c>
      <c r="AJ227" s="60">
        <f t="shared" si="79"/>
        <v>956.69325000000003</v>
      </c>
      <c r="AK227" s="60">
        <f t="shared" si="80"/>
        <v>3075.397479452055</v>
      </c>
      <c r="AL227" s="60">
        <f t="shared" si="81"/>
        <v>2260.4171473972606</v>
      </c>
      <c r="AM227" s="41">
        <f t="shared" si="82"/>
        <v>864.78080260273941</v>
      </c>
      <c r="AN227" s="42">
        <f t="shared" si="83"/>
        <v>45715</v>
      </c>
      <c r="AO227" s="43">
        <f t="shared" si="84"/>
        <v>4251.97</v>
      </c>
    </row>
    <row r="228" spans="1:41" s="24" customFormat="1" ht="15.75" customHeight="1" x14ac:dyDescent="0.35">
      <c r="A228" s="36" t="s">
        <v>27</v>
      </c>
      <c r="B228" s="36">
        <v>202506</v>
      </c>
      <c r="C228" s="24" t="s">
        <v>128</v>
      </c>
      <c r="D228" s="24" t="s">
        <v>129</v>
      </c>
      <c r="E228" s="62">
        <v>45818</v>
      </c>
      <c r="F228" s="62">
        <v>46182</v>
      </c>
      <c r="G228" s="37" t="s">
        <v>356</v>
      </c>
      <c r="H228" s="36">
        <v>2045</v>
      </c>
      <c r="I228" s="63">
        <v>32877</v>
      </c>
      <c r="J228" s="24" t="s">
        <v>1004</v>
      </c>
      <c r="K228" s="63">
        <f t="shared" si="68"/>
        <v>45818</v>
      </c>
      <c r="L228" s="55">
        <f t="shared" si="69"/>
        <v>0.04</v>
      </c>
      <c r="M228" s="76">
        <v>0.22500000000000001</v>
      </c>
      <c r="N228" s="62">
        <v>45818</v>
      </c>
      <c r="O228" s="62">
        <v>46182</v>
      </c>
      <c r="P228" s="63"/>
      <c r="Q228" s="63"/>
      <c r="R228" s="82">
        <v>35</v>
      </c>
      <c r="S228" s="63" t="str">
        <f>VLOOKUP(R228,SA!$B$5:$C$11,2,1)</f>
        <v>0-35</v>
      </c>
      <c r="T228" s="38" t="s">
        <v>97</v>
      </c>
      <c r="U228" s="24" t="s">
        <v>115</v>
      </c>
      <c r="V228" s="24">
        <v>300000</v>
      </c>
      <c r="W228" s="39">
        <f t="shared" si="70"/>
        <v>0</v>
      </c>
      <c r="X228" s="29">
        <f t="shared" si="71"/>
        <v>0</v>
      </c>
      <c r="Y228" s="40">
        <f t="shared" si="72"/>
        <v>365</v>
      </c>
      <c r="Z228" s="38">
        <f t="shared" si="67"/>
        <v>46081</v>
      </c>
      <c r="AA228" s="41">
        <f t="shared" si="73"/>
        <v>264</v>
      </c>
      <c r="AB228" s="24" t="s">
        <v>125</v>
      </c>
      <c r="AC228" s="41">
        <f t="shared" si="74"/>
        <v>3874.2114000000001</v>
      </c>
      <c r="AD228" s="41">
        <v>1</v>
      </c>
      <c r="AE228" s="72">
        <f>IFERROR(INDEX(SA!$C$4:$E$11,MATCH(Details!S228,SA!$C$4:$C$11,0),MATCH(Details!V228,SA!$C$4:$E$4,0)),0)*Y228/(F228-E228+1)</f>
        <v>3283.23</v>
      </c>
      <c r="AF228" s="41">
        <f t="shared" si="75"/>
        <v>0</v>
      </c>
      <c r="AG228" s="41">
        <f t="shared" si="76"/>
        <v>0</v>
      </c>
      <c r="AH228" s="41">
        <f t="shared" si="77"/>
        <v>590.98140000000001</v>
      </c>
      <c r="AI228" s="60">
        <f t="shared" si="78"/>
        <v>131.32920000000001</v>
      </c>
      <c r="AJ228" s="60">
        <f t="shared" si="79"/>
        <v>738.72675000000004</v>
      </c>
      <c r="AK228" s="60">
        <f t="shared" si="80"/>
        <v>2374.7197808219175</v>
      </c>
      <c r="AL228" s="60">
        <f t="shared" si="81"/>
        <v>1745.4190389041094</v>
      </c>
      <c r="AM228" s="41">
        <f t="shared" si="82"/>
        <v>667.7550110958905</v>
      </c>
      <c r="AN228" s="42">
        <f t="shared" si="83"/>
        <v>45715</v>
      </c>
      <c r="AO228" s="43">
        <f t="shared" si="84"/>
        <v>3283.23</v>
      </c>
    </row>
    <row r="229" spans="1:41" s="24" customFormat="1" ht="15.75" customHeight="1" x14ac:dyDescent="0.35">
      <c r="A229" s="36" t="s">
        <v>27</v>
      </c>
      <c r="B229" s="36">
        <v>202506</v>
      </c>
      <c r="C229" s="24" t="s">
        <v>128</v>
      </c>
      <c r="D229" s="24" t="s">
        <v>129</v>
      </c>
      <c r="E229" s="62">
        <v>45818</v>
      </c>
      <c r="F229" s="62">
        <v>46182</v>
      </c>
      <c r="G229" s="37" t="s">
        <v>357</v>
      </c>
      <c r="H229" s="36">
        <v>2045</v>
      </c>
      <c r="I229" s="63">
        <v>41555</v>
      </c>
      <c r="J229" s="24" t="s">
        <v>1005</v>
      </c>
      <c r="K229" s="63">
        <f t="shared" si="68"/>
        <v>45818</v>
      </c>
      <c r="L229" s="55">
        <f t="shared" si="69"/>
        <v>0.04</v>
      </c>
      <c r="M229" s="76">
        <v>0.22500000000000001</v>
      </c>
      <c r="N229" s="62">
        <v>45818</v>
      </c>
      <c r="O229" s="62">
        <v>46182</v>
      </c>
      <c r="P229" s="63"/>
      <c r="Q229" s="63"/>
      <c r="R229" s="82">
        <v>11</v>
      </c>
      <c r="S229" s="63" t="str">
        <f>VLOOKUP(R229,SA!$B$5:$C$11,2,1)</f>
        <v>0-35</v>
      </c>
      <c r="T229" s="38" t="s">
        <v>96</v>
      </c>
      <c r="U229" s="24" t="s">
        <v>114</v>
      </c>
      <c r="V229" s="24">
        <v>300000</v>
      </c>
      <c r="W229" s="39">
        <f t="shared" si="70"/>
        <v>0</v>
      </c>
      <c r="X229" s="29">
        <f t="shared" si="71"/>
        <v>0</v>
      </c>
      <c r="Y229" s="40">
        <f t="shared" si="72"/>
        <v>365</v>
      </c>
      <c r="Z229" s="38">
        <f t="shared" si="67"/>
        <v>46081</v>
      </c>
      <c r="AA229" s="41">
        <f t="shared" si="73"/>
        <v>264</v>
      </c>
      <c r="AB229" s="24" t="s">
        <v>125</v>
      </c>
      <c r="AC229" s="41">
        <f t="shared" si="74"/>
        <v>3874.2114000000001</v>
      </c>
      <c r="AD229" s="41">
        <v>1</v>
      </c>
      <c r="AE229" s="72">
        <f>IFERROR(INDEX(SA!$C$4:$E$11,MATCH(Details!S229,SA!$C$4:$C$11,0),MATCH(Details!V229,SA!$C$4:$E$4,0)),0)*Y229/(F229-E229+1)</f>
        <v>3283.23</v>
      </c>
      <c r="AF229" s="41">
        <f t="shared" si="75"/>
        <v>0</v>
      </c>
      <c r="AG229" s="41">
        <f t="shared" si="76"/>
        <v>0</v>
      </c>
      <c r="AH229" s="41">
        <f t="shared" si="77"/>
        <v>590.98140000000001</v>
      </c>
      <c r="AI229" s="60">
        <f t="shared" si="78"/>
        <v>131.32920000000001</v>
      </c>
      <c r="AJ229" s="60">
        <f t="shared" si="79"/>
        <v>738.72675000000004</v>
      </c>
      <c r="AK229" s="60">
        <f t="shared" si="80"/>
        <v>2374.7197808219175</v>
      </c>
      <c r="AL229" s="60">
        <f t="shared" si="81"/>
        <v>1745.4190389041094</v>
      </c>
      <c r="AM229" s="41">
        <f t="shared" si="82"/>
        <v>667.7550110958905</v>
      </c>
      <c r="AN229" s="42">
        <f t="shared" si="83"/>
        <v>45715</v>
      </c>
      <c r="AO229" s="43">
        <f t="shared" si="84"/>
        <v>3283.23</v>
      </c>
    </row>
    <row r="230" spans="1:41" s="24" customFormat="1" ht="15.75" customHeight="1" x14ac:dyDescent="0.35">
      <c r="A230" s="36" t="s">
        <v>27</v>
      </c>
      <c r="B230" s="36">
        <v>202506</v>
      </c>
      <c r="C230" s="24" t="s">
        <v>128</v>
      </c>
      <c r="D230" s="24" t="s">
        <v>129</v>
      </c>
      <c r="E230" s="62">
        <v>45818</v>
      </c>
      <c r="F230" s="62">
        <v>46182</v>
      </c>
      <c r="G230" s="37" t="s">
        <v>358</v>
      </c>
      <c r="H230" s="36">
        <v>2047</v>
      </c>
      <c r="I230" s="63">
        <v>29951</v>
      </c>
      <c r="J230" s="24" t="s">
        <v>1006</v>
      </c>
      <c r="K230" s="63">
        <f t="shared" si="68"/>
        <v>45818</v>
      </c>
      <c r="L230" s="55">
        <f t="shared" si="69"/>
        <v>0.04</v>
      </c>
      <c r="M230" s="76">
        <v>0.22500000000000001</v>
      </c>
      <c r="N230" s="62">
        <v>45818</v>
      </c>
      <c r="O230" s="62">
        <v>46182</v>
      </c>
      <c r="P230" s="63"/>
      <c r="Q230" s="63"/>
      <c r="R230" s="82">
        <v>43</v>
      </c>
      <c r="S230" s="63" t="str">
        <f>VLOOKUP(R230,SA!$B$5:$C$11,2,1)</f>
        <v>36-45</v>
      </c>
      <c r="T230" s="38" t="s">
        <v>96</v>
      </c>
      <c r="U230" s="24" t="s">
        <v>56</v>
      </c>
      <c r="V230" s="24">
        <v>300000</v>
      </c>
      <c r="W230" s="39">
        <f t="shared" si="70"/>
        <v>300000</v>
      </c>
      <c r="X230" s="29">
        <f t="shared" si="71"/>
        <v>1</v>
      </c>
      <c r="Y230" s="40">
        <f t="shared" si="72"/>
        <v>365</v>
      </c>
      <c r="Z230" s="38">
        <f t="shared" si="67"/>
        <v>46081</v>
      </c>
      <c r="AA230" s="41">
        <f t="shared" si="73"/>
        <v>264</v>
      </c>
      <c r="AB230" s="24" t="s">
        <v>125</v>
      </c>
      <c r="AC230" s="41">
        <f t="shared" si="74"/>
        <v>5017.3245999999999</v>
      </c>
      <c r="AD230" s="41">
        <v>1</v>
      </c>
      <c r="AE230" s="72">
        <f>IFERROR(INDEX(SA!$C$4:$E$11,MATCH(Details!S230,SA!$C$4:$C$11,0),MATCH(Details!V230,SA!$C$4:$E$4,0)),0)*Y230/(F230-E230+1)</f>
        <v>4251.97</v>
      </c>
      <c r="AF230" s="41">
        <f t="shared" si="75"/>
        <v>0</v>
      </c>
      <c r="AG230" s="41">
        <f t="shared" si="76"/>
        <v>0</v>
      </c>
      <c r="AH230" s="41">
        <f t="shared" si="77"/>
        <v>765.3546</v>
      </c>
      <c r="AI230" s="60">
        <f t="shared" si="78"/>
        <v>170.0788</v>
      </c>
      <c r="AJ230" s="60">
        <f t="shared" si="79"/>
        <v>956.69325000000003</v>
      </c>
      <c r="AK230" s="60">
        <f t="shared" si="80"/>
        <v>3075.397479452055</v>
      </c>
      <c r="AL230" s="60">
        <f t="shared" si="81"/>
        <v>2260.4171473972606</v>
      </c>
      <c r="AM230" s="41">
        <f t="shared" si="82"/>
        <v>864.78080260273941</v>
      </c>
      <c r="AN230" s="42">
        <f t="shared" si="83"/>
        <v>45715</v>
      </c>
      <c r="AO230" s="43">
        <f t="shared" si="84"/>
        <v>4251.97</v>
      </c>
    </row>
    <row r="231" spans="1:41" s="24" customFormat="1" ht="15.75" customHeight="1" x14ac:dyDescent="0.35">
      <c r="A231" s="36" t="s">
        <v>27</v>
      </c>
      <c r="B231" s="36">
        <v>202506</v>
      </c>
      <c r="C231" s="24" t="s">
        <v>128</v>
      </c>
      <c r="D231" s="24" t="s">
        <v>129</v>
      </c>
      <c r="E231" s="62">
        <v>45818</v>
      </c>
      <c r="F231" s="62">
        <v>46182</v>
      </c>
      <c r="G231" s="37" t="s">
        <v>359</v>
      </c>
      <c r="H231" s="36">
        <v>2049</v>
      </c>
      <c r="I231" s="63">
        <v>28588</v>
      </c>
      <c r="J231" s="24" t="s">
        <v>1007</v>
      </c>
      <c r="K231" s="63">
        <f t="shared" si="68"/>
        <v>45818</v>
      </c>
      <c r="L231" s="55">
        <f t="shared" si="69"/>
        <v>0.04</v>
      </c>
      <c r="M231" s="76">
        <v>0.22500000000000001</v>
      </c>
      <c r="N231" s="62">
        <v>45818</v>
      </c>
      <c r="O231" s="62">
        <v>46182</v>
      </c>
      <c r="P231" s="63"/>
      <c r="Q231" s="63"/>
      <c r="R231" s="82">
        <v>47</v>
      </c>
      <c r="S231" s="63" t="str">
        <f>VLOOKUP(R231,SA!$B$5:$C$11,2,1)</f>
        <v>46-55</v>
      </c>
      <c r="T231" s="38" t="s">
        <v>96</v>
      </c>
      <c r="U231" s="24" t="s">
        <v>56</v>
      </c>
      <c r="V231" s="24">
        <v>300000</v>
      </c>
      <c r="W231" s="39">
        <f t="shared" si="70"/>
        <v>300000</v>
      </c>
      <c r="X231" s="29">
        <f t="shared" si="71"/>
        <v>1</v>
      </c>
      <c r="Y231" s="40">
        <f t="shared" si="72"/>
        <v>365</v>
      </c>
      <c r="Z231" s="38">
        <f t="shared" si="67"/>
        <v>46081</v>
      </c>
      <c r="AA231" s="41">
        <f t="shared" si="73"/>
        <v>264</v>
      </c>
      <c r="AB231" s="24" t="s">
        <v>125</v>
      </c>
      <c r="AC231" s="41">
        <f t="shared" si="74"/>
        <v>9586.9925999999996</v>
      </c>
      <c r="AD231" s="41">
        <v>1</v>
      </c>
      <c r="AE231" s="72">
        <f>IFERROR(INDEX(SA!$C$4:$E$11,MATCH(Details!S231,SA!$C$4:$C$11,0),MATCH(Details!V231,SA!$C$4:$E$4,0)),0)*Y231/(F231-E231+1)</f>
        <v>8124.57</v>
      </c>
      <c r="AF231" s="41">
        <f t="shared" si="75"/>
        <v>0</v>
      </c>
      <c r="AG231" s="41">
        <f t="shared" si="76"/>
        <v>0</v>
      </c>
      <c r="AH231" s="41">
        <f t="shared" si="77"/>
        <v>1462.4225999999999</v>
      </c>
      <c r="AI231" s="60">
        <f t="shared" si="78"/>
        <v>324.9828</v>
      </c>
      <c r="AJ231" s="60">
        <f t="shared" si="79"/>
        <v>1828.0282500000001</v>
      </c>
      <c r="AK231" s="60">
        <f t="shared" si="80"/>
        <v>5876.4013150684932</v>
      </c>
      <c r="AL231" s="60">
        <f t="shared" si="81"/>
        <v>4319.1549665753428</v>
      </c>
      <c r="AM231" s="41">
        <f t="shared" si="82"/>
        <v>1652.4039834246571</v>
      </c>
      <c r="AN231" s="42">
        <f t="shared" si="83"/>
        <v>45715</v>
      </c>
      <c r="AO231" s="43">
        <f t="shared" si="84"/>
        <v>8124.57</v>
      </c>
    </row>
    <row r="232" spans="1:41" s="24" customFormat="1" ht="15.75" customHeight="1" x14ac:dyDescent="0.35">
      <c r="A232" s="36" t="s">
        <v>27</v>
      </c>
      <c r="B232" s="36">
        <v>202506</v>
      </c>
      <c r="C232" s="24" t="s">
        <v>128</v>
      </c>
      <c r="D232" s="24" t="s">
        <v>129</v>
      </c>
      <c r="E232" s="62">
        <v>45818</v>
      </c>
      <c r="F232" s="62">
        <v>46182</v>
      </c>
      <c r="G232" s="37" t="s">
        <v>360</v>
      </c>
      <c r="H232" s="36">
        <v>2049</v>
      </c>
      <c r="I232" s="63">
        <v>41391</v>
      </c>
      <c r="J232" s="24" t="s">
        <v>1008</v>
      </c>
      <c r="K232" s="63">
        <f t="shared" si="68"/>
        <v>45818</v>
      </c>
      <c r="L232" s="55">
        <f t="shared" si="69"/>
        <v>0.04</v>
      </c>
      <c r="M232" s="76">
        <v>0.22500000000000001</v>
      </c>
      <c r="N232" s="62">
        <v>45818</v>
      </c>
      <c r="O232" s="62">
        <v>46182</v>
      </c>
      <c r="P232" s="63"/>
      <c r="Q232" s="63"/>
      <c r="R232" s="82">
        <v>12</v>
      </c>
      <c r="S232" s="63" t="str">
        <f>VLOOKUP(R232,SA!$B$5:$C$11,2,1)</f>
        <v>0-35</v>
      </c>
      <c r="T232" s="38" t="s">
        <v>96</v>
      </c>
      <c r="U232" s="24" t="s">
        <v>114</v>
      </c>
      <c r="V232" s="24">
        <v>300000</v>
      </c>
      <c r="W232" s="39">
        <f t="shared" si="70"/>
        <v>0</v>
      </c>
      <c r="X232" s="29">
        <f t="shared" si="71"/>
        <v>0</v>
      </c>
      <c r="Y232" s="40">
        <f t="shared" si="72"/>
        <v>365</v>
      </c>
      <c r="Z232" s="38">
        <f t="shared" si="67"/>
        <v>46081</v>
      </c>
      <c r="AA232" s="41">
        <f t="shared" si="73"/>
        <v>264</v>
      </c>
      <c r="AB232" s="24" t="s">
        <v>125</v>
      </c>
      <c r="AC232" s="41">
        <f t="shared" si="74"/>
        <v>3874.2114000000001</v>
      </c>
      <c r="AD232" s="41">
        <v>1</v>
      </c>
      <c r="AE232" s="72">
        <f>IFERROR(INDEX(SA!$C$4:$E$11,MATCH(Details!S232,SA!$C$4:$C$11,0),MATCH(Details!V232,SA!$C$4:$E$4,0)),0)*Y232/(F232-E232+1)</f>
        <v>3283.23</v>
      </c>
      <c r="AF232" s="41">
        <f t="shared" si="75"/>
        <v>0</v>
      </c>
      <c r="AG232" s="41">
        <f t="shared" si="76"/>
        <v>0</v>
      </c>
      <c r="AH232" s="41">
        <f t="shared" si="77"/>
        <v>590.98140000000001</v>
      </c>
      <c r="AI232" s="60">
        <f t="shared" si="78"/>
        <v>131.32920000000001</v>
      </c>
      <c r="AJ232" s="60">
        <f t="shared" si="79"/>
        <v>738.72675000000004</v>
      </c>
      <c r="AK232" s="60">
        <f t="shared" si="80"/>
        <v>2374.7197808219175</v>
      </c>
      <c r="AL232" s="60">
        <f t="shared" si="81"/>
        <v>1745.4190389041094</v>
      </c>
      <c r="AM232" s="41">
        <f t="shared" si="82"/>
        <v>667.7550110958905</v>
      </c>
      <c r="AN232" s="42">
        <f t="shared" si="83"/>
        <v>45715</v>
      </c>
      <c r="AO232" s="43">
        <f t="shared" si="84"/>
        <v>3283.23</v>
      </c>
    </row>
    <row r="233" spans="1:41" s="24" customFormat="1" ht="15.75" customHeight="1" x14ac:dyDescent="0.35">
      <c r="A233" s="36" t="s">
        <v>27</v>
      </c>
      <c r="B233" s="36">
        <v>202506</v>
      </c>
      <c r="C233" s="24" t="s">
        <v>128</v>
      </c>
      <c r="D233" s="24" t="s">
        <v>129</v>
      </c>
      <c r="E233" s="62">
        <v>45818</v>
      </c>
      <c r="F233" s="62">
        <v>46182</v>
      </c>
      <c r="G233" s="37" t="s">
        <v>361</v>
      </c>
      <c r="H233" s="36">
        <v>2049</v>
      </c>
      <c r="I233" s="63">
        <v>32419</v>
      </c>
      <c r="J233" s="24" t="s">
        <v>1009</v>
      </c>
      <c r="K233" s="63">
        <f t="shared" si="68"/>
        <v>45818</v>
      </c>
      <c r="L233" s="55">
        <f t="shared" si="69"/>
        <v>0.04</v>
      </c>
      <c r="M233" s="76">
        <v>0.22500000000000001</v>
      </c>
      <c r="N233" s="62">
        <v>45818</v>
      </c>
      <c r="O233" s="62">
        <v>46182</v>
      </c>
      <c r="P233" s="63"/>
      <c r="Q233" s="63"/>
      <c r="R233" s="82">
        <v>36</v>
      </c>
      <c r="S233" s="63" t="str">
        <f>VLOOKUP(R233,SA!$B$5:$C$11,2,1)</f>
        <v>36-45</v>
      </c>
      <c r="T233" s="38" t="s">
        <v>97</v>
      </c>
      <c r="U233" s="24" t="s">
        <v>115</v>
      </c>
      <c r="V233" s="24">
        <v>300000</v>
      </c>
      <c r="W233" s="39">
        <f t="shared" si="70"/>
        <v>0</v>
      </c>
      <c r="X233" s="29">
        <f t="shared" si="71"/>
        <v>0</v>
      </c>
      <c r="Y233" s="40">
        <f t="shared" si="72"/>
        <v>365</v>
      </c>
      <c r="Z233" s="38">
        <f t="shared" si="67"/>
        <v>46081</v>
      </c>
      <c r="AA233" s="41">
        <f t="shared" si="73"/>
        <v>264</v>
      </c>
      <c r="AB233" s="24" t="s">
        <v>125</v>
      </c>
      <c r="AC233" s="41">
        <f t="shared" si="74"/>
        <v>5017.3245999999999</v>
      </c>
      <c r="AD233" s="41">
        <v>1</v>
      </c>
      <c r="AE233" s="72">
        <f>IFERROR(INDEX(SA!$C$4:$E$11,MATCH(Details!S233,SA!$C$4:$C$11,0),MATCH(Details!V233,SA!$C$4:$E$4,0)),0)*Y233/(F233-E233+1)</f>
        <v>4251.97</v>
      </c>
      <c r="AF233" s="41">
        <f t="shared" si="75"/>
        <v>0</v>
      </c>
      <c r="AG233" s="41">
        <f t="shared" si="76"/>
        <v>0</v>
      </c>
      <c r="AH233" s="41">
        <f t="shared" si="77"/>
        <v>765.3546</v>
      </c>
      <c r="AI233" s="60">
        <f t="shared" si="78"/>
        <v>170.0788</v>
      </c>
      <c r="AJ233" s="60">
        <f t="shared" si="79"/>
        <v>956.69325000000003</v>
      </c>
      <c r="AK233" s="60">
        <f t="shared" si="80"/>
        <v>3075.397479452055</v>
      </c>
      <c r="AL233" s="60">
        <f t="shared" si="81"/>
        <v>2260.4171473972606</v>
      </c>
      <c r="AM233" s="41">
        <f t="shared" si="82"/>
        <v>864.78080260273941</v>
      </c>
      <c r="AN233" s="42">
        <f t="shared" si="83"/>
        <v>45715</v>
      </c>
      <c r="AO233" s="43">
        <f t="shared" si="84"/>
        <v>4251.97</v>
      </c>
    </row>
    <row r="234" spans="1:41" s="24" customFormat="1" ht="15.75" customHeight="1" x14ac:dyDescent="0.35">
      <c r="A234" s="36" t="s">
        <v>27</v>
      </c>
      <c r="B234" s="36">
        <v>202506</v>
      </c>
      <c r="C234" s="24" t="s">
        <v>128</v>
      </c>
      <c r="D234" s="24" t="s">
        <v>129</v>
      </c>
      <c r="E234" s="62">
        <v>45818</v>
      </c>
      <c r="F234" s="62">
        <v>46182</v>
      </c>
      <c r="G234" s="37" t="s">
        <v>362</v>
      </c>
      <c r="H234" s="36">
        <v>2053</v>
      </c>
      <c r="I234" s="63">
        <v>30006</v>
      </c>
      <c r="J234" s="24" t="s">
        <v>1010</v>
      </c>
      <c r="K234" s="63">
        <f t="shared" si="68"/>
        <v>45818</v>
      </c>
      <c r="L234" s="55">
        <f t="shared" si="69"/>
        <v>0.04</v>
      </c>
      <c r="M234" s="76">
        <v>0.22500000000000001</v>
      </c>
      <c r="N234" s="62">
        <v>45818</v>
      </c>
      <c r="O234" s="62">
        <v>46182</v>
      </c>
      <c r="P234" s="63"/>
      <c r="Q234" s="63"/>
      <c r="R234" s="82">
        <v>43</v>
      </c>
      <c r="S234" s="63" t="str">
        <f>VLOOKUP(R234,SA!$B$5:$C$11,2,1)</f>
        <v>36-45</v>
      </c>
      <c r="T234" s="38" t="s">
        <v>96</v>
      </c>
      <c r="U234" s="24" t="s">
        <v>56</v>
      </c>
      <c r="V234" s="24">
        <v>300000</v>
      </c>
      <c r="W234" s="39">
        <f t="shared" si="70"/>
        <v>300000</v>
      </c>
      <c r="X234" s="29">
        <f t="shared" si="71"/>
        <v>1</v>
      </c>
      <c r="Y234" s="40">
        <f t="shared" si="72"/>
        <v>365</v>
      </c>
      <c r="Z234" s="38">
        <f t="shared" si="67"/>
        <v>46081</v>
      </c>
      <c r="AA234" s="41">
        <f t="shared" si="73"/>
        <v>264</v>
      </c>
      <c r="AB234" s="24" t="s">
        <v>125</v>
      </c>
      <c r="AC234" s="41">
        <f t="shared" si="74"/>
        <v>5017.3245999999999</v>
      </c>
      <c r="AD234" s="41">
        <v>1</v>
      </c>
      <c r="AE234" s="72">
        <f>IFERROR(INDEX(SA!$C$4:$E$11,MATCH(Details!S234,SA!$C$4:$C$11,0),MATCH(Details!V234,SA!$C$4:$E$4,0)),0)*Y234/(F234-E234+1)</f>
        <v>4251.97</v>
      </c>
      <c r="AF234" s="41">
        <f t="shared" si="75"/>
        <v>0</v>
      </c>
      <c r="AG234" s="41">
        <f t="shared" si="76"/>
        <v>0</v>
      </c>
      <c r="AH234" s="41">
        <f t="shared" si="77"/>
        <v>765.3546</v>
      </c>
      <c r="AI234" s="60">
        <f t="shared" si="78"/>
        <v>170.0788</v>
      </c>
      <c r="AJ234" s="60">
        <f t="shared" si="79"/>
        <v>956.69325000000003</v>
      </c>
      <c r="AK234" s="60">
        <f t="shared" si="80"/>
        <v>3075.397479452055</v>
      </c>
      <c r="AL234" s="60">
        <f t="shared" si="81"/>
        <v>2260.4171473972606</v>
      </c>
      <c r="AM234" s="41">
        <f t="shared" si="82"/>
        <v>864.78080260273941</v>
      </c>
      <c r="AN234" s="42">
        <f t="shared" si="83"/>
        <v>45715</v>
      </c>
      <c r="AO234" s="43">
        <f t="shared" si="84"/>
        <v>4251.97</v>
      </c>
    </row>
    <row r="235" spans="1:41" s="24" customFormat="1" ht="15.75" customHeight="1" x14ac:dyDescent="0.35">
      <c r="A235" s="36" t="s">
        <v>27</v>
      </c>
      <c r="B235" s="36">
        <v>202506</v>
      </c>
      <c r="C235" s="24" t="s">
        <v>128</v>
      </c>
      <c r="D235" s="24" t="s">
        <v>129</v>
      </c>
      <c r="E235" s="62">
        <v>45818</v>
      </c>
      <c r="F235" s="62">
        <v>46182</v>
      </c>
      <c r="G235" s="37" t="s">
        <v>363</v>
      </c>
      <c r="H235" s="36">
        <v>2053</v>
      </c>
      <c r="I235" s="63">
        <v>40647</v>
      </c>
      <c r="J235" s="24" t="s">
        <v>1011</v>
      </c>
      <c r="K235" s="63">
        <f t="shared" si="68"/>
        <v>45818</v>
      </c>
      <c r="L235" s="55">
        <f t="shared" si="69"/>
        <v>0.04</v>
      </c>
      <c r="M235" s="76">
        <v>0.22500000000000001</v>
      </c>
      <c r="N235" s="62">
        <v>45818</v>
      </c>
      <c r="O235" s="62">
        <v>46182</v>
      </c>
      <c r="P235" s="63"/>
      <c r="Q235" s="63"/>
      <c r="R235" s="82">
        <v>14</v>
      </c>
      <c r="S235" s="63" t="str">
        <f>VLOOKUP(R235,SA!$B$5:$C$11,2,1)</f>
        <v>0-35</v>
      </c>
      <c r="T235" s="38" t="s">
        <v>97</v>
      </c>
      <c r="U235" s="24" t="s">
        <v>113</v>
      </c>
      <c r="V235" s="24">
        <v>300000</v>
      </c>
      <c r="W235" s="39">
        <f t="shared" si="70"/>
        <v>0</v>
      </c>
      <c r="X235" s="29">
        <f t="shared" si="71"/>
        <v>0</v>
      </c>
      <c r="Y235" s="40">
        <f t="shared" si="72"/>
        <v>365</v>
      </c>
      <c r="Z235" s="38">
        <f t="shared" si="67"/>
        <v>46081</v>
      </c>
      <c r="AA235" s="41">
        <f t="shared" si="73"/>
        <v>264</v>
      </c>
      <c r="AB235" s="24" t="s">
        <v>125</v>
      </c>
      <c r="AC235" s="41">
        <f t="shared" si="74"/>
        <v>3874.2114000000001</v>
      </c>
      <c r="AD235" s="41">
        <v>1</v>
      </c>
      <c r="AE235" s="72">
        <f>IFERROR(INDEX(SA!$C$4:$E$11,MATCH(Details!S235,SA!$C$4:$C$11,0),MATCH(Details!V235,SA!$C$4:$E$4,0)),0)*Y235/(F235-E235+1)</f>
        <v>3283.23</v>
      </c>
      <c r="AF235" s="41">
        <f t="shared" si="75"/>
        <v>0</v>
      </c>
      <c r="AG235" s="41">
        <f t="shared" si="76"/>
        <v>0</v>
      </c>
      <c r="AH235" s="41">
        <f t="shared" si="77"/>
        <v>590.98140000000001</v>
      </c>
      <c r="AI235" s="60">
        <f t="shared" si="78"/>
        <v>131.32920000000001</v>
      </c>
      <c r="AJ235" s="60">
        <f t="shared" si="79"/>
        <v>738.72675000000004</v>
      </c>
      <c r="AK235" s="60">
        <f t="shared" si="80"/>
        <v>2374.7197808219175</v>
      </c>
      <c r="AL235" s="60">
        <f t="shared" si="81"/>
        <v>1745.4190389041094</v>
      </c>
      <c r="AM235" s="41">
        <f t="shared" si="82"/>
        <v>667.7550110958905</v>
      </c>
      <c r="AN235" s="42">
        <f t="shared" si="83"/>
        <v>45715</v>
      </c>
      <c r="AO235" s="43">
        <f t="shared" si="84"/>
        <v>3283.23</v>
      </c>
    </row>
    <row r="236" spans="1:41" s="24" customFormat="1" ht="15.75" customHeight="1" x14ac:dyDescent="0.35">
      <c r="A236" s="36" t="s">
        <v>27</v>
      </c>
      <c r="B236" s="36">
        <v>202506</v>
      </c>
      <c r="C236" s="24" t="s">
        <v>128</v>
      </c>
      <c r="D236" s="24" t="s">
        <v>129</v>
      </c>
      <c r="E236" s="62">
        <v>45818</v>
      </c>
      <c r="F236" s="62">
        <v>46182</v>
      </c>
      <c r="G236" s="37" t="s">
        <v>364</v>
      </c>
      <c r="H236" s="36">
        <v>2053</v>
      </c>
      <c r="I236" s="63">
        <v>42002</v>
      </c>
      <c r="J236" s="24" t="s">
        <v>1012</v>
      </c>
      <c r="K236" s="63">
        <f t="shared" si="68"/>
        <v>45818</v>
      </c>
      <c r="L236" s="55">
        <f t="shared" si="69"/>
        <v>0.04</v>
      </c>
      <c r="M236" s="76">
        <v>0.22500000000000001</v>
      </c>
      <c r="N236" s="62">
        <v>45818</v>
      </c>
      <c r="O236" s="62">
        <v>46182</v>
      </c>
      <c r="P236" s="63"/>
      <c r="Q236" s="63"/>
      <c r="R236" s="82">
        <v>10</v>
      </c>
      <c r="S236" s="63" t="str">
        <f>VLOOKUP(R236,SA!$B$5:$C$11,2,1)</f>
        <v>0-35</v>
      </c>
      <c r="T236" s="38" t="s">
        <v>96</v>
      </c>
      <c r="U236" s="24" t="s">
        <v>114</v>
      </c>
      <c r="V236" s="24">
        <v>300000</v>
      </c>
      <c r="W236" s="39">
        <f t="shared" si="70"/>
        <v>0</v>
      </c>
      <c r="X236" s="29">
        <f t="shared" si="71"/>
        <v>0</v>
      </c>
      <c r="Y236" s="40">
        <f t="shared" si="72"/>
        <v>365</v>
      </c>
      <c r="Z236" s="38">
        <f t="shared" si="67"/>
        <v>46081</v>
      </c>
      <c r="AA236" s="41">
        <f t="shared" si="73"/>
        <v>264</v>
      </c>
      <c r="AB236" s="24" t="s">
        <v>125</v>
      </c>
      <c r="AC236" s="41">
        <f t="shared" si="74"/>
        <v>3874.2114000000001</v>
      </c>
      <c r="AD236" s="41">
        <v>1</v>
      </c>
      <c r="AE236" s="72">
        <f>IFERROR(INDEX(SA!$C$4:$E$11,MATCH(Details!S236,SA!$C$4:$C$11,0),MATCH(Details!V236,SA!$C$4:$E$4,0)),0)*Y236/(F236-E236+1)</f>
        <v>3283.23</v>
      </c>
      <c r="AF236" s="41">
        <f t="shared" si="75"/>
        <v>0</v>
      </c>
      <c r="AG236" s="41">
        <f t="shared" si="76"/>
        <v>0</v>
      </c>
      <c r="AH236" s="41">
        <f t="shared" si="77"/>
        <v>590.98140000000001</v>
      </c>
      <c r="AI236" s="60">
        <f t="shared" si="78"/>
        <v>131.32920000000001</v>
      </c>
      <c r="AJ236" s="60">
        <f t="shared" si="79"/>
        <v>738.72675000000004</v>
      </c>
      <c r="AK236" s="60">
        <f t="shared" si="80"/>
        <v>2374.7197808219175</v>
      </c>
      <c r="AL236" s="60">
        <f t="shared" si="81"/>
        <v>1745.4190389041094</v>
      </c>
      <c r="AM236" s="41">
        <f t="shared" si="82"/>
        <v>667.7550110958905</v>
      </c>
      <c r="AN236" s="42">
        <f t="shared" si="83"/>
        <v>45715</v>
      </c>
      <c r="AO236" s="43">
        <f t="shared" si="84"/>
        <v>3283.23</v>
      </c>
    </row>
    <row r="237" spans="1:41" s="24" customFormat="1" ht="15.75" customHeight="1" x14ac:dyDescent="0.35">
      <c r="A237" s="36" t="s">
        <v>27</v>
      </c>
      <c r="B237" s="36">
        <v>202506</v>
      </c>
      <c r="C237" s="24" t="s">
        <v>128</v>
      </c>
      <c r="D237" s="24" t="s">
        <v>129</v>
      </c>
      <c r="E237" s="62">
        <v>45818</v>
      </c>
      <c r="F237" s="62">
        <v>46182</v>
      </c>
      <c r="G237" s="37" t="s">
        <v>365</v>
      </c>
      <c r="H237" s="36">
        <v>2053</v>
      </c>
      <c r="I237" s="63">
        <v>32735</v>
      </c>
      <c r="J237" s="24" t="s">
        <v>1013</v>
      </c>
      <c r="K237" s="63">
        <f t="shared" si="68"/>
        <v>45818</v>
      </c>
      <c r="L237" s="55">
        <f t="shared" si="69"/>
        <v>0.04</v>
      </c>
      <c r="M237" s="76">
        <v>0.22500000000000001</v>
      </c>
      <c r="N237" s="62">
        <v>45818</v>
      </c>
      <c r="O237" s="62">
        <v>46182</v>
      </c>
      <c r="P237" s="63"/>
      <c r="Q237" s="63"/>
      <c r="R237" s="82">
        <v>35</v>
      </c>
      <c r="S237" s="63" t="str">
        <f>VLOOKUP(R237,SA!$B$5:$C$11,2,1)</f>
        <v>0-35</v>
      </c>
      <c r="T237" s="38" t="s">
        <v>97</v>
      </c>
      <c r="U237" s="24" t="s">
        <v>115</v>
      </c>
      <c r="V237" s="24">
        <v>300000</v>
      </c>
      <c r="W237" s="39">
        <f t="shared" si="70"/>
        <v>0</v>
      </c>
      <c r="X237" s="29">
        <f t="shared" si="71"/>
        <v>0</v>
      </c>
      <c r="Y237" s="40">
        <f t="shared" si="72"/>
        <v>365</v>
      </c>
      <c r="Z237" s="38">
        <f t="shared" si="67"/>
        <v>46081</v>
      </c>
      <c r="AA237" s="41">
        <f t="shared" si="73"/>
        <v>264</v>
      </c>
      <c r="AB237" s="24" t="s">
        <v>125</v>
      </c>
      <c r="AC237" s="41">
        <f t="shared" si="74"/>
        <v>3874.2114000000001</v>
      </c>
      <c r="AD237" s="41">
        <v>1</v>
      </c>
      <c r="AE237" s="72">
        <f>IFERROR(INDEX(SA!$C$4:$E$11,MATCH(Details!S237,SA!$C$4:$C$11,0),MATCH(Details!V237,SA!$C$4:$E$4,0)),0)*Y237/(F237-E237+1)</f>
        <v>3283.23</v>
      </c>
      <c r="AF237" s="41">
        <f t="shared" si="75"/>
        <v>0</v>
      </c>
      <c r="AG237" s="41">
        <f t="shared" si="76"/>
        <v>0</v>
      </c>
      <c r="AH237" s="41">
        <f t="shared" si="77"/>
        <v>590.98140000000001</v>
      </c>
      <c r="AI237" s="60">
        <f t="shared" si="78"/>
        <v>131.32920000000001</v>
      </c>
      <c r="AJ237" s="60">
        <f t="shared" si="79"/>
        <v>738.72675000000004</v>
      </c>
      <c r="AK237" s="60">
        <f t="shared" si="80"/>
        <v>2374.7197808219175</v>
      </c>
      <c r="AL237" s="60">
        <f t="shared" si="81"/>
        <v>1745.4190389041094</v>
      </c>
      <c r="AM237" s="41">
        <f t="shared" si="82"/>
        <v>667.7550110958905</v>
      </c>
      <c r="AN237" s="42">
        <f t="shared" si="83"/>
        <v>45715</v>
      </c>
      <c r="AO237" s="43">
        <f t="shared" si="84"/>
        <v>3283.23</v>
      </c>
    </row>
    <row r="238" spans="1:41" s="24" customFormat="1" ht="15.75" customHeight="1" x14ac:dyDescent="0.35">
      <c r="A238" s="36" t="s">
        <v>27</v>
      </c>
      <c r="B238" s="36">
        <v>202506</v>
      </c>
      <c r="C238" s="24" t="s">
        <v>128</v>
      </c>
      <c r="D238" s="24" t="s">
        <v>129</v>
      </c>
      <c r="E238" s="62">
        <v>45818</v>
      </c>
      <c r="F238" s="62">
        <v>46182</v>
      </c>
      <c r="G238" s="37" t="s">
        <v>366</v>
      </c>
      <c r="H238" s="36">
        <v>2054</v>
      </c>
      <c r="I238" s="63">
        <v>33337</v>
      </c>
      <c r="J238" s="24" t="s">
        <v>1014</v>
      </c>
      <c r="K238" s="63">
        <f t="shared" si="68"/>
        <v>45818</v>
      </c>
      <c r="L238" s="55">
        <f t="shared" si="69"/>
        <v>0.04</v>
      </c>
      <c r="M238" s="76">
        <v>0.22500000000000001</v>
      </c>
      <c r="N238" s="62">
        <v>45818</v>
      </c>
      <c r="O238" s="62">
        <v>46182</v>
      </c>
      <c r="P238" s="63"/>
      <c r="Q238" s="63"/>
      <c r="R238" s="82">
        <v>34</v>
      </c>
      <c r="S238" s="63" t="str">
        <f>VLOOKUP(R238,SA!$B$5:$C$11,2,1)</f>
        <v>0-35</v>
      </c>
      <c r="T238" s="38" t="s">
        <v>96</v>
      </c>
      <c r="U238" s="24" t="s">
        <v>56</v>
      </c>
      <c r="V238" s="24">
        <v>300000</v>
      </c>
      <c r="W238" s="39">
        <f t="shared" si="70"/>
        <v>300000</v>
      </c>
      <c r="X238" s="29">
        <f t="shared" si="71"/>
        <v>1</v>
      </c>
      <c r="Y238" s="40">
        <f t="shared" si="72"/>
        <v>365</v>
      </c>
      <c r="Z238" s="38">
        <f t="shared" si="67"/>
        <v>46081</v>
      </c>
      <c r="AA238" s="41">
        <f t="shared" si="73"/>
        <v>264</v>
      </c>
      <c r="AB238" s="24" t="s">
        <v>125</v>
      </c>
      <c r="AC238" s="41">
        <f t="shared" si="74"/>
        <v>3874.2114000000001</v>
      </c>
      <c r="AD238" s="41">
        <v>1</v>
      </c>
      <c r="AE238" s="72">
        <f>IFERROR(INDEX(SA!$C$4:$E$11,MATCH(Details!S238,SA!$C$4:$C$11,0),MATCH(Details!V238,SA!$C$4:$E$4,0)),0)*Y238/(F238-E238+1)</f>
        <v>3283.23</v>
      </c>
      <c r="AF238" s="41">
        <f t="shared" si="75"/>
        <v>0</v>
      </c>
      <c r="AG238" s="41">
        <f t="shared" si="76"/>
        <v>0</v>
      </c>
      <c r="AH238" s="41">
        <f t="shared" si="77"/>
        <v>590.98140000000001</v>
      </c>
      <c r="AI238" s="60">
        <f t="shared" si="78"/>
        <v>131.32920000000001</v>
      </c>
      <c r="AJ238" s="60">
        <f t="shared" si="79"/>
        <v>738.72675000000004</v>
      </c>
      <c r="AK238" s="60">
        <f t="shared" si="80"/>
        <v>2374.7197808219175</v>
      </c>
      <c r="AL238" s="60">
        <f t="shared" si="81"/>
        <v>1745.4190389041094</v>
      </c>
      <c r="AM238" s="41">
        <f t="shared" si="82"/>
        <v>667.7550110958905</v>
      </c>
      <c r="AN238" s="42">
        <f t="shared" si="83"/>
        <v>45715</v>
      </c>
      <c r="AO238" s="43">
        <f t="shared" si="84"/>
        <v>3283.23</v>
      </c>
    </row>
    <row r="239" spans="1:41" s="24" customFormat="1" ht="15.75" customHeight="1" x14ac:dyDescent="0.35">
      <c r="A239" s="36" t="s">
        <v>27</v>
      </c>
      <c r="B239" s="36">
        <v>202506</v>
      </c>
      <c r="C239" s="24" t="s">
        <v>128</v>
      </c>
      <c r="D239" s="24" t="s">
        <v>129</v>
      </c>
      <c r="E239" s="62">
        <v>45818</v>
      </c>
      <c r="F239" s="62">
        <v>46182</v>
      </c>
      <c r="G239" s="37" t="s">
        <v>367</v>
      </c>
      <c r="H239" s="36">
        <v>2054</v>
      </c>
      <c r="I239" s="63">
        <v>34390</v>
      </c>
      <c r="J239" s="24" t="s">
        <v>1015</v>
      </c>
      <c r="K239" s="63">
        <f t="shared" si="68"/>
        <v>45818</v>
      </c>
      <c r="L239" s="55">
        <f t="shared" si="69"/>
        <v>0.04</v>
      </c>
      <c r="M239" s="76">
        <v>0.22500000000000001</v>
      </c>
      <c r="N239" s="62">
        <v>45818</v>
      </c>
      <c r="O239" s="62">
        <v>46182</v>
      </c>
      <c r="P239" s="63"/>
      <c r="Q239" s="63"/>
      <c r="R239" s="82">
        <v>31</v>
      </c>
      <c r="S239" s="63" t="str">
        <f>VLOOKUP(R239,SA!$B$5:$C$11,2,1)</f>
        <v>0-35</v>
      </c>
      <c r="T239" s="38" t="s">
        <v>97</v>
      </c>
      <c r="U239" s="24" t="s">
        <v>115</v>
      </c>
      <c r="V239" s="24">
        <v>300000</v>
      </c>
      <c r="W239" s="39">
        <f t="shared" si="70"/>
        <v>0</v>
      </c>
      <c r="X239" s="29">
        <f t="shared" si="71"/>
        <v>0</v>
      </c>
      <c r="Y239" s="40">
        <f t="shared" si="72"/>
        <v>365</v>
      </c>
      <c r="Z239" s="38">
        <f t="shared" si="67"/>
        <v>46081</v>
      </c>
      <c r="AA239" s="41">
        <f t="shared" si="73"/>
        <v>264</v>
      </c>
      <c r="AB239" s="24" t="s">
        <v>125</v>
      </c>
      <c r="AC239" s="41">
        <f t="shared" si="74"/>
        <v>3874.2114000000001</v>
      </c>
      <c r="AD239" s="41">
        <v>1</v>
      </c>
      <c r="AE239" s="72">
        <f>IFERROR(INDEX(SA!$C$4:$E$11,MATCH(Details!S239,SA!$C$4:$C$11,0),MATCH(Details!V239,SA!$C$4:$E$4,0)),0)*Y239/(F239-E239+1)</f>
        <v>3283.23</v>
      </c>
      <c r="AF239" s="41">
        <f t="shared" si="75"/>
        <v>0</v>
      </c>
      <c r="AG239" s="41">
        <f t="shared" si="76"/>
        <v>0</v>
      </c>
      <c r="AH239" s="41">
        <f t="shared" si="77"/>
        <v>590.98140000000001</v>
      </c>
      <c r="AI239" s="60">
        <f t="shared" si="78"/>
        <v>131.32920000000001</v>
      </c>
      <c r="AJ239" s="60">
        <f t="shared" si="79"/>
        <v>738.72675000000004</v>
      </c>
      <c r="AK239" s="60">
        <f t="shared" si="80"/>
        <v>2374.7197808219175</v>
      </c>
      <c r="AL239" s="60">
        <f t="shared" si="81"/>
        <v>1745.4190389041094</v>
      </c>
      <c r="AM239" s="41">
        <f t="shared" si="82"/>
        <v>667.7550110958905</v>
      </c>
      <c r="AN239" s="42">
        <f t="shared" si="83"/>
        <v>45715</v>
      </c>
      <c r="AO239" s="43">
        <f t="shared" si="84"/>
        <v>3283.23</v>
      </c>
    </row>
    <row r="240" spans="1:41" s="24" customFormat="1" ht="15.75" customHeight="1" x14ac:dyDescent="0.35">
      <c r="A240" s="36" t="s">
        <v>27</v>
      </c>
      <c r="B240" s="36">
        <v>202506</v>
      </c>
      <c r="C240" s="24" t="s">
        <v>128</v>
      </c>
      <c r="D240" s="24" t="s">
        <v>129</v>
      </c>
      <c r="E240" s="62">
        <v>45818</v>
      </c>
      <c r="F240" s="62">
        <v>46182</v>
      </c>
      <c r="G240" s="37" t="s">
        <v>368</v>
      </c>
      <c r="H240" s="36">
        <v>2054</v>
      </c>
      <c r="I240" s="63">
        <v>42926</v>
      </c>
      <c r="J240" s="24" t="s">
        <v>1016</v>
      </c>
      <c r="K240" s="63">
        <f t="shared" si="68"/>
        <v>45818</v>
      </c>
      <c r="L240" s="55">
        <f t="shared" si="69"/>
        <v>0.04</v>
      </c>
      <c r="M240" s="76">
        <v>0.22500000000000001</v>
      </c>
      <c r="N240" s="62">
        <v>45818</v>
      </c>
      <c r="O240" s="62">
        <v>46182</v>
      </c>
      <c r="P240" s="63"/>
      <c r="Q240" s="63"/>
      <c r="R240" s="82">
        <v>7</v>
      </c>
      <c r="S240" s="63" t="str">
        <f>VLOOKUP(R240,SA!$B$5:$C$11,2,1)</f>
        <v>0-35</v>
      </c>
      <c r="T240" s="38" t="s">
        <v>96</v>
      </c>
      <c r="U240" s="24" t="s">
        <v>114</v>
      </c>
      <c r="V240" s="24">
        <v>300000</v>
      </c>
      <c r="W240" s="39">
        <f t="shared" si="70"/>
        <v>0</v>
      </c>
      <c r="X240" s="29">
        <f t="shared" si="71"/>
        <v>0</v>
      </c>
      <c r="Y240" s="40">
        <f t="shared" si="72"/>
        <v>365</v>
      </c>
      <c r="Z240" s="38">
        <f t="shared" si="67"/>
        <v>46081</v>
      </c>
      <c r="AA240" s="41">
        <f t="shared" si="73"/>
        <v>264</v>
      </c>
      <c r="AB240" s="24" t="s">
        <v>125</v>
      </c>
      <c r="AC240" s="41">
        <f t="shared" si="74"/>
        <v>3874.2114000000001</v>
      </c>
      <c r="AD240" s="41">
        <v>1</v>
      </c>
      <c r="AE240" s="72">
        <f>IFERROR(INDEX(SA!$C$4:$E$11,MATCH(Details!S240,SA!$C$4:$C$11,0),MATCH(Details!V240,SA!$C$4:$E$4,0)),0)*Y240/(F240-E240+1)</f>
        <v>3283.23</v>
      </c>
      <c r="AF240" s="41">
        <f t="shared" si="75"/>
        <v>0</v>
      </c>
      <c r="AG240" s="41">
        <f t="shared" si="76"/>
        <v>0</v>
      </c>
      <c r="AH240" s="41">
        <f t="shared" si="77"/>
        <v>590.98140000000001</v>
      </c>
      <c r="AI240" s="60">
        <f t="shared" si="78"/>
        <v>131.32920000000001</v>
      </c>
      <c r="AJ240" s="60">
        <f t="shared" si="79"/>
        <v>738.72675000000004</v>
      </c>
      <c r="AK240" s="60">
        <f t="shared" si="80"/>
        <v>2374.7197808219175</v>
      </c>
      <c r="AL240" s="60">
        <f t="shared" si="81"/>
        <v>1745.4190389041094</v>
      </c>
      <c r="AM240" s="41">
        <f t="shared" si="82"/>
        <v>667.7550110958905</v>
      </c>
      <c r="AN240" s="42">
        <f t="shared" si="83"/>
        <v>45715</v>
      </c>
      <c r="AO240" s="43">
        <f t="shared" si="84"/>
        <v>3283.23</v>
      </c>
    </row>
    <row r="241" spans="1:41" s="24" customFormat="1" ht="15.75" customHeight="1" x14ac:dyDescent="0.35">
      <c r="A241" s="36" t="s">
        <v>27</v>
      </c>
      <c r="B241" s="36">
        <v>202506</v>
      </c>
      <c r="C241" s="24" t="s">
        <v>128</v>
      </c>
      <c r="D241" s="24" t="s">
        <v>129</v>
      </c>
      <c r="E241" s="62">
        <v>45818</v>
      </c>
      <c r="F241" s="62">
        <v>46182</v>
      </c>
      <c r="G241" s="37" t="s">
        <v>369</v>
      </c>
      <c r="H241" s="36">
        <v>2055</v>
      </c>
      <c r="I241" s="63">
        <v>32365</v>
      </c>
      <c r="J241" s="24" t="s">
        <v>1017</v>
      </c>
      <c r="K241" s="63">
        <f t="shared" si="68"/>
        <v>45818</v>
      </c>
      <c r="L241" s="55">
        <f t="shared" si="69"/>
        <v>0.04</v>
      </c>
      <c r="M241" s="76">
        <v>0.22500000000000001</v>
      </c>
      <c r="N241" s="62">
        <v>45818</v>
      </c>
      <c r="O241" s="62">
        <v>46182</v>
      </c>
      <c r="P241" s="63"/>
      <c r="Q241" s="63"/>
      <c r="R241" s="82">
        <v>36</v>
      </c>
      <c r="S241" s="63" t="str">
        <f>VLOOKUP(R241,SA!$B$5:$C$11,2,1)</f>
        <v>36-45</v>
      </c>
      <c r="T241" s="38" t="s">
        <v>96</v>
      </c>
      <c r="U241" s="24" t="s">
        <v>56</v>
      </c>
      <c r="V241" s="24">
        <v>300000</v>
      </c>
      <c r="W241" s="39">
        <f t="shared" si="70"/>
        <v>300000</v>
      </c>
      <c r="X241" s="29">
        <f t="shared" si="71"/>
        <v>1</v>
      </c>
      <c r="Y241" s="40">
        <f t="shared" si="72"/>
        <v>365</v>
      </c>
      <c r="Z241" s="38">
        <f t="shared" si="67"/>
        <v>46081</v>
      </c>
      <c r="AA241" s="41">
        <f t="shared" si="73"/>
        <v>264</v>
      </c>
      <c r="AB241" s="24" t="s">
        <v>125</v>
      </c>
      <c r="AC241" s="41">
        <f t="shared" si="74"/>
        <v>5017.3245999999999</v>
      </c>
      <c r="AD241" s="41">
        <v>1</v>
      </c>
      <c r="AE241" s="72">
        <f>IFERROR(INDEX(SA!$C$4:$E$11,MATCH(Details!S241,SA!$C$4:$C$11,0),MATCH(Details!V241,SA!$C$4:$E$4,0)),0)*Y241/(F241-E241+1)</f>
        <v>4251.97</v>
      </c>
      <c r="AF241" s="41">
        <f t="shared" si="75"/>
        <v>0</v>
      </c>
      <c r="AG241" s="41">
        <f t="shared" si="76"/>
        <v>0</v>
      </c>
      <c r="AH241" s="41">
        <f t="shared" si="77"/>
        <v>765.3546</v>
      </c>
      <c r="AI241" s="60">
        <f t="shared" si="78"/>
        <v>170.0788</v>
      </c>
      <c r="AJ241" s="60">
        <f t="shared" si="79"/>
        <v>956.69325000000003</v>
      </c>
      <c r="AK241" s="60">
        <f t="shared" si="80"/>
        <v>3075.397479452055</v>
      </c>
      <c r="AL241" s="60">
        <f t="shared" si="81"/>
        <v>2260.4171473972606</v>
      </c>
      <c r="AM241" s="41">
        <f t="shared" si="82"/>
        <v>864.78080260273941</v>
      </c>
      <c r="AN241" s="42">
        <f t="shared" si="83"/>
        <v>45715</v>
      </c>
      <c r="AO241" s="43">
        <f t="shared" si="84"/>
        <v>4251.97</v>
      </c>
    </row>
    <row r="242" spans="1:41" s="24" customFormat="1" ht="15.75" customHeight="1" x14ac:dyDescent="0.35">
      <c r="A242" s="36" t="s">
        <v>27</v>
      </c>
      <c r="B242" s="36">
        <v>202506</v>
      </c>
      <c r="C242" s="24" t="s">
        <v>128</v>
      </c>
      <c r="D242" s="24" t="s">
        <v>129</v>
      </c>
      <c r="E242" s="62">
        <v>45818</v>
      </c>
      <c r="F242" s="62">
        <v>46182</v>
      </c>
      <c r="G242" s="37" t="s">
        <v>370</v>
      </c>
      <c r="H242" s="36">
        <v>2055</v>
      </c>
      <c r="I242" s="63">
        <v>33154</v>
      </c>
      <c r="J242" s="24" t="s">
        <v>1018</v>
      </c>
      <c r="K242" s="63">
        <f t="shared" si="68"/>
        <v>45818</v>
      </c>
      <c r="L242" s="55">
        <f t="shared" si="69"/>
        <v>0.04</v>
      </c>
      <c r="M242" s="76">
        <v>0.22500000000000001</v>
      </c>
      <c r="N242" s="62">
        <v>45818</v>
      </c>
      <c r="O242" s="62">
        <v>46182</v>
      </c>
      <c r="P242" s="63"/>
      <c r="Q242" s="63"/>
      <c r="R242" s="82">
        <v>34</v>
      </c>
      <c r="S242" s="63" t="str">
        <f>VLOOKUP(R242,SA!$B$5:$C$11,2,1)</f>
        <v>0-35</v>
      </c>
      <c r="T242" s="38" t="s">
        <v>97</v>
      </c>
      <c r="U242" s="24" t="s">
        <v>115</v>
      </c>
      <c r="V242" s="24">
        <v>300000</v>
      </c>
      <c r="W242" s="39">
        <f t="shared" si="70"/>
        <v>0</v>
      </c>
      <c r="X242" s="29">
        <f t="shared" si="71"/>
        <v>0</v>
      </c>
      <c r="Y242" s="40">
        <f t="shared" si="72"/>
        <v>365</v>
      </c>
      <c r="Z242" s="38">
        <f t="shared" si="67"/>
        <v>46081</v>
      </c>
      <c r="AA242" s="41">
        <f t="shared" si="73"/>
        <v>264</v>
      </c>
      <c r="AB242" s="24" t="s">
        <v>125</v>
      </c>
      <c r="AC242" s="41">
        <f t="shared" si="74"/>
        <v>3874.2114000000001</v>
      </c>
      <c r="AD242" s="41">
        <v>1</v>
      </c>
      <c r="AE242" s="72">
        <f>IFERROR(INDEX(SA!$C$4:$E$11,MATCH(Details!S242,SA!$C$4:$C$11,0),MATCH(Details!V242,SA!$C$4:$E$4,0)),0)*Y242/(F242-E242+1)</f>
        <v>3283.23</v>
      </c>
      <c r="AF242" s="41">
        <f t="shared" si="75"/>
        <v>0</v>
      </c>
      <c r="AG242" s="41">
        <f t="shared" si="76"/>
        <v>0</v>
      </c>
      <c r="AH242" s="41">
        <f t="shared" si="77"/>
        <v>590.98140000000001</v>
      </c>
      <c r="AI242" s="60">
        <f t="shared" si="78"/>
        <v>131.32920000000001</v>
      </c>
      <c r="AJ242" s="60">
        <f t="shared" si="79"/>
        <v>738.72675000000004</v>
      </c>
      <c r="AK242" s="60">
        <f t="shared" si="80"/>
        <v>2374.7197808219175</v>
      </c>
      <c r="AL242" s="60">
        <f t="shared" si="81"/>
        <v>1745.4190389041094</v>
      </c>
      <c r="AM242" s="41">
        <f t="shared" si="82"/>
        <v>667.7550110958905</v>
      </c>
      <c r="AN242" s="42">
        <f t="shared" si="83"/>
        <v>45715</v>
      </c>
      <c r="AO242" s="43">
        <f t="shared" si="84"/>
        <v>3283.23</v>
      </c>
    </row>
    <row r="243" spans="1:41" s="24" customFormat="1" ht="15.75" customHeight="1" x14ac:dyDescent="0.35">
      <c r="A243" s="36" t="s">
        <v>27</v>
      </c>
      <c r="B243" s="36">
        <v>202506</v>
      </c>
      <c r="C243" s="24" t="s">
        <v>128</v>
      </c>
      <c r="D243" s="24" t="s">
        <v>129</v>
      </c>
      <c r="E243" s="62">
        <v>45818</v>
      </c>
      <c r="F243" s="62">
        <v>46182</v>
      </c>
      <c r="G243" s="37" t="s">
        <v>371</v>
      </c>
      <c r="H243" s="36">
        <v>2055</v>
      </c>
      <c r="I243" s="63">
        <v>43969</v>
      </c>
      <c r="J243" s="24" t="s">
        <v>1019</v>
      </c>
      <c r="K243" s="63">
        <f t="shared" si="68"/>
        <v>45818</v>
      </c>
      <c r="L243" s="55">
        <f t="shared" si="69"/>
        <v>0.04</v>
      </c>
      <c r="M243" s="76">
        <v>0.22500000000000001</v>
      </c>
      <c r="N243" s="62">
        <v>45818</v>
      </c>
      <c r="O243" s="62">
        <v>46182</v>
      </c>
      <c r="P243" s="63"/>
      <c r="Q243" s="63"/>
      <c r="R243" s="82">
        <v>5</v>
      </c>
      <c r="S243" s="63" t="str">
        <f>VLOOKUP(R243,SA!$B$5:$C$11,2,1)</f>
        <v>0-35</v>
      </c>
      <c r="T243" s="38" t="s">
        <v>97</v>
      </c>
      <c r="U243" s="24" t="s">
        <v>113</v>
      </c>
      <c r="V243" s="24">
        <v>300000</v>
      </c>
      <c r="W243" s="39">
        <f t="shared" si="70"/>
        <v>0</v>
      </c>
      <c r="X243" s="29">
        <f t="shared" si="71"/>
        <v>0</v>
      </c>
      <c r="Y243" s="40">
        <f t="shared" si="72"/>
        <v>365</v>
      </c>
      <c r="Z243" s="38">
        <f t="shared" si="67"/>
        <v>46081</v>
      </c>
      <c r="AA243" s="41">
        <f t="shared" si="73"/>
        <v>264</v>
      </c>
      <c r="AB243" s="24" t="s">
        <v>125</v>
      </c>
      <c r="AC243" s="41">
        <f t="shared" si="74"/>
        <v>3874.2114000000001</v>
      </c>
      <c r="AD243" s="41">
        <v>1</v>
      </c>
      <c r="AE243" s="72">
        <f>IFERROR(INDEX(SA!$C$4:$E$11,MATCH(Details!S243,SA!$C$4:$C$11,0),MATCH(Details!V243,SA!$C$4:$E$4,0)),0)*Y243/(F243-E243+1)</f>
        <v>3283.23</v>
      </c>
      <c r="AF243" s="41">
        <f t="shared" si="75"/>
        <v>0</v>
      </c>
      <c r="AG243" s="41">
        <f t="shared" si="76"/>
        <v>0</v>
      </c>
      <c r="AH243" s="41">
        <f t="shared" si="77"/>
        <v>590.98140000000001</v>
      </c>
      <c r="AI243" s="60">
        <f t="shared" si="78"/>
        <v>131.32920000000001</v>
      </c>
      <c r="AJ243" s="60">
        <f t="shared" si="79"/>
        <v>738.72675000000004</v>
      </c>
      <c r="AK243" s="60">
        <f t="shared" si="80"/>
        <v>2374.7197808219175</v>
      </c>
      <c r="AL243" s="60">
        <f t="shared" si="81"/>
        <v>1745.4190389041094</v>
      </c>
      <c r="AM243" s="41">
        <f t="shared" si="82"/>
        <v>667.7550110958905</v>
      </c>
      <c r="AN243" s="42">
        <f t="shared" si="83"/>
        <v>45715</v>
      </c>
      <c r="AO243" s="43">
        <f t="shared" si="84"/>
        <v>3283.23</v>
      </c>
    </row>
    <row r="244" spans="1:41" s="24" customFormat="1" ht="15.75" customHeight="1" x14ac:dyDescent="0.35">
      <c r="A244" s="36" t="s">
        <v>27</v>
      </c>
      <c r="B244" s="36">
        <v>202506</v>
      </c>
      <c r="C244" s="24" t="s">
        <v>128</v>
      </c>
      <c r="D244" s="24" t="s">
        <v>129</v>
      </c>
      <c r="E244" s="62">
        <v>45818</v>
      </c>
      <c r="F244" s="62">
        <v>46182</v>
      </c>
      <c r="G244" s="37" t="s">
        <v>372</v>
      </c>
      <c r="H244" s="36">
        <v>2057</v>
      </c>
      <c r="I244" s="63">
        <v>30497</v>
      </c>
      <c r="J244" s="24" t="s">
        <v>1020</v>
      </c>
      <c r="K244" s="63">
        <f t="shared" si="68"/>
        <v>45818</v>
      </c>
      <c r="L244" s="55">
        <f t="shared" si="69"/>
        <v>0.04</v>
      </c>
      <c r="M244" s="76">
        <v>0.22500000000000001</v>
      </c>
      <c r="N244" s="62">
        <v>45818</v>
      </c>
      <c r="O244" s="62">
        <v>46182</v>
      </c>
      <c r="P244" s="63"/>
      <c r="Q244" s="63"/>
      <c r="R244" s="82">
        <v>41</v>
      </c>
      <c r="S244" s="63" t="str">
        <f>VLOOKUP(R244,SA!$B$5:$C$11,2,1)</f>
        <v>36-45</v>
      </c>
      <c r="T244" s="38" t="s">
        <v>96</v>
      </c>
      <c r="U244" s="24" t="s">
        <v>56</v>
      </c>
      <c r="V244" s="24">
        <v>300000</v>
      </c>
      <c r="W244" s="39">
        <f t="shared" si="70"/>
        <v>300000</v>
      </c>
      <c r="X244" s="29">
        <f t="shared" si="71"/>
        <v>1</v>
      </c>
      <c r="Y244" s="40">
        <f t="shared" si="72"/>
        <v>365</v>
      </c>
      <c r="Z244" s="38">
        <f t="shared" si="67"/>
        <v>46081</v>
      </c>
      <c r="AA244" s="41">
        <f t="shared" si="73"/>
        <v>264</v>
      </c>
      <c r="AB244" s="24" t="s">
        <v>125</v>
      </c>
      <c r="AC244" s="41">
        <f t="shared" si="74"/>
        <v>5017.3245999999999</v>
      </c>
      <c r="AD244" s="41">
        <v>1</v>
      </c>
      <c r="AE244" s="72">
        <f>IFERROR(INDEX(SA!$C$4:$E$11,MATCH(Details!S244,SA!$C$4:$C$11,0),MATCH(Details!V244,SA!$C$4:$E$4,0)),0)*Y244/(F244-E244+1)</f>
        <v>4251.97</v>
      </c>
      <c r="AF244" s="41">
        <f t="shared" si="75"/>
        <v>0</v>
      </c>
      <c r="AG244" s="41">
        <f t="shared" si="76"/>
        <v>0</v>
      </c>
      <c r="AH244" s="41">
        <f t="shared" si="77"/>
        <v>765.3546</v>
      </c>
      <c r="AI244" s="60">
        <f t="shared" si="78"/>
        <v>170.0788</v>
      </c>
      <c r="AJ244" s="60">
        <f t="shared" si="79"/>
        <v>956.69325000000003</v>
      </c>
      <c r="AK244" s="60">
        <f t="shared" si="80"/>
        <v>3075.397479452055</v>
      </c>
      <c r="AL244" s="60">
        <f t="shared" si="81"/>
        <v>2260.4171473972606</v>
      </c>
      <c r="AM244" s="41">
        <f t="shared" si="82"/>
        <v>864.78080260273941</v>
      </c>
      <c r="AN244" s="42">
        <f t="shared" si="83"/>
        <v>45715</v>
      </c>
      <c r="AO244" s="43">
        <f t="shared" si="84"/>
        <v>4251.97</v>
      </c>
    </row>
    <row r="245" spans="1:41" s="24" customFormat="1" ht="15.75" customHeight="1" x14ac:dyDescent="0.35">
      <c r="A245" s="36" t="s">
        <v>27</v>
      </c>
      <c r="B245" s="36">
        <v>202506</v>
      </c>
      <c r="C245" s="24" t="s">
        <v>128</v>
      </c>
      <c r="D245" s="24" t="s">
        <v>129</v>
      </c>
      <c r="E245" s="62">
        <v>45818</v>
      </c>
      <c r="F245" s="62">
        <v>46182</v>
      </c>
      <c r="G245" s="37" t="s">
        <v>373</v>
      </c>
      <c r="H245" s="36">
        <v>2057</v>
      </c>
      <c r="I245" s="63">
        <v>41910</v>
      </c>
      <c r="J245" s="24" t="s">
        <v>1021</v>
      </c>
      <c r="K245" s="63">
        <f t="shared" si="68"/>
        <v>45818</v>
      </c>
      <c r="L245" s="55">
        <f t="shared" si="69"/>
        <v>0.04</v>
      </c>
      <c r="M245" s="76">
        <v>0.22500000000000001</v>
      </c>
      <c r="N245" s="62">
        <v>45818</v>
      </c>
      <c r="O245" s="62">
        <v>46182</v>
      </c>
      <c r="P245" s="63"/>
      <c r="Q245" s="63"/>
      <c r="R245" s="82">
        <v>10</v>
      </c>
      <c r="S245" s="63" t="str">
        <f>VLOOKUP(R245,SA!$B$5:$C$11,2,1)</f>
        <v>0-35</v>
      </c>
      <c r="T245" s="38" t="s">
        <v>96</v>
      </c>
      <c r="U245" s="24" t="s">
        <v>114</v>
      </c>
      <c r="V245" s="24">
        <v>300000</v>
      </c>
      <c r="W245" s="39">
        <f t="shared" si="70"/>
        <v>0</v>
      </c>
      <c r="X245" s="29">
        <f t="shared" si="71"/>
        <v>0</v>
      </c>
      <c r="Y245" s="40">
        <f t="shared" si="72"/>
        <v>365</v>
      </c>
      <c r="Z245" s="38">
        <f t="shared" si="67"/>
        <v>46081</v>
      </c>
      <c r="AA245" s="41">
        <f t="shared" si="73"/>
        <v>264</v>
      </c>
      <c r="AB245" s="24" t="s">
        <v>125</v>
      </c>
      <c r="AC245" s="41">
        <f t="shared" si="74"/>
        <v>3874.2114000000001</v>
      </c>
      <c r="AD245" s="41">
        <v>1</v>
      </c>
      <c r="AE245" s="72">
        <f>IFERROR(INDEX(SA!$C$4:$E$11,MATCH(Details!S245,SA!$C$4:$C$11,0),MATCH(Details!V245,SA!$C$4:$E$4,0)),0)*Y245/(F245-E245+1)</f>
        <v>3283.23</v>
      </c>
      <c r="AF245" s="41">
        <f t="shared" si="75"/>
        <v>0</v>
      </c>
      <c r="AG245" s="41">
        <f t="shared" si="76"/>
        <v>0</v>
      </c>
      <c r="AH245" s="41">
        <f t="shared" si="77"/>
        <v>590.98140000000001</v>
      </c>
      <c r="AI245" s="60">
        <f t="shared" si="78"/>
        <v>131.32920000000001</v>
      </c>
      <c r="AJ245" s="60">
        <f t="shared" si="79"/>
        <v>738.72675000000004</v>
      </c>
      <c r="AK245" s="60">
        <f t="shared" si="80"/>
        <v>2374.7197808219175</v>
      </c>
      <c r="AL245" s="60">
        <f t="shared" si="81"/>
        <v>1745.4190389041094</v>
      </c>
      <c r="AM245" s="41">
        <f t="shared" si="82"/>
        <v>667.7550110958905</v>
      </c>
      <c r="AN245" s="42">
        <f t="shared" si="83"/>
        <v>45715</v>
      </c>
      <c r="AO245" s="43">
        <f t="shared" si="84"/>
        <v>3283.23</v>
      </c>
    </row>
    <row r="246" spans="1:41" s="24" customFormat="1" ht="15.75" customHeight="1" x14ac:dyDescent="0.35">
      <c r="A246" s="36" t="s">
        <v>27</v>
      </c>
      <c r="B246" s="36">
        <v>202506</v>
      </c>
      <c r="C246" s="24" t="s">
        <v>128</v>
      </c>
      <c r="D246" s="24" t="s">
        <v>129</v>
      </c>
      <c r="E246" s="62">
        <v>45818</v>
      </c>
      <c r="F246" s="62">
        <v>46182</v>
      </c>
      <c r="G246" s="37" t="s">
        <v>374</v>
      </c>
      <c r="H246" s="36">
        <v>2057</v>
      </c>
      <c r="I246" s="63">
        <v>34721</v>
      </c>
      <c r="J246" s="24" t="s">
        <v>1022</v>
      </c>
      <c r="K246" s="63">
        <f t="shared" si="68"/>
        <v>45818</v>
      </c>
      <c r="L246" s="55">
        <f t="shared" si="69"/>
        <v>0.04</v>
      </c>
      <c r="M246" s="76">
        <v>0.22500000000000001</v>
      </c>
      <c r="N246" s="62">
        <v>45818</v>
      </c>
      <c r="O246" s="62">
        <v>46182</v>
      </c>
      <c r="P246" s="63"/>
      <c r="Q246" s="63"/>
      <c r="R246" s="82">
        <v>30</v>
      </c>
      <c r="S246" s="63" t="str">
        <f>VLOOKUP(R246,SA!$B$5:$C$11,2,1)</f>
        <v>0-35</v>
      </c>
      <c r="T246" s="38" t="s">
        <v>97</v>
      </c>
      <c r="U246" s="24" t="s">
        <v>115</v>
      </c>
      <c r="V246" s="24">
        <v>300000</v>
      </c>
      <c r="W246" s="39">
        <f t="shared" si="70"/>
        <v>0</v>
      </c>
      <c r="X246" s="29">
        <f t="shared" si="71"/>
        <v>0</v>
      </c>
      <c r="Y246" s="40">
        <f t="shared" si="72"/>
        <v>365</v>
      </c>
      <c r="Z246" s="38">
        <f t="shared" si="67"/>
        <v>46081</v>
      </c>
      <c r="AA246" s="41">
        <f t="shared" si="73"/>
        <v>264</v>
      </c>
      <c r="AB246" s="24" t="s">
        <v>125</v>
      </c>
      <c r="AC246" s="41">
        <f t="shared" si="74"/>
        <v>3874.2114000000001</v>
      </c>
      <c r="AD246" s="41">
        <v>1</v>
      </c>
      <c r="AE246" s="72">
        <f>IFERROR(INDEX(SA!$C$4:$E$11,MATCH(Details!S246,SA!$C$4:$C$11,0),MATCH(Details!V246,SA!$C$4:$E$4,0)),0)*Y246/(F246-E246+1)</f>
        <v>3283.23</v>
      </c>
      <c r="AF246" s="41">
        <f t="shared" si="75"/>
        <v>0</v>
      </c>
      <c r="AG246" s="41">
        <f t="shared" si="76"/>
        <v>0</v>
      </c>
      <c r="AH246" s="41">
        <f t="shared" si="77"/>
        <v>590.98140000000001</v>
      </c>
      <c r="AI246" s="60">
        <f t="shared" si="78"/>
        <v>131.32920000000001</v>
      </c>
      <c r="AJ246" s="60">
        <f t="shared" si="79"/>
        <v>738.72675000000004</v>
      </c>
      <c r="AK246" s="60">
        <f t="shared" si="80"/>
        <v>2374.7197808219175</v>
      </c>
      <c r="AL246" s="60">
        <f t="shared" si="81"/>
        <v>1745.4190389041094</v>
      </c>
      <c r="AM246" s="41">
        <f t="shared" si="82"/>
        <v>667.7550110958905</v>
      </c>
      <c r="AN246" s="42">
        <f t="shared" si="83"/>
        <v>45715</v>
      </c>
      <c r="AO246" s="43">
        <f t="shared" si="84"/>
        <v>3283.23</v>
      </c>
    </row>
    <row r="247" spans="1:41" s="24" customFormat="1" ht="15.75" customHeight="1" x14ac:dyDescent="0.35">
      <c r="A247" s="36" t="s">
        <v>27</v>
      </c>
      <c r="B247" s="36">
        <v>202506</v>
      </c>
      <c r="C247" s="24" t="s">
        <v>128</v>
      </c>
      <c r="D247" s="24" t="s">
        <v>129</v>
      </c>
      <c r="E247" s="62">
        <v>45818</v>
      </c>
      <c r="F247" s="62">
        <v>46182</v>
      </c>
      <c r="G247" s="37" t="s">
        <v>375</v>
      </c>
      <c r="H247" s="36">
        <v>2057</v>
      </c>
      <c r="I247" s="63">
        <v>43920</v>
      </c>
      <c r="J247" s="24" t="s">
        <v>1023</v>
      </c>
      <c r="K247" s="63">
        <f t="shared" si="68"/>
        <v>45818</v>
      </c>
      <c r="L247" s="55">
        <f t="shared" si="69"/>
        <v>0.04</v>
      </c>
      <c r="M247" s="76">
        <v>0.22500000000000001</v>
      </c>
      <c r="N247" s="62">
        <v>45818</v>
      </c>
      <c r="O247" s="62">
        <v>46182</v>
      </c>
      <c r="P247" s="63"/>
      <c r="Q247" s="63"/>
      <c r="R247" s="82">
        <v>5</v>
      </c>
      <c r="S247" s="63" t="str">
        <f>VLOOKUP(R247,SA!$B$5:$C$11,2,1)</f>
        <v>0-35</v>
      </c>
      <c r="T247" s="38" t="s">
        <v>96</v>
      </c>
      <c r="U247" s="24" t="s">
        <v>114</v>
      </c>
      <c r="V247" s="24">
        <v>300000</v>
      </c>
      <c r="W247" s="39">
        <f t="shared" si="70"/>
        <v>0</v>
      </c>
      <c r="X247" s="29">
        <f t="shared" si="71"/>
        <v>0</v>
      </c>
      <c r="Y247" s="40">
        <f t="shared" si="72"/>
        <v>365</v>
      </c>
      <c r="Z247" s="38">
        <f t="shared" si="67"/>
        <v>46081</v>
      </c>
      <c r="AA247" s="41">
        <f t="shared" si="73"/>
        <v>264</v>
      </c>
      <c r="AB247" s="24" t="s">
        <v>125</v>
      </c>
      <c r="AC247" s="41">
        <f t="shared" si="74"/>
        <v>3874.2114000000001</v>
      </c>
      <c r="AD247" s="41">
        <v>1</v>
      </c>
      <c r="AE247" s="72">
        <f>IFERROR(INDEX(SA!$C$4:$E$11,MATCH(Details!S247,SA!$C$4:$C$11,0),MATCH(Details!V247,SA!$C$4:$E$4,0)),0)*Y247/(F247-E247+1)</f>
        <v>3283.23</v>
      </c>
      <c r="AF247" s="41">
        <f t="shared" si="75"/>
        <v>0</v>
      </c>
      <c r="AG247" s="41">
        <f t="shared" si="76"/>
        <v>0</v>
      </c>
      <c r="AH247" s="41">
        <f t="shared" si="77"/>
        <v>590.98140000000001</v>
      </c>
      <c r="AI247" s="60">
        <f t="shared" si="78"/>
        <v>131.32920000000001</v>
      </c>
      <c r="AJ247" s="60">
        <f t="shared" si="79"/>
        <v>738.72675000000004</v>
      </c>
      <c r="AK247" s="60">
        <f t="shared" si="80"/>
        <v>2374.7197808219175</v>
      </c>
      <c r="AL247" s="60">
        <f t="shared" si="81"/>
        <v>1745.4190389041094</v>
      </c>
      <c r="AM247" s="41">
        <f t="shared" si="82"/>
        <v>667.7550110958905</v>
      </c>
      <c r="AN247" s="42">
        <f t="shared" si="83"/>
        <v>45715</v>
      </c>
      <c r="AO247" s="43">
        <f t="shared" si="84"/>
        <v>3283.23</v>
      </c>
    </row>
    <row r="248" spans="1:41" s="24" customFormat="1" ht="15.75" customHeight="1" x14ac:dyDescent="0.35">
      <c r="A248" s="36" t="s">
        <v>27</v>
      </c>
      <c r="B248" s="36">
        <v>202506</v>
      </c>
      <c r="C248" s="24" t="s">
        <v>128</v>
      </c>
      <c r="D248" s="24" t="s">
        <v>129</v>
      </c>
      <c r="E248" s="62">
        <v>45818</v>
      </c>
      <c r="F248" s="62">
        <v>46182</v>
      </c>
      <c r="G248" s="37" t="s">
        <v>376</v>
      </c>
      <c r="H248" s="36">
        <v>2058</v>
      </c>
      <c r="I248" s="63">
        <v>32665</v>
      </c>
      <c r="J248" s="24" t="s">
        <v>1024</v>
      </c>
      <c r="K248" s="63">
        <f t="shared" si="68"/>
        <v>45818</v>
      </c>
      <c r="L248" s="55">
        <f t="shared" si="69"/>
        <v>0.04</v>
      </c>
      <c r="M248" s="76">
        <v>0.22500000000000001</v>
      </c>
      <c r="N248" s="62">
        <v>45818</v>
      </c>
      <c r="O248" s="62">
        <v>46182</v>
      </c>
      <c r="P248" s="63"/>
      <c r="Q248" s="63"/>
      <c r="R248" s="82">
        <v>36</v>
      </c>
      <c r="S248" s="63" t="str">
        <f>VLOOKUP(R248,SA!$B$5:$C$11,2,1)</f>
        <v>36-45</v>
      </c>
      <c r="T248" s="38" t="s">
        <v>96</v>
      </c>
      <c r="U248" s="24" t="s">
        <v>56</v>
      </c>
      <c r="V248" s="24">
        <v>300000</v>
      </c>
      <c r="W248" s="39">
        <f t="shared" si="70"/>
        <v>300000</v>
      </c>
      <c r="X248" s="29">
        <f t="shared" si="71"/>
        <v>1</v>
      </c>
      <c r="Y248" s="40">
        <f t="shared" si="72"/>
        <v>365</v>
      </c>
      <c r="Z248" s="38">
        <f t="shared" si="67"/>
        <v>46081</v>
      </c>
      <c r="AA248" s="41">
        <f t="shared" si="73"/>
        <v>264</v>
      </c>
      <c r="AB248" s="24" t="s">
        <v>125</v>
      </c>
      <c r="AC248" s="41">
        <f t="shared" si="74"/>
        <v>5017.3245999999999</v>
      </c>
      <c r="AD248" s="41">
        <v>1</v>
      </c>
      <c r="AE248" s="72">
        <f>IFERROR(INDEX(SA!$C$4:$E$11,MATCH(Details!S248,SA!$C$4:$C$11,0),MATCH(Details!V248,SA!$C$4:$E$4,0)),0)*Y248/(F248-E248+1)</f>
        <v>4251.97</v>
      </c>
      <c r="AF248" s="41">
        <f t="shared" si="75"/>
        <v>0</v>
      </c>
      <c r="AG248" s="41">
        <f t="shared" si="76"/>
        <v>0</v>
      </c>
      <c r="AH248" s="41">
        <f t="shared" si="77"/>
        <v>765.3546</v>
      </c>
      <c r="AI248" s="60">
        <f t="shared" si="78"/>
        <v>170.0788</v>
      </c>
      <c r="AJ248" s="60">
        <f t="shared" si="79"/>
        <v>956.69325000000003</v>
      </c>
      <c r="AK248" s="60">
        <f t="shared" si="80"/>
        <v>3075.397479452055</v>
      </c>
      <c r="AL248" s="60">
        <f t="shared" si="81"/>
        <v>2260.4171473972606</v>
      </c>
      <c r="AM248" s="41">
        <f t="shared" si="82"/>
        <v>864.78080260273941</v>
      </c>
      <c r="AN248" s="42">
        <f t="shared" si="83"/>
        <v>45715</v>
      </c>
      <c r="AO248" s="43">
        <f t="shared" si="84"/>
        <v>4251.97</v>
      </c>
    </row>
    <row r="249" spans="1:41" s="24" customFormat="1" ht="15.75" customHeight="1" x14ac:dyDescent="0.35">
      <c r="A249" s="36" t="s">
        <v>27</v>
      </c>
      <c r="B249" s="36">
        <v>202506</v>
      </c>
      <c r="C249" s="24" t="s">
        <v>128</v>
      </c>
      <c r="D249" s="24" t="s">
        <v>129</v>
      </c>
      <c r="E249" s="62">
        <v>45818</v>
      </c>
      <c r="F249" s="62">
        <v>46182</v>
      </c>
      <c r="G249" s="37" t="s">
        <v>377</v>
      </c>
      <c r="H249" s="36">
        <v>2058</v>
      </c>
      <c r="I249" s="63">
        <v>34891</v>
      </c>
      <c r="J249" s="24" t="s">
        <v>1025</v>
      </c>
      <c r="K249" s="63">
        <f t="shared" si="68"/>
        <v>45818</v>
      </c>
      <c r="L249" s="55">
        <f t="shared" si="69"/>
        <v>0.04</v>
      </c>
      <c r="M249" s="76">
        <v>0.22500000000000001</v>
      </c>
      <c r="N249" s="62">
        <v>45818</v>
      </c>
      <c r="O249" s="62">
        <v>46182</v>
      </c>
      <c r="P249" s="63"/>
      <c r="Q249" s="63"/>
      <c r="R249" s="82">
        <v>29</v>
      </c>
      <c r="S249" s="63" t="str">
        <f>VLOOKUP(R249,SA!$B$5:$C$11,2,1)</f>
        <v>0-35</v>
      </c>
      <c r="T249" s="38" t="s">
        <v>97</v>
      </c>
      <c r="U249" s="24" t="s">
        <v>115</v>
      </c>
      <c r="V249" s="24">
        <v>300000</v>
      </c>
      <c r="W249" s="39">
        <f t="shared" si="70"/>
        <v>0</v>
      </c>
      <c r="X249" s="29">
        <f t="shared" si="71"/>
        <v>0</v>
      </c>
      <c r="Y249" s="40">
        <f t="shared" si="72"/>
        <v>365</v>
      </c>
      <c r="Z249" s="38">
        <f t="shared" si="67"/>
        <v>46081</v>
      </c>
      <c r="AA249" s="41">
        <f t="shared" si="73"/>
        <v>264</v>
      </c>
      <c r="AB249" s="24" t="s">
        <v>125</v>
      </c>
      <c r="AC249" s="41">
        <f t="shared" si="74"/>
        <v>3874.2114000000001</v>
      </c>
      <c r="AD249" s="41">
        <v>1</v>
      </c>
      <c r="AE249" s="72">
        <f>IFERROR(INDEX(SA!$C$4:$E$11,MATCH(Details!S249,SA!$C$4:$C$11,0),MATCH(Details!V249,SA!$C$4:$E$4,0)),0)*Y249/(F249-E249+1)</f>
        <v>3283.23</v>
      </c>
      <c r="AF249" s="41">
        <f t="shared" si="75"/>
        <v>0</v>
      </c>
      <c r="AG249" s="41">
        <f t="shared" si="76"/>
        <v>0</v>
      </c>
      <c r="AH249" s="41">
        <f t="shared" si="77"/>
        <v>590.98140000000001</v>
      </c>
      <c r="AI249" s="60">
        <f t="shared" si="78"/>
        <v>131.32920000000001</v>
      </c>
      <c r="AJ249" s="60">
        <f t="shared" si="79"/>
        <v>738.72675000000004</v>
      </c>
      <c r="AK249" s="60">
        <f t="shared" si="80"/>
        <v>2374.7197808219175</v>
      </c>
      <c r="AL249" s="60">
        <f t="shared" si="81"/>
        <v>1745.4190389041094</v>
      </c>
      <c r="AM249" s="41">
        <f t="shared" si="82"/>
        <v>667.7550110958905</v>
      </c>
      <c r="AN249" s="42">
        <f t="shared" si="83"/>
        <v>45715</v>
      </c>
      <c r="AO249" s="43">
        <f t="shared" si="84"/>
        <v>3283.23</v>
      </c>
    </row>
    <row r="250" spans="1:41" s="24" customFormat="1" ht="15.75" customHeight="1" x14ac:dyDescent="0.35">
      <c r="A250" s="36" t="s">
        <v>27</v>
      </c>
      <c r="B250" s="36">
        <v>202506</v>
      </c>
      <c r="C250" s="24" t="s">
        <v>128</v>
      </c>
      <c r="D250" s="24" t="s">
        <v>129</v>
      </c>
      <c r="E250" s="62">
        <v>45818</v>
      </c>
      <c r="F250" s="62">
        <v>46182</v>
      </c>
      <c r="G250" s="37" t="s">
        <v>378</v>
      </c>
      <c r="H250" s="36">
        <v>2058</v>
      </c>
      <c r="I250" s="63">
        <v>45064</v>
      </c>
      <c r="J250" s="24" t="s">
        <v>1026</v>
      </c>
      <c r="K250" s="63">
        <f t="shared" si="68"/>
        <v>45818</v>
      </c>
      <c r="L250" s="55">
        <f t="shared" si="69"/>
        <v>0.04</v>
      </c>
      <c r="M250" s="76">
        <v>0.22500000000000001</v>
      </c>
      <c r="N250" s="62">
        <v>45818</v>
      </c>
      <c r="O250" s="62">
        <v>46182</v>
      </c>
      <c r="P250" s="63"/>
      <c r="Q250" s="63"/>
      <c r="R250" s="82">
        <v>2</v>
      </c>
      <c r="S250" s="63" t="str">
        <f>VLOOKUP(R250,SA!$B$5:$C$11,2,1)</f>
        <v>0-35</v>
      </c>
      <c r="T250" s="38" t="s">
        <v>97</v>
      </c>
      <c r="U250" s="24" t="s">
        <v>113</v>
      </c>
      <c r="V250" s="24">
        <v>300000</v>
      </c>
      <c r="W250" s="39">
        <f t="shared" si="70"/>
        <v>0</v>
      </c>
      <c r="X250" s="29">
        <f t="shared" si="71"/>
        <v>0</v>
      </c>
      <c r="Y250" s="40">
        <f t="shared" si="72"/>
        <v>365</v>
      </c>
      <c r="Z250" s="38">
        <f t="shared" si="67"/>
        <v>46081</v>
      </c>
      <c r="AA250" s="41">
        <f t="shared" si="73"/>
        <v>264</v>
      </c>
      <c r="AB250" s="24" t="s">
        <v>125</v>
      </c>
      <c r="AC250" s="41">
        <f t="shared" si="74"/>
        <v>3874.2114000000001</v>
      </c>
      <c r="AD250" s="41">
        <v>1</v>
      </c>
      <c r="AE250" s="72">
        <f>IFERROR(INDEX(SA!$C$4:$E$11,MATCH(Details!S250,SA!$C$4:$C$11,0),MATCH(Details!V250,SA!$C$4:$E$4,0)),0)*Y250/(F250-E250+1)</f>
        <v>3283.23</v>
      </c>
      <c r="AF250" s="41">
        <f t="shared" si="75"/>
        <v>0</v>
      </c>
      <c r="AG250" s="41">
        <f t="shared" si="76"/>
        <v>0</v>
      </c>
      <c r="AH250" s="41">
        <f t="shared" si="77"/>
        <v>590.98140000000001</v>
      </c>
      <c r="AI250" s="60">
        <f t="shared" si="78"/>
        <v>131.32920000000001</v>
      </c>
      <c r="AJ250" s="60">
        <f t="shared" si="79"/>
        <v>738.72675000000004</v>
      </c>
      <c r="AK250" s="60">
        <f t="shared" si="80"/>
        <v>2374.7197808219175</v>
      </c>
      <c r="AL250" s="60">
        <f t="shared" si="81"/>
        <v>1745.4190389041094</v>
      </c>
      <c r="AM250" s="41">
        <f t="shared" si="82"/>
        <v>667.7550110958905</v>
      </c>
      <c r="AN250" s="42">
        <f t="shared" si="83"/>
        <v>45715</v>
      </c>
      <c r="AO250" s="43">
        <f t="shared" si="84"/>
        <v>3283.23</v>
      </c>
    </row>
    <row r="251" spans="1:41" s="24" customFormat="1" ht="15.75" customHeight="1" x14ac:dyDescent="0.35">
      <c r="A251" s="36" t="s">
        <v>27</v>
      </c>
      <c r="B251" s="36">
        <v>202506</v>
      </c>
      <c r="C251" s="24" t="s">
        <v>128</v>
      </c>
      <c r="D251" s="24" t="s">
        <v>129</v>
      </c>
      <c r="E251" s="62">
        <v>45818</v>
      </c>
      <c r="F251" s="62">
        <v>46182</v>
      </c>
      <c r="G251" s="37" t="s">
        <v>379</v>
      </c>
      <c r="H251" s="36">
        <v>2061</v>
      </c>
      <c r="I251" s="63">
        <v>27262</v>
      </c>
      <c r="J251" s="24" t="s">
        <v>1027</v>
      </c>
      <c r="K251" s="63">
        <f t="shared" si="68"/>
        <v>45818</v>
      </c>
      <c r="L251" s="55">
        <f t="shared" si="69"/>
        <v>0.04</v>
      </c>
      <c r="M251" s="76">
        <v>0.22500000000000001</v>
      </c>
      <c r="N251" s="62">
        <v>45818</v>
      </c>
      <c r="O251" s="62">
        <v>46182</v>
      </c>
      <c r="P251" s="63"/>
      <c r="Q251" s="63"/>
      <c r="R251" s="82">
        <v>50</v>
      </c>
      <c r="S251" s="63" t="str">
        <f>VLOOKUP(R251,SA!$B$5:$C$11,2,1)</f>
        <v>46-55</v>
      </c>
      <c r="T251" s="38" t="s">
        <v>96</v>
      </c>
      <c r="U251" s="24" t="s">
        <v>56</v>
      </c>
      <c r="V251" s="24">
        <v>300000</v>
      </c>
      <c r="W251" s="39">
        <f t="shared" si="70"/>
        <v>300000</v>
      </c>
      <c r="X251" s="29">
        <f t="shared" si="71"/>
        <v>1</v>
      </c>
      <c r="Y251" s="40">
        <f t="shared" si="72"/>
        <v>365</v>
      </c>
      <c r="Z251" s="38">
        <f t="shared" si="67"/>
        <v>46081</v>
      </c>
      <c r="AA251" s="41">
        <f t="shared" si="73"/>
        <v>264</v>
      </c>
      <c r="AB251" s="24" t="s">
        <v>125</v>
      </c>
      <c r="AC251" s="41">
        <f t="shared" si="74"/>
        <v>9586.9925999999996</v>
      </c>
      <c r="AD251" s="41">
        <v>1</v>
      </c>
      <c r="AE251" s="72">
        <f>IFERROR(INDEX(SA!$C$4:$E$11,MATCH(Details!S251,SA!$C$4:$C$11,0),MATCH(Details!V251,SA!$C$4:$E$4,0)),0)*Y251/(F251-E251+1)</f>
        <v>8124.57</v>
      </c>
      <c r="AF251" s="41">
        <f t="shared" si="75"/>
        <v>0</v>
      </c>
      <c r="AG251" s="41">
        <f t="shared" si="76"/>
        <v>0</v>
      </c>
      <c r="AH251" s="41">
        <f t="shared" si="77"/>
        <v>1462.4225999999999</v>
      </c>
      <c r="AI251" s="60">
        <f t="shared" si="78"/>
        <v>324.9828</v>
      </c>
      <c r="AJ251" s="60">
        <f t="shared" si="79"/>
        <v>1828.0282500000001</v>
      </c>
      <c r="AK251" s="60">
        <f t="shared" si="80"/>
        <v>5876.4013150684932</v>
      </c>
      <c r="AL251" s="60">
        <f t="shared" si="81"/>
        <v>4319.1549665753428</v>
      </c>
      <c r="AM251" s="41">
        <f t="shared" si="82"/>
        <v>1652.4039834246571</v>
      </c>
      <c r="AN251" s="42">
        <f t="shared" si="83"/>
        <v>45715</v>
      </c>
      <c r="AO251" s="43">
        <f t="shared" si="84"/>
        <v>8124.57</v>
      </c>
    </row>
    <row r="252" spans="1:41" s="24" customFormat="1" ht="15.75" customHeight="1" x14ac:dyDescent="0.35">
      <c r="A252" s="36" t="s">
        <v>27</v>
      </c>
      <c r="B252" s="36">
        <v>202506</v>
      </c>
      <c r="C252" s="24" t="s">
        <v>128</v>
      </c>
      <c r="D252" s="24" t="s">
        <v>129</v>
      </c>
      <c r="E252" s="62">
        <v>45818</v>
      </c>
      <c r="F252" s="62">
        <v>46182</v>
      </c>
      <c r="G252" s="37" t="s">
        <v>380</v>
      </c>
      <c r="H252" s="36">
        <v>2061</v>
      </c>
      <c r="I252" s="63">
        <v>39715</v>
      </c>
      <c r="J252" s="24" t="s">
        <v>1028</v>
      </c>
      <c r="K252" s="63">
        <f t="shared" si="68"/>
        <v>45818</v>
      </c>
      <c r="L252" s="55">
        <f t="shared" si="69"/>
        <v>0.04</v>
      </c>
      <c r="M252" s="76">
        <v>0.22500000000000001</v>
      </c>
      <c r="N252" s="62">
        <v>45818</v>
      </c>
      <c r="O252" s="62">
        <v>46182</v>
      </c>
      <c r="P252" s="63"/>
      <c r="Q252" s="63"/>
      <c r="R252" s="82">
        <v>16</v>
      </c>
      <c r="S252" s="63" t="str">
        <f>VLOOKUP(R252,SA!$B$5:$C$11,2,1)</f>
        <v>0-35</v>
      </c>
      <c r="T252" s="38" t="s">
        <v>96</v>
      </c>
      <c r="U252" s="24" t="s">
        <v>114</v>
      </c>
      <c r="V252" s="24">
        <v>300000</v>
      </c>
      <c r="W252" s="39">
        <f t="shared" si="70"/>
        <v>0</v>
      </c>
      <c r="X252" s="29">
        <f t="shared" si="71"/>
        <v>0</v>
      </c>
      <c r="Y252" s="40">
        <f t="shared" si="72"/>
        <v>365</v>
      </c>
      <c r="Z252" s="38">
        <f t="shared" si="67"/>
        <v>46081</v>
      </c>
      <c r="AA252" s="41">
        <f t="shared" si="73"/>
        <v>264</v>
      </c>
      <c r="AB252" s="24" t="s">
        <v>125</v>
      </c>
      <c r="AC252" s="41">
        <f t="shared" si="74"/>
        <v>3874.2114000000001</v>
      </c>
      <c r="AD252" s="41">
        <v>1</v>
      </c>
      <c r="AE252" s="72">
        <f>IFERROR(INDEX(SA!$C$4:$E$11,MATCH(Details!S252,SA!$C$4:$C$11,0),MATCH(Details!V252,SA!$C$4:$E$4,0)),0)*Y252/(F252-E252+1)</f>
        <v>3283.23</v>
      </c>
      <c r="AF252" s="41">
        <f t="shared" si="75"/>
        <v>0</v>
      </c>
      <c r="AG252" s="41">
        <f t="shared" si="76"/>
        <v>0</v>
      </c>
      <c r="AH252" s="41">
        <f t="shared" si="77"/>
        <v>590.98140000000001</v>
      </c>
      <c r="AI252" s="60">
        <f t="shared" si="78"/>
        <v>131.32920000000001</v>
      </c>
      <c r="AJ252" s="60">
        <f t="shared" si="79"/>
        <v>738.72675000000004</v>
      </c>
      <c r="AK252" s="60">
        <f t="shared" si="80"/>
        <v>2374.7197808219175</v>
      </c>
      <c r="AL252" s="60">
        <f t="shared" si="81"/>
        <v>1745.4190389041094</v>
      </c>
      <c r="AM252" s="41">
        <f t="shared" si="82"/>
        <v>667.7550110958905</v>
      </c>
      <c r="AN252" s="42">
        <f t="shared" si="83"/>
        <v>45715</v>
      </c>
      <c r="AO252" s="43">
        <f t="shared" si="84"/>
        <v>3283.23</v>
      </c>
    </row>
    <row r="253" spans="1:41" s="24" customFormat="1" ht="15.75" customHeight="1" x14ac:dyDescent="0.35">
      <c r="A253" s="36" t="s">
        <v>27</v>
      </c>
      <c r="B253" s="36">
        <v>202506</v>
      </c>
      <c r="C253" s="24" t="s">
        <v>128</v>
      </c>
      <c r="D253" s="24" t="s">
        <v>129</v>
      </c>
      <c r="E253" s="62">
        <v>45818</v>
      </c>
      <c r="F253" s="62">
        <v>46182</v>
      </c>
      <c r="G253" s="37" t="s">
        <v>381</v>
      </c>
      <c r="H253" s="36">
        <v>2061</v>
      </c>
      <c r="I253" s="63">
        <v>29544</v>
      </c>
      <c r="J253" s="24" t="s">
        <v>1029</v>
      </c>
      <c r="K253" s="63">
        <f t="shared" si="68"/>
        <v>45818</v>
      </c>
      <c r="L253" s="55">
        <f t="shared" si="69"/>
        <v>0.04</v>
      </c>
      <c r="M253" s="76">
        <v>0.22500000000000001</v>
      </c>
      <c r="N253" s="62">
        <v>45818</v>
      </c>
      <c r="O253" s="62">
        <v>46182</v>
      </c>
      <c r="P253" s="63"/>
      <c r="Q253" s="63"/>
      <c r="R253" s="82">
        <v>44</v>
      </c>
      <c r="S253" s="63" t="str">
        <f>VLOOKUP(R253,SA!$B$5:$C$11,2,1)</f>
        <v>36-45</v>
      </c>
      <c r="T253" s="38" t="s">
        <v>97</v>
      </c>
      <c r="U253" s="24" t="s">
        <v>115</v>
      </c>
      <c r="V253" s="24">
        <v>300000</v>
      </c>
      <c r="W253" s="39">
        <f t="shared" si="70"/>
        <v>0</v>
      </c>
      <c r="X253" s="29">
        <f t="shared" si="71"/>
        <v>0</v>
      </c>
      <c r="Y253" s="40">
        <f t="shared" si="72"/>
        <v>365</v>
      </c>
      <c r="Z253" s="38">
        <f t="shared" si="67"/>
        <v>46081</v>
      </c>
      <c r="AA253" s="41">
        <f t="shared" si="73"/>
        <v>264</v>
      </c>
      <c r="AB253" s="24" t="s">
        <v>125</v>
      </c>
      <c r="AC253" s="41">
        <f t="shared" si="74"/>
        <v>5017.3245999999999</v>
      </c>
      <c r="AD253" s="41">
        <v>1</v>
      </c>
      <c r="AE253" s="72">
        <f>IFERROR(INDEX(SA!$C$4:$E$11,MATCH(Details!S253,SA!$C$4:$C$11,0),MATCH(Details!V253,SA!$C$4:$E$4,0)),0)*Y253/(F253-E253+1)</f>
        <v>4251.97</v>
      </c>
      <c r="AF253" s="41">
        <f t="shared" si="75"/>
        <v>0</v>
      </c>
      <c r="AG253" s="41">
        <f t="shared" si="76"/>
        <v>0</v>
      </c>
      <c r="AH253" s="41">
        <f t="shared" si="77"/>
        <v>765.3546</v>
      </c>
      <c r="AI253" s="60">
        <f t="shared" si="78"/>
        <v>170.0788</v>
      </c>
      <c r="AJ253" s="60">
        <f t="shared" si="79"/>
        <v>956.69325000000003</v>
      </c>
      <c r="AK253" s="60">
        <f t="shared" si="80"/>
        <v>3075.397479452055</v>
      </c>
      <c r="AL253" s="60">
        <f t="shared" si="81"/>
        <v>2260.4171473972606</v>
      </c>
      <c r="AM253" s="41">
        <f t="shared" si="82"/>
        <v>864.78080260273941</v>
      </c>
      <c r="AN253" s="42">
        <f t="shared" si="83"/>
        <v>45715</v>
      </c>
      <c r="AO253" s="43">
        <f t="shared" si="84"/>
        <v>4251.97</v>
      </c>
    </row>
    <row r="254" spans="1:41" s="24" customFormat="1" ht="15.75" customHeight="1" x14ac:dyDescent="0.35">
      <c r="A254" s="36" t="s">
        <v>27</v>
      </c>
      <c r="B254" s="36">
        <v>202506</v>
      </c>
      <c r="C254" s="24" t="s">
        <v>128</v>
      </c>
      <c r="D254" s="24" t="s">
        <v>129</v>
      </c>
      <c r="E254" s="62">
        <v>45818</v>
      </c>
      <c r="F254" s="62">
        <v>46182</v>
      </c>
      <c r="G254" s="37" t="s">
        <v>382</v>
      </c>
      <c r="H254" s="36">
        <v>2061</v>
      </c>
      <c r="I254" s="63">
        <v>37044</v>
      </c>
      <c r="J254" s="24" t="s">
        <v>1030</v>
      </c>
      <c r="K254" s="63">
        <f t="shared" si="68"/>
        <v>45818</v>
      </c>
      <c r="L254" s="55">
        <f t="shared" si="69"/>
        <v>0.04</v>
      </c>
      <c r="M254" s="76">
        <v>0.22500000000000001</v>
      </c>
      <c r="N254" s="62">
        <v>45818</v>
      </c>
      <c r="O254" s="62">
        <v>46182</v>
      </c>
      <c r="P254" s="63"/>
      <c r="Q254" s="63"/>
      <c r="R254" s="82">
        <v>24</v>
      </c>
      <c r="S254" s="63" t="str">
        <f>VLOOKUP(R254,SA!$B$5:$C$11,2,1)</f>
        <v>0-35</v>
      </c>
      <c r="T254" s="38" t="s">
        <v>97</v>
      </c>
      <c r="U254" s="24" t="s">
        <v>113</v>
      </c>
      <c r="V254" s="24">
        <v>300000</v>
      </c>
      <c r="W254" s="39">
        <f t="shared" si="70"/>
        <v>0</v>
      </c>
      <c r="X254" s="29">
        <f t="shared" si="71"/>
        <v>0</v>
      </c>
      <c r="Y254" s="40">
        <f t="shared" si="72"/>
        <v>365</v>
      </c>
      <c r="Z254" s="38">
        <f t="shared" si="67"/>
        <v>46081</v>
      </c>
      <c r="AA254" s="41">
        <f t="shared" si="73"/>
        <v>264</v>
      </c>
      <c r="AB254" s="24" t="s">
        <v>125</v>
      </c>
      <c r="AC254" s="41">
        <f t="shared" si="74"/>
        <v>3874.2114000000001</v>
      </c>
      <c r="AD254" s="41">
        <v>1</v>
      </c>
      <c r="AE254" s="72">
        <f>IFERROR(INDEX(SA!$C$4:$E$11,MATCH(Details!S254,SA!$C$4:$C$11,0),MATCH(Details!V254,SA!$C$4:$E$4,0)),0)*Y254/(F254-E254+1)</f>
        <v>3283.23</v>
      </c>
      <c r="AF254" s="41">
        <f t="shared" si="75"/>
        <v>0</v>
      </c>
      <c r="AG254" s="41">
        <f t="shared" si="76"/>
        <v>0</v>
      </c>
      <c r="AH254" s="41">
        <f t="shared" si="77"/>
        <v>590.98140000000001</v>
      </c>
      <c r="AI254" s="60">
        <f t="shared" si="78"/>
        <v>131.32920000000001</v>
      </c>
      <c r="AJ254" s="60">
        <f t="shared" si="79"/>
        <v>738.72675000000004</v>
      </c>
      <c r="AK254" s="60">
        <f t="shared" si="80"/>
        <v>2374.7197808219175</v>
      </c>
      <c r="AL254" s="60">
        <f t="shared" si="81"/>
        <v>1745.4190389041094</v>
      </c>
      <c r="AM254" s="41">
        <f t="shared" si="82"/>
        <v>667.7550110958905</v>
      </c>
      <c r="AN254" s="42">
        <f t="shared" si="83"/>
        <v>45715</v>
      </c>
      <c r="AO254" s="43">
        <f t="shared" si="84"/>
        <v>3283.23</v>
      </c>
    </row>
    <row r="255" spans="1:41" s="24" customFormat="1" ht="15.75" customHeight="1" x14ac:dyDescent="0.35">
      <c r="A255" s="36" t="s">
        <v>27</v>
      </c>
      <c r="B255" s="36">
        <v>202506</v>
      </c>
      <c r="C255" s="24" t="s">
        <v>128</v>
      </c>
      <c r="D255" s="24" t="s">
        <v>129</v>
      </c>
      <c r="E255" s="62">
        <v>45818</v>
      </c>
      <c r="F255" s="62">
        <v>46182</v>
      </c>
      <c r="G255" s="37" t="s">
        <v>383</v>
      </c>
      <c r="H255" s="36">
        <v>2062</v>
      </c>
      <c r="I255" s="63">
        <v>26411</v>
      </c>
      <c r="J255" s="24" t="s">
        <v>1031</v>
      </c>
      <c r="K255" s="63">
        <f t="shared" si="68"/>
        <v>45818</v>
      </c>
      <c r="L255" s="55">
        <f t="shared" si="69"/>
        <v>0.04</v>
      </c>
      <c r="M255" s="76">
        <v>0.22500000000000001</v>
      </c>
      <c r="N255" s="62">
        <v>45818</v>
      </c>
      <c r="O255" s="62">
        <v>46182</v>
      </c>
      <c r="P255" s="63"/>
      <c r="Q255" s="63"/>
      <c r="R255" s="82">
        <v>53</v>
      </c>
      <c r="S255" s="63" t="str">
        <f>VLOOKUP(R255,SA!$B$5:$C$11,2,1)</f>
        <v>46-55</v>
      </c>
      <c r="T255" s="38" t="s">
        <v>96</v>
      </c>
      <c r="U255" s="24" t="s">
        <v>56</v>
      </c>
      <c r="V255" s="24">
        <v>300000</v>
      </c>
      <c r="W255" s="39">
        <f t="shared" si="70"/>
        <v>300000</v>
      </c>
      <c r="X255" s="29">
        <f t="shared" si="71"/>
        <v>1</v>
      </c>
      <c r="Y255" s="40">
        <f t="shared" si="72"/>
        <v>365</v>
      </c>
      <c r="Z255" s="38">
        <f t="shared" si="67"/>
        <v>46081</v>
      </c>
      <c r="AA255" s="41">
        <f t="shared" si="73"/>
        <v>264</v>
      </c>
      <c r="AB255" s="24" t="s">
        <v>125</v>
      </c>
      <c r="AC255" s="41">
        <f t="shared" si="74"/>
        <v>9586.9925999999996</v>
      </c>
      <c r="AD255" s="41">
        <v>1</v>
      </c>
      <c r="AE255" s="72">
        <f>IFERROR(INDEX(SA!$C$4:$E$11,MATCH(Details!S255,SA!$C$4:$C$11,0),MATCH(Details!V255,SA!$C$4:$E$4,0)),0)*Y255/(F255-E255+1)</f>
        <v>8124.57</v>
      </c>
      <c r="AF255" s="41">
        <f t="shared" si="75"/>
        <v>0</v>
      </c>
      <c r="AG255" s="41">
        <f t="shared" si="76"/>
        <v>0</v>
      </c>
      <c r="AH255" s="41">
        <f t="shared" si="77"/>
        <v>1462.4225999999999</v>
      </c>
      <c r="AI255" s="60">
        <f t="shared" si="78"/>
        <v>324.9828</v>
      </c>
      <c r="AJ255" s="60">
        <f t="shared" si="79"/>
        <v>1828.0282500000001</v>
      </c>
      <c r="AK255" s="60">
        <f t="shared" si="80"/>
        <v>5876.4013150684932</v>
      </c>
      <c r="AL255" s="60">
        <f t="shared" si="81"/>
        <v>4319.1549665753428</v>
      </c>
      <c r="AM255" s="41">
        <f t="shared" si="82"/>
        <v>1652.4039834246571</v>
      </c>
      <c r="AN255" s="42">
        <f t="shared" si="83"/>
        <v>45715</v>
      </c>
      <c r="AO255" s="43">
        <f t="shared" si="84"/>
        <v>8124.57</v>
      </c>
    </row>
    <row r="256" spans="1:41" s="24" customFormat="1" ht="15.75" customHeight="1" x14ac:dyDescent="0.35">
      <c r="A256" s="36" t="s">
        <v>27</v>
      </c>
      <c r="B256" s="36">
        <v>202506</v>
      </c>
      <c r="C256" s="24" t="s">
        <v>128</v>
      </c>
      <c r="D256" s="24" t="s">
        <v>129</v>
      </c>
      <c r="E256" s="62">
        <v>45818</v>
      </c>
      <c r="F256" s="62">
        <v>46182</v>
      </c>
      <c r="G256" s="37" t="s">
        <v>384</v>
      </c>
      <c r="H256" s="36">
        <v>2062</v>
      </c>
      <c r="I256" s="63">
        <v>27843</v>
      </c>
      <c r="J256" s="24" t="s">
        <v>1032</v>
      </c>
      <c r="K256" s="63">
        <f t="shared" si="68"/>
        <v>45818</v>
      </c>
      <c r="L256" s="55">
        <f t="shared" si="69"/>
        <v>0.04</v>
      </c>
      <c r="M256" s="76">
        <v>0.22500000000000001</v>
      </c>
      <c r="N256" s="62">
        <v>45818</v>
      </c>
      <c r="O256" s="62">
        <v>46182</v>
      </c>
      <c r="P256" s="63"/>
      <c r="Q256" s="63"/>
      <c r="R256" s="82">
        <v>49</v>
      </c>
      <c r="S256" s="63" t="str">
        <f>VLOOKUP(R256,SA!$B$5:$C$11,2,1)</f>
        <v>46-55</v>
      </c>
      <c r="T256" s="38" t="s">
        <v>97</v>
      </c>
      <c r="U256" s="24" t="s">
        <v>115</v>
      </c>
      <c r="V256" s="24">
        <v>300000</v>
      </c>
      <c r="W256" s="39">
        <f t="shared" si="70"/>
        <v>0</v>
      </c>
      <c r="X256" s="29">
        <f t="shared" si="71"/>
        <v>0</v>
      </c>
      <c r="Y256" s="40">
        <f t="shared" si="72"/>
        <v>365</v>
      </c>
      <c r="Z256" s="38">
        <f t="shared" si="67"/>
        <v>46081</v>
      </c>
      <c r="AA256" s="41">
        <f t="shared" si="73"/>
        <v>264</v>
      </c>
      <c r="AB256" s="24" t="s">
        <v>125</v>
      </c>
      <c r="AC256" s="41">
        <f t="shared" si="74"/>
        <v>9586.9925999999996</v>
      </c>
      <c r="AD256" s="41">
        <v>1</v>
      </c>
      <c r="AE256" s="72">
        <f>IFERROR(INDEX(SA!$C$4:$E$11,MATCH(Details!S256,SA!$C$4:$C$11,0),MATCH(Details!V256,SA!$C$4:$E$4,0)),0)*Y256/(F256-E256+1)</f>
        <v>8124.57</v>
      </c>
      <c r="AF256" s="41">
        <f t="shared" si="75"/>
        <v>0</v>
      </c>
      <c r="AG256" s="41">
        <f t="shared" si="76"/>
        <v>0</v>
      </c>
      <c r="AH256" s="41">
        <f t="shared" si="77"/>
        <v>1462.4225999999999</v>
      </c>
      <c r="AI256" s="60">
        <f t="shared" si="78"/>
        <v>324.9828</v>
      </c>
      <c r="AJ256" s="60">
        <f t="shared" si="79"/>
        <v>1828.0282500000001</v>
      </c>
      <c r="AK256" s="60">
        <f t="shared" si="80"/>
        <v>5876.4013150684932</v>
      </c>
      <c r="AL256" s="60">
        <f t="shared" si="81"/>
        <v>4319.1549665753428</v>
      </c>
      <c r="AM256" s="41">
        <f t="shared" si="82"/>
        <v>1652.4039834246571</v>
      </c>
      <c r="AN256" s="42">
        <f t="shared" si="83"/>
        <v>45715</v>
      </c>
      <c r="AO256" s="43">
        <f t="shared" si="84"/>
        <v>8124.57</v>
      </c>
    </row>
    <row r="257" spans="1:41" s="24" customFormat="1" ht="15.75" customHeight="1" x14ac:dyDescent="0.35">
      <c r="A257" s="36" t="s">
        <v>27</v>
      </c>
      <c r="B257" s="36">
        <v>202506</v>
      </c>
      <c r="C257" s="24" t="s">
        <v>128</v>
      </c>
      <c r="D257" s="24" t="s">
        <v>129</v>
      </c>
      <c r="E257" s="62">
        <v>45818</v>
      </c>
      <c r="F257" s="62">
        <v>46182</v>
      </c>
      <c r="G257" s="37" t="s">
        <v>385</v>
      </c>
      <c r="H257" s="36">
        <v>2062</v>
      </c>
      <c r="I257" s="63">
        <v>39232</v>
      </c>
      <c r="J257" s="24" t="s">
        <v>1033</v>
      </c>
      <c r="K257" s="63">
        <f t="shared" si="68"/>
        <v>45818</v>
      </c>
      <c r="L257" s="55">
        <f t="shared" si="69"/>
        <v>0.04</v>
      </c>
      <c r="M257" s="76">
        <v>0.22500000000000001</v>
      </c>
      <c r="N257" s="62">
        <v>45818</v>
      </c>
      <c r="O257" s="62">
        <v>46182</v>
      </c>
      <c r="P257" s="63"/>
      <c r="Q257" s="63"/>
      <c r="R257" s="82">
        <v>18</v>
      </c>
      <c r="S257" s="63" t="str">
        <f>VLOOKUP(R257,SA!$B$5:$C$11,2,1)</f>
        <v>0-35</v>
      </c>
      <c r="T257" s="38" t="s">
        <v>96</v>
      </c>
      <c r="U257" s="24" t="s">
        <v>114</v>
      </c>
      <c r="V257" s="24">
        <v>300000</v>
      </c>
      <c r="W257" s="39">
        <f t="shared" si="70"/>
        <v>0</v>
      </c>
      <c r="X257" s="29">
        <f t="shared" si="71"/>
        <v>0</v>
      </c>
      <c r="Y257" s="40">
        <f t="shared" si="72"/>
        <v>365</v>
      </c>
      <c r="Z257" s="38">
        <f t="shared" si="67"/>
        <v>46081</v>
      </c>
      <c r="AA257" s="41">
        <f t="shared" si="73"/>
        <v>264</v>
      </c>
      <c r="AB257" s="24" t="s">
        <v>125</v>
      </c>
      <c r="AC257" s="41">
        <f t="shared" si="74"/>
        <v>3874.2114000000001</v>
      </c>
      <c r="AD257" s="41">
        <v>1</v>
      </c>
      <c r="AE257" s="72">
        <f>IFERROR(INDEX(SA!$C$4:$E$11,MATCH(Details!S257,SA!$C$4:$C$11,0),MATCH(Details!V257,SA!$C$4:$E$4,0)),0)*Y257/(F257-E257+1)</f>
        <v>3283.23</v>
      </c>
      <c r="AF257" s="41">
        <f t="shared" si="75"/>
        <v>0</v>
      </c>
      <c r="AG257" s="41">
        <f t="shared" si="76"/>
        <v>0</v>
      </c>
      <c r="AH257" s="41">
        <f t="shared" si="77"/>
        <v>590.98140000000001</v>
      </c>
      <c r="AI257" s="60">
        <f t="shared" si="78"/>
        <v>131.32920000000001</v>
      </c>
      <c r="AJ257" s="60">
        <f t="shared" si="79"/>
        <v>738.72675000000004</v>
      </c>
      <c r="AK257" s="60">
        <f t="shared" si="80"/>
        <v>2374.7197808219175</v>
      </c>
      <c r="AL257" s="60">
        <f t="shared" si="81"/>
        <v>1745.4190389041094</v>
      </c>
      <c r="AM257" s="41">
        <f t="shared" si="82"/>
        <v>667.7550110958905</v>
      </c>
      <c r="AN257" s="42">
        <f t="shared" si="83"/>
        <v>45715</v>
      </c>
      <c r="AO257" s="43">
        <f t="shared" si="84"/>
        <v>3283.23</v>
      </c>
    </row>
    <row r="258" spans="1:41" s="24" customFormat="1" ht="15.75" customHeight="1" x14ac:dyDescent="0.35">
      <c r="A258" s="36" t="s">
        <v>27</v>
      </c>
      <c r="B258" s="36">
        <v>202506</v>
      </c>
      <c r="C258" s="24" t="s">
        <v>128</v>
      </c>
      <c r="D258" s="24" t="s">
        <v>129</v>
      </c>
      <c r="E258" s="62">
        <v>45818</v>
      </c>
      <c r="F258" s="62">
        <v>46182</v>
      </c>
      <c r="G258" s="37" t="s">
        <v>386</v>
      </c>
      <c r="H258" s="36">
        <v>2067</v>
      </c>
      <c r="I258" s="63">
        <v>27929</v>
      </c>
      <c r="J258" s="24" t="s">
        <v>1034</v>
      </c>
      <c r="K258" s="63">
        <f t="shared" si="68"/>
        <v>45818</v>
      </c>
      <c r="L258" s="55">
        <f t="shared" si="69"/>
        <v>0.04</v>
      </c>
      <c r="M258" s="76">
        <v>0.22500000000000001</v>
      </c>
      <c r="N258" s="62">
        <v>45818</v>
      </c>
      <c r="O258" s="62">
        <v>46182</v>
      </c>
      <c r="P258" s="63"/>
      <c r="Q258" s="63"/>
      <c r="R258" s="82">
        <v>48</v>
      </c>
      <c r="S258" s="63" t="str">
        <f>VLOOKUP(R258,SA!$B$5:$C$11,2,1)</f>
        <v>46-55</v>
      </c>
      <c r="T258" s="38" t="s">
        <v>96</v>
      </c>
      <c r="U258" s="24" t="s">
        <v>56</v>
      </c>
      <c r="V258" s="24">
        <v>300000</v>
      </c>
      <c r="W258" s="39">
        <f t="shared" si="70"/>
        <v>300000</v>
      </c>
      <c r="X258" s="29">
        <f t="shared" si="71"/>
        <v>1</v>
      </c>
      <c r="Y258" s="40">
        <f t="shared" si="72"/>
        <v>365</v>
      </c>
      <c r="Z258" s="38">
        <f t="shared" si="67"/>
        <v>46081</v>
      </c>
      <c r="AA258" s="41">
        <f t="shared" si="73"/>
        <v>264</v>
      </c>
      <c r="AB258" s="24" t="s">
        <v>125</v>
      </c>
      <c r="AC258" s="41">
        <f t="shared" si="74"/>
        <v>9586.9925999999996</v>
      </c>
      <c r="AD258" s="41">
        <v>1</v>
      </c>
      <c r="AE258" s="72">
        <f>IFERROR(INDEX(SA!$C$4:$E$11,MATCH(Details!S258,SA!$C$4:$C$11,0),MATCH(Details!V258,SA!$C$4:$E$4,0)),0)*Y258/(F258-E258+1)</f>
        <v>8124.57</v>
      </c>
      <c r="AF258" s="41">
        <f t="shared" si="75"/>
        <v>0</v>
      </c>
      <c r="AG258" s="41">
        <f t="shared" si="76"/>
        <v>0</v>
      </c>
      <c r="AH258" s="41">
        <f t="shared" si="77"/>
        <v>1462.4225999999999</v>
      </c>
      <c r="AI258" s="60">
        <f t="shared" si="78"/>
        <v>324.9828</v>
      </c>
      <c r="AJ258" s="60">
        <f t="shared" si="79"/>
        <v>1828.0282500000001</v>
      </c>
      <c r="AK258" s="60">
        <f t="shared" si="80"/>
        <v>5876.4013150684932</v>
      </c>
      <c r="AL258" s="60">
        <f t="shared" si="81"/>
        <v>4319.1549665753428</v>
      </c>
      <c r="AM258" s="41">
        <f t="shared" si="82"/>
        <v>1652.4039834246571</v>
      </c>
      <c r="AN258" s="42">
        <f t="shared" si="83"/>
        <v>45715</v>
      </c>
      <c r="AO258" s="43">
        <f t="shared" si="84"/>
        <v>8124.57</v>
      </c>
    </row>
    <row r="259" spans="1:41" s="24" customFormat="1" ht="15.75" customHeight="1" x14ac:dyDescent="0.35">
      <c r="A259" s="36" t="s">
        <v>27</v>
      </c>
      <c r="B259" s="36">
        <v>202506</v>
      </c>
      <c r="C259" s="24" t="s">
        <v>128</v>
      </c>
      <c r="D259" s="24" t="s">
        <v>129</v>
      </c>
      <c r="E259" s="62">
        <v>45818</v>
      </c>
      <c r="F259" s="62">
        <v>46182</v>
      </c>
      <c r="G259" s="37" t="s">
        <v>387</v>
      </c>
      <c r="H259" s="36">
        <v>2067</v>
      </c>
      <c r="I259" s="63">
        <v>31204</v>
      </c>
      <c r="J259" s="24" t="s">
        <v>1035</v>
      </c>
      <c r="K259" s="63">
        <f t="shared" si="68"/>
        <v>45818</v>
      </c>
      <c r="L259" s="55">
        <f t="shared" si="69"/>
        <v>0.04</v>
      </c>
      <c r="M259" s="76">
        <v>0.22500000000000001</v>
      </c>
      <c r="N259" s="62">
        <v>45818</v>
      </c>
      <c r="O259" s="62">
        <v>46182</v>
      </c>
      <c r="P259" s="63"/>
      <c r="Q259" s="63"/>
      <c r="R259" s="82">
        <v>40</v>
      </c>
      <c r="S259" s="63" t="str">
        <f>VLOOKUP(R259,SA!$B$5:$C$11,2,1)</f>
        <v>36-45</v>
      </c>
      <c r="T259" s="38" t="s">
        <v>97</v>
      </c>
      <c r="U259" s="24" t="s">
        <v>115</v>
      </c>
      <c r="V259" s="24">
        <v>300000</v>
      </c>
      <c r="W259" s="39">
        <f t="shared" si="70"/>
        <v>0</v>
      </c>
      <c r="X259" s="29">
        <f t="shared" si="71"/>
        <v>0</v>
      </c>
      <c r="Y259" s="40">
        <f t="shared" si="72"/>
        <v>365</v>
      </c>
      <c r="Z259" s="38">
        <f t="shared" ref="Z259:Z322" si="85">$Z$1</f>
        <v>46081</v>
      </c>
      <c r="AA259" s="41">
        <f t="shared" si="73"/>
        <v>264</v>
      </c>
      <c r="AB259" s="24" t="s">
        <v>125</v>
      </c>
      <c r="AC259" s="41">
        <f t="shared" si="74"/>
        <v>5017.3245999999999</v>
      </c>
      <c r="AD259" s="41">
        <v>1</v>
      </c>
      <c r="AE259" s="72">
        <f>IFERROR(INDEX(SA!$C$4:$E$11,MATCH(Details!S259,SA!$C$4:$C$11,0),MATCH(Details!V259,SA!$C$4:$E$4,0)),0)*Y259/(F259-E259+1)</f>
        <v>4251.97</v>
      </c>
      <c r="AF259" s="41">
        <f t="shared" si="75"/>
        <v>0</v>
      </c>
      <c r="AG259" s="41">
        <f t="shared" si="76"/>
        <v>0</v>
      </c>
      <c r="AH259" s="41">
        <f t="shared" si="77"/>
        <v>765.3546</v>
      </c>
      <c r="AI259" s="60">
        <f t="shared" si="78"/>
        <v>170.0788</v>
      </c>
      <c r="AJ259" s="60">
        <f t="shared" si="79"/>
        <v>956.69325000000003</v>
      </c>
      <c r="AK259" s="60">
        <f t="shared" si="80"/>
        <v>3075.397479452055</v>
      </c>
      <c r="AL259" s="60">
        <f t="shared" si="81"/>
        <v>2260.4171473972606</v>
      </c>
      <c r="AM259" s="41">
        <f t="shared" si="82"/>
        <v>864.78080260273941</v>
      </c>
      <c r="AN259" s="42">
        <f t="shared" si="83"/>
        <v>45715</v>
      </c>
      <c r="AO259" s="43">
        <f t="shared" si="84"/>
        <v>4251.97</v>
      </c>
    </row>
    <row r="260" spans="1:41" s="24" customFormat="1" ht="15.75" customHeight="1" x14ac:dyDescent="0.35">
      <c r="A260" s="36" t="s">
        <v>27</v>
      </c>
      <c r="B260" s="36">
        <v>202506</v>
      </c>
      <c r="C260" s="24" t="s">
        <v>128</v>
      </c>
      <c r="D260" s="24" t="s">
        <v>129</v>
      </c>
      <c r="E260" s="62">
        <v>45818</v>
      </c>
      <c r="F260" s="62">
        <v>46182</v>
      </c>
      <c r="G260" s="37" t="s">
        <v>388</v>
      </c>
      <c r="H260" s="36">
        <v>2067</v>
      </c>
      <c r="I260" s="63">
        <v>39253</v>
      </c>
      <c r="J260" s="24" t="s">
        <v>1036</v>
      </c>
      <c r="K260" s="63">
        <f t="shared" ref="K260:K323" si="86">N260</f>
        <v>45818</v>
      </c>
      <c r="L260" s="55">
        <f t="shared" ref="L260:L323" si="87">IF(K260&gt;=DATE(2022,4,1),4%,5%)</f>
        <v>0.04</v>
      </c>
      <c r="M260" s="76">
        <v>0.22500000000000001</v>
      </c>
      <c r="N260" s="62">
        <v>45818</v>
      </c>
      <c r="O260" s="62">
        <v>46182</v>
      </c>
      <c r="P260" s="63"/>
      <c r="Q260" s="63"/>
      <c r="R260" s="82">
        <v>17</v>
      </c>
      <c r="S260" s="63" t="str">
        <f>VLOOKUP(R260,SA!$B$5:$C$11,2,1)</f>
        <v>0-35</v>
      </c>
      <c r="T260" s="38" t="s">
        <v>96</v>
      </c>
      <c r="U260" s="24" t="s">
        <v>114</v>
      </c>
      <c r="V260" s="24">
        <v>300000</v>
      </c>
      <c r="W260" s="39">
        <f t="shared" ref="W260:W323" si="88">IF(U260="self",V260,0)</f>
        <v>0</v>
      </c>
      <c r="X260" s="29">
        <f t="shared" ref="X260:X323" si="89">IF(U260="self",1,0)</f>
        <v>0</v>
      </c>
      <c r="Y260" s="40">
        <f t="shared" ref="Y260:Y323" si="90">O260-N260+1</f>
        <v>365</v>
      </c>
      <c r="Z260" s="38">
        <f t="shared" si="85"/>
        <v>46081</v>
      </c>
      <c r="AA260" s="41">
        <f t="shared" ref="AA260:AA323" si="91">IF(MIN((Z260-N260)+1,Y260)&lt;0,0,MIN((Z260-N260)+1,Y260))</f>
        <v>264</v>
      </c>
      <c r="AB260" s="24" t="s">
        <v>125</v>
      </c>
      <c r="AC260" s="41">
        <f t="shared" ref="AC260:AC323" si="92">AE260+AF260+AG260+AH260</f>
        <v>3874.2114000000001</v>
      </c>
      <c r="AD260" s="41">
        <v>1</v>
      </c>
      <c r="AE260" s="72">
        <f>IFERROR(INDEX(SA!$C$4:$E$11,MATCH(Details!S260,SA!$C$4:$C$11,0),MATCH(Details!V260,SA!$C$4:$E$4,0)),0)*Y260/(F260-E260+1)</f>
        <v>3283.23</v>
      </c>
      <c r="AF260" s="41">
        <f t="shared" ref="AF260:AF323" si="93">IF(AB260="Karnataka",AE260*9%,0)</f>
        <v>0</v>
      </c>
      <c r="AG260" s="41">
        <f t="shared" ref="AG260:AG323" si="94">IF(AB260="Karnataka",AE260*9%,0)</f>
        <v>0</v>
      </c>
      <c r="AH260" s="41">
        <f t="shared" ref="AH260:AH323" si="95">IF(AF260+AG260&gt;0,0,AE260*18%)</f>
        <v>590.98140000000001</v>
      </c>
      <c r="AI260" s="60">
        <f t="shared" ref="AI260:AI323" si="96">AE260*L260</f>
        <v>131.32920000000001</v>
      </c>
      <c r="AJ260" s="60">
        <f t="shared" ref="AJ260:AJ323" si="97">$AE260*M260</f>
        <v>738.72675000000004</v>
      </c>
      <c r="AK260" s="60">
        <f t="shared" ref="AK260:AK323" si="98">(AE260)*AA260/Y260</f>
        <v>2374.7197808219175</v>
      </c>
      <c r="AL260" s="60">
        <f t="shared" ref="AL260:AL323" si="99">AK260*(1-L260-M260)</f>
        <v>1745.4190389041094</v>
      </c>
      <c r="AM260" s="41">
        <f t="shared" ref="AM260:AM323" si="100">AE260-AI260-AL260-AJ260</f>
        <v>667.7550110958905</v>
      </c>
      <c r="AN260" s="42">
        <f t="shared" ref="AN260:AN323" si="101">Z260-366</f>
        <v>45715</v>
      </c>
      <c r="AO260" s="43">
        <f t="shared" ref="AO260:AO323" si="102">IF(AND(O260&gt;Z260,N260&gt;AN260),AE260,0)</f>
        <v>3283.23</v>
      </c>
    </row>
    <row r="261" spans="1:41" s="24" customFormat="1" ht="15.75" customHeight="1" x14ac:dyDescent="0.35">
      <c r="A261" s="36" t="s">
        <v>27</v>
      </c>
      <c r="B261" s="36">
        <v>202506</v>
      </c>
      <c r="C261" s="24" t="s">
        <v>128</v>
      </c>
      <c r="D261" s="24" t="s">
        <v>129</v>
      </c>
      <c r="E261" s="62">
        <v>45818</v>
      </c>
      <c r="F261" s="62">
        <v>46182</v>
      </c>
      <c r="G261" s="37" t="s">
        <v>389</v>
      </c>
      <c r="H261" s="36">
        <v>2068</v>
      </c>
      <c r="I261" s="63">
        <v>29214</v>
      </c>
      <c r="J261" s="24" t="s">
        <v>1037</v>
      </c>
      <c r="K261" s="63">
        <f t="shared" si="86"/>
        <v>45818</v>
      </c>
      <c r="L261" s="55">
        <f t="shared" si="87"/>
        <v>0.04</v>
      </c>
      <c r="M261" s="76">
        <v>0.22500000000000001</v>
      </c>
      <c r="N261" s="62">
        <v>45818</v>
      </c>
      <c r="O261" s="62">
        <v>46182</v>
      </c>
      <c r="P261" s="63"/>
      <c r="Q261" s="63"/>
      <c r="R261" s="82">
        <v>45</v>
      </c>
      <c r="S261" s="63" t="str">
        <f>VLOOKUP(R261,SA!$B$5:$C$11,2,1)</f>
        <v>36-45</v>
      </c>
      <c r="T261" s="38" t="s">
        <v>96</v>
      </c>
      <c r="U261" s="24" t="s">
        <v>56</v>
      </c>
      <c r="V261" s="24">
        <v>300000</v>
      </c>
      <c r="W261" s="39">
        <f t="shared" si="88"/>
        <v>300000</v>
      </c>
      <c r="X261" s="29">
        <f t="shared" si="89"/>
        <v>1</v>
      </c>
      <c r="Y261" s="40">
        <f t="shared" si="90"/>
        <v>365</v>
      </c>
      <c r="Z261" s="38">
        <f t="shared" si="85"/>
        <v>46081</v>
      </c>
      <c r="AA261" s="41">
        <f t="shared" si="91"/>
        <v>264</v>
      </c>
      <c r="AB261" s="24" t="s">
        <v>125</v>
      </c>
      <c r="AC261" s="41">
        <f t="shared" si="92"/>
        <v>5017.3245999999999</v>
      </c>
      <c r="AD261" s="41">
        <v>1</v>
      </c>
      <c r="AE261" s="72">
        <f>IFERROR(INDEX(SA!$C$4:$E$11,MATCH(Details!S261,SA!$C$4:$C$11,0),MATCH(Details!V261,SA!$C$4:$E$4,0)),0)*Y261/(F261-E261+1)</f>
        <v>4251.97</v>
      </c>
      <c r="AF261" s="41">
        <f t="shared" si="93"/>
        <v>0</v>
      </c>
      <c r="AG261" s="41">
        <f t="shared" si="94"/>
        <v>0</v>
      </c>
      <c r="AH261" s="41">
        <f t="shared" si="95"/>
        <v>765.3546</v>
      </c>
      <c r="AI261" s="60">
        <f t="shared" si="96"/>
        <v>170.0788</v>
      </c>
      <c r="AJ261" s="60">
        <f t="shared" si="97"/>
        <v>956.69325000000003</v>
      </c>
      <c r="AK261" s="60">
        <f t="shared" si="98"/>
        <v>3075.397479452055</v>
      </c>
      <c r="AL261" s="60">
        <f t="shared" si="99"/>
        <v>2260.4171473972606</v>
      </c>
      <c r="AM261" s="41">
        <f t="shared" si="100"/>
        <v>864.78080260273941</v>
      </c>
      <c r="AN261" s="42">
        <f t="shared" si="101"/>
        <v>45715</v>
      </c>
      <c r="AO261" s="43">
        <f t="shared" si="102"/>
        <v>4251.97</v>
      </c>
    </row>
    <row r="262" spans="1:41" s="24" customFormat="1" ht="15.75" customHeight="1" x14ac:dyDescent="0.35">
      <c r="A262" s="36" t="s">
        <v>27</v>
      </c>
      <c r="B262" s="36">
        <v>202506</v>
      </c>
      <c r="C262" s="24" t="s">
        <v>128</v>
      </c>
      <c r="D262" s="24" t="s">
        <v>129</v>
      </c>
      <c r="E262" s="62">
        <v>45818</v>
      </c>
      <c r="F262" s="62">
        <v>46182</v>
      </c>
      <c r="G262" s="37" t="s">
        <v>390</v>
      </c>
      <c r="H262" s="36">
        <v>2068</v>
      </c>
      <c r="I262" s="63">
        <v>41223</v>
      </c>
      <c r="J262" s="24" t="s">
        <v>1038</v>
      </c>
      <c r="K262" s="63">
        <f t="shared" si="86"/>
        <v>45818</v>
      </c>
      <c r="L262" s="55">
        <f t="shared" si="87"/>
        <v>0.04</v>
      </c>
      <c r="M262" s="76">
        <v>0.22500000000000001</v>
      </c>
      <c r="N262" s="62">
        <v>45818</v>
      </c>
      <c r="O262" s="62">
        <v>46182</v>
      </c>
      <c r="P262" s="63"/>
      <c r="Q262" s="63"/>
      <c r="R262" s="82">
        <v>12</v>
      </c>
      <c r="S262" s="63" t="str">
        <f>VLOOKUP(R262,SA!$B$5:$C$11,2,1)</f>
        <v>0-35</v>
      </c>
      <c r="T262" s="38" t="s">
        <v>96</v>
      </c>
      <c r="U262" s="24" t="s">
        <v>114</v>
      </c>
      <c r="V262" s="24">
        <v>300000</v>
      </c>
      <c r="W262" s="39">
        <f t="shared" si="88"/>
        <v>0</v>
      </c>
      <c r="X262" s="29">
        <f t="shared" si="89"/>
        <v>0</v>
      </c>
      <c r="Y262" s="40">
        <f t="shared" si="90"/>
        <v>365</v>
      </c>
      <c r="Z262" s="38">
        <f t="shared" si="85"/>
        <v>46081</v>
      </c>
      <c r="AA262" s="41">
        <f t="shared" si="91"/>
        <v>264</v>
      </c>
      <c r="AB262" s="24" t="s">
        <v>125</v>
      </c>
      <c r="AC262" s="41">
        <f t="shared" si="92"/>
        <v>3874.2114000000001</v>
      </c>
      <c r="AD262" s="41">
        <v>1</v>
      </c>
      <c r="AE262" s="72">
        <f>IFERROR(INDEX(SA!$C$4:$E$11,MATCH(Details!S262,SA!$C$4:$C$11,0),MATCH(Details!V262,SA!$C$4:$E$4,0)),0)*Y262/(F262-E262+1)</f>
        <v>3283.23</v>
      </c>
      <c r="AF262" s="41">
        <f t="shared" si="93"/>
        <v>0</v>
      </c>
      <c r="AG262" s="41">
        <f t="shared" si="94"/>
        <v>0</v>
      </c>
      <c r="AH262" s="41">
        <f t="shared" si="95"/>
        <v>590.98140000000001</v>
      </c>
      <c r="AI262" s="60">
        <f t="shared" si="96"/>
        <v>131.32920000000001</v>
      </c>
      <c r="AJ262" s="60">
        <f t="shared" si="97"/>
        <v>738.72675000000004</v>
      </c>
      <c r="AK262" s="60">
        <f t="shared" si="98"/>
        <v>2374.7197808219175</v>
      </c>
      <c r="AL262" s="60">
        <f t="shared" si="99"/>
        <v>1745.4190389041094</v>
      </c>
      <c r="AM262" s="41">
        <f t="shared" si="100"/>
        <v>667.7550110958905</v>
      </c>
      <c r="AN262" s="42">
        <f t="shared" si="101"/>
        <v>45715</v>
      </c>
      <c r="AO262" s="43">
        <f t="shared" si="102"/>
        <v>3283.23</v>
      </c>
    </row>
    <row r="263" spans="1:41" s="24" customFormat="1" ht="15.75" customHeight="1" x14ac:dyDescent="0.35">
      <c r="A263" s="36" t="s">
        <v>27</v>
      </c>
      <c r="B263" s="36">
        <v>202506</v>
      </c>
      <c r="C263" s="24" t="s">
        <v>128</v>
      </c>
      <c r="D263" s="24" t="s">
        <v>129</v>
      </c>
      <c r="E263" s="62">
        <v>45818</v>
      </c>
      <c r="F263" s="62">
        <v>46182</v>
      </c>
      <c r="G263" s="37" t="s">
        <v>391</v>
      </c>
      <c r="H263" s="36">
        <v>2068</v>
      </c>
      <c r="I263" s="63">
        <v>40015</v>
      </c>
      <c r="J263" s="24" t="s">
        <v>1039</v>
      </c>
      <c r="K263" s="63">
        <f t="shared" si="86"/>
        <v>45818</v>
      </c>
      <c r="L263" s="55">
        <f t="shared" si="87"/>
        <v>0.04</v>
      </c>
      <c r="M263" s="76">
        <v>0.22500000000000001</v>
      </c>
      <c r="N263" s="62">
        <v>45818</v>
      </c>
      <c r="O263" s="62">
        <v>46182</v>
      </c>
      <c r="P263" s="63"/>
      <c r="Q263" s="63"/>
      <c r="R263" s="82">
        <v>15</v>
      </c>
      <c r="S263" s="63" t="str">
        <f>VLOOKUP(R263,SA!$B$5:$C$11,2,1)</f>
        <v>0-35</v>
      </c>
      <c r="T263" s="38" t="s">
        <v>96</v>
      </c>
      <c r="U263" s="24" t="s">
        <v>114</v>
      </c>
      <c r="V263" s="24">
        <v>300000</v>
      </c>
      <c r="W263" s="39">
        <f t="shared" si="88"/>
        <v>0</v>
      </c>
      <c r="X263" s="29">
        <f t="shared" si="89"/>
        <v>0</v>
      </c>
      <c r="Y263" s="40">
        <f t="shared" si="90"/>
        <v>365</v>
      </c>
      <c r="Z263" s="38">
        <f t="shared" si="85"/>
        <v>46081</v>
      </c>
      <c r="AA263" s="41">
        <f t="shared" si="91"/>
        <v>264</v>
      </c>
      <c r="AB263" s="24" t="s">
        <v>125</v>
      </c>
      <c r="AC263" s="41">
        <f t="shared" si="92"/>
        <v>3874.2114000000001</v>
      </c>
      <c r="AD263" s="41">
        <v>1</v>
      </c>
      <c r="AE263" s="72">
        <f>IFERROR(INDEX(SA!$C$4:$E$11,MATCH(Details!S263,SA!$C$4:$C$11,0),MATCH(Details!V263,SA!$C$4:$E$4,0)),0)*Y263/(F263-E263+1)</f>
        <v>3283.23</v>
      </c>
      <c r="AF263" s="41">
        <f t="shared" si="93"/>
        <v>0</v>
      </c>
      <c r="AG263" s="41">
        <f t="shared" si="94"/>
        <v>0</v>
      </c>
      <c r="AH263" s="41">
        <f t="shared" si="95"/>
        <v>590.98140000000001</v>
      </c>
      <c r="AI263" s="60">
        <f t="shared" si="96"/>
        <v>131.32920000000001</v>
      </c>
      <c r="AJ263" s="60">
        <f t="shared" si="97"/>
        <v>738.72675000000004</v>
      </c>
      <c r="AK263" s="60">
        <f t="shared" si="98"/>
        <v>2374.7197808219175</v>
      </c>
      <c r="AL263" s="60">
        <f t="shared" si="99"/>
        <v>1745.4190389041094</v>
      </c>
      <c r="AM263" s="41">
        <f t="shared" si="100"/>
        <v>667.7550110958905</v>
      </c>
      <c r="AN263" s="42">
        <f t="shared" si="101"/>
        <v>45715</v>
      </c>
      <c r="AO263" s="43">
        <f t="shared" si="102"/>
        <v>3283.23</v>
      </c>
    </row>
    <row r="264" spans="1:41" s="24" customFormat="1" ht="15.75" customHeight="1" x14ac:dyDescent="0.35">
      <c r="A264" s="36" t="s">
        <v>27</v>
      </c>
      <c r="B264" s="36">
        <v>202506</v>
      </c>
      <c r="C264" s="24" t="s">
        <v>128</v>
      </c>
      <c r="D264" s="24" t="s">
        <v>129</v>
      </c>
      <c r="E264" s="62">
        <v>45818</v>
      </c>
      <c r="F264" s="62">
        <v>46182</v>
      </c>
      <c r="G264" s="37" t="s">
        <v>392</v>
      </c>
      <c r="H264" s="36">
        <v>2068</v>
      </c>
      <c r="I264" s="63">
        <v>31890</v>
      </c>
      <c r="J264" s="24" t="s">
        <v>1040</v>
      </c>
      <c r="K264" s="63">
        <f t="shared" si="86"/>
        <v>45818</v>
      </c>
      <c r="L264" s="55">
        <f t="shared" si="87"/>
        <v>0.04</v>
      </c>
      <c r="M264" s="76">
        <v>0.22500000000000001</v>
      </c>
      <c r="N264" s="62">
        <v>45818</v>
      </c>
      <c r="O264" s="62">
        <v>46182</v>
      </c>
      <c r="P264" s="63"/>
      <c r="Q264" s="63"/>
      <c r="R264" s="82">
        <v>38</v>
      </c>
      <c r="S264" s="63" t="str">
        <f>VLOOKUP(R264,SA!$B$5:$C$11,2,1)</f>
        <v>36-45</v>
      </c>
      <c r="T264" s="38" t="s">
        <v>97</v>
      </c>
      <c r="U264" s="24" t="s">
        <v>115</v>
      </c>
      <c r="V264" s="24">
        <v>300000</v>
      </c>
      <c r="W264" s="39">
        <f t="shared" si="88"/>
        <v>0</v>
      </c>
      <c r="X264" s="29">
        <f t="shared" si="89"/>
        <v>0</v>
      </c>
      <c r="Y264" s="40">
        <f t="shared" si="90"/>
        <v>365</v>
      </c>
      <c r="Z264" s="38">
        <f t="shared" si="85"/>
        <v>46081</v>
      </c>
      <c r="AA264" s="41">
        <f t="shared" si="91"/>
        <v>264</v>
      </c>
      <c r="AB264" s="24" t="s">
        <v>125</v>
      </c>
      <c r="AC264" s="41">
        <f t="shared" si="92"/>
        <v>5017.3245999999999</v>
      </c>
      <c r="AD264" s="41">
        <v>1</v>
      </c>
      <c r="AE264" s="72">
        <f>IFERROR(INDEX(SA!$C$4:$E$11,MATCH(Details!S264,SA!$C$4:$C$11,0),MATCH(Details!V264,SA!$C$4:$E$4,0)),0)*Y264/(F264-E264+1)</f>
        <v>4251.97</v>
      </c>
      <c r="AF264" s="41">
        <f t="shared" si="93"/>
        <v>0</v>
      </c>
      <c r="AG264" s="41">
        <f t="shared" si="94"/>
        <v>0</v>
      </c>
      <c r="AH264" s="41">
        <f t="shared" si="95"/>
        <v>765.3546</v>
      </c>
      <c r="AI264" s="60">
        <f t="shared" si="96"/>
        <v>170.0788</v>
      </c>
      <c r="AJ264" s="60">
        <f t="shared" si="97"/>
        <v>956.69325000000003</v>
      </c>
      <c r="AK264" s="60">
        <f t="shared" si="98"/>
        <v>3075.397479452055</v>
      </c>
      <c r="AL264" s="60">
        <f t="shared" si="99"/>
        <v>2260.4171473972606</v>
      </c>
      <c r="AM264" s="41">
        <f t="shared" si="100"/>
        <v>864.78080260273941</v>
      </c>
      <c r="AN264" s="42">
        <f t="shared" si="101"/>
        <v>45715</v>
      </c>
      <c r="AO264" s="43">
        <f t="shared" si="102"/>
        <v>4251.97</v>
      </c>
    </row>
    <row r="265" spans="1:41" s="24" customFormat="1" ht="15.75" customHeight="1" x14ac:dyDescent="0.35">
      <c r="A265" s="36" t="s">
        <v>27</v>
      </c>
      <c r="B265" s="36">
        <v>202506</v>
      </c>
      <c r="C265" s="24" t="s">
        <v>128</v>
      </c>
      <c r="D265" s="24" t="s">
        <v>129</v>
      </c>
      <c r="E265" s="62">
        <v>45818</v>
      </c>
      <c r="F265" s="62">
        <v>46182</v>
      </c>
      <c r="G265" s="37" t="s">
        <v>393</v>
      </c>
      <c r="H265" s="36">
        <v>2070</v>
      </c>
      <c r="I265" s="63">
        <v>30078</v>
      </c>
      <c r="J265" s="24" t="s">
        <v>1041</v>
      </c>
      <c r="K265" s="63">
        <f t="shared" si="86"/>
        <v>45818</v>
      </c>
      <c r="L265" s="55">
        <f t="shared" si="87"/>
        <v>0.04</v>
      </c>
      <c r="M265" s="76">
        <v>0.22500000000000001</v>
      </c>
      <c r="N265" s="62">
        <v>45818</v>
      </c>
      <c r="O265" s="62">
        <v>46182</v>
      </c>
      <c r="P265" s="63"/>
      <c r="Q265" s="63"/>
      <c r="R265" s="82">
        <v>43</v>
      </c>
      <c r="S265" s="63" t="str">
        <f>VLOOKUP(R265,SA!$B$5:$C$11,2,1)</f>
        <v>36-45</v>
      </c>
      <c r="T265" s="38" t="s">
        <v>96</v>
      </c>
      <c r="U265" s="24" t="s">
        <v>56</v>
      </c>
      <c r="V265" s="24">
        <v>300000</v>
      </c>
      <c r="W265" s="39">
        <f t="shared" si="88"/>
        <v>300000</v>
      </c>
      <c r="X265" s="29">
        <f t="shared" si="89"/>
        <v>1</v>
      </c>
      <c r="Y265" s="40">
        <f t="shared" si="90"/>
        <v>365</v>
      </c>
      <c r="Z265" s="38">
        <f t="shared" si="85"/>
        <v>46081</v>
      </c>
      <c r="AA265" s="41">
        <f t="shared" si="91"/>
        <v>264</v>
      </c>
      <c r="AB265" s="24" t="s">
        <v>125</v>
      </c>
      <c r="AC265" s="41">
        <f t="shared" si="92"/>
        <v>5017.3245999999999</v>
      </c>
      <c r="AD265" s="41">
        <v>1</v>
      </c>
      <c r="AE265" s="72">
        <f>IFERROR(INDEX(SA!$C$4:$E$11,MATCH(Details!S265,SA!$C$4:$C$11,0),MATCH(Details!V265,SA!$C$4:$E$4,0)),0)*Y265/(F265-E265+1)</f>
        <v>4251.97</v>
      </c>
      <c r="AF265" s="41">
        <f t="shared" si="93"/>
        <v>0</v>
      </c>
      <c r="AG265" s="41">
        <f t="shared" si="94"/>
        <v>0</v>
      </c>
      <c r="AH265" s="41">
        <f t="shared" si="95"/>
        <v>765.3546</v>
      </c>
      <c r="AI265" s="60">
        <f t="shared" si="96"/>
        <v>170.0788</v>
      </c>
      <c r="AJ265" s="60">
        <f t="shared" si="97"/>
        <v>956.69325000000003</v>
      </c>
      <c r="AK265" s="60">
        <f t="shared" si="98"/>
        <v>3075.397479452055</v>
      </c>
      <c r="AL265" s="60">
        <f t="shared" si="99"/>
        <v>2260.4171473972606</v>
      </c>
      <c r="AM265" s="41">
        <f t="shared" si="100"/>
        <v>864.78080260273941</v>
      </c>
      <c r="AN265" s="42">
        <f t="shared" si="101"/>
        <v>45715</v>
      </c>
      <c r="AO265" s="43">
        <f t="shared" si="102"/>
        <v>4251.97</v>
      </c>
    </row>
    <row r="266" spans="1:41" s="24" customFormat="1" ht="15.75" customHeight="1" x14ac:dyDescent="0.35">
      <c r="A266" s="36" t="s">
        <v>27</v>
      </c>
      <c r="B266" s="36">
        <v>202506</v>
      </c>
      <c r="C266" s="24" t="s">
        <v>128</v>
      </c>
      <c r="D266" s="24" t="s">
        <v>129</v>
      </c>
      <c r="E266" s="62">
        <v>45818</v>
      </c>
      <c r="F266" s="62">
        <v>46182</v>
      </c>
      <c r="G266" s="37" t="s">
        <v>394</v>
      </c>
      <c r="H266" s="36">
        <v>2070</v>
      </c>
      <c r="I266" s="63">
        <v>33052</v>
      </c>
      <c r="J266" s="24" t="s">
        <v>1042</v>
      </c>
      <c r="K266" s="63">
        <f t="shared" si="86"/>
        <v>45818</v>
      </c>
      <c r="L266" s="55">
        <f t="shared" si="87"/>
        <v>0.04</v>
      </c>
      <c r="M266" s="76">
        <v>0.22500000000000001</v>
      </c>
      <c r="N266" s="62">
        <v>45818</v>
      </c>
      <c r="O266" s="62">
        <v>46182</v>
      </c>
      <c r="P266" s="63"/>
      <c r="Q266" s="63"/>
      <c r="R266" s="82">
        <v>34</v>
      </c>
      <c r="S266" s="63" t="str">
        <f>VLOOKUP(R266,SA!$B$5:$C$11,2,1)</f>
        <v>0-35</v>
      </c>
      <c r="T266" s="38" t="s">
        <v>97</v>
      </c>
      <c r="U266" s="24" t="s">
        <v>115</v>
      </c>
      <c r="V266" s="24">
        <v>300000</v>
      </c>
      <c r="W266" s="39">
        <f t="shared" si="88"/>
        <v>0</v>
      </c>
      <c r="X266" s="29">
        <f t="shared" si="89"/>
        <v>0</v>
      </c>
      <c r="Y266" s="40">
        <f t="shared" si="90"/>
        <v>365</v>
      </c>
      <c r="Z266" s="38">
        <f t="shared" si="85"/>
        <v>46081</v>
      </c>
      <c r="AA266" s="41">
        <f t="shared" si="91"/>
        <v>264</v>
      </c>
      <c r="AB266" s="24" t="s">
        <v>125</v>
      </c>
      <c r="AC266" s="41">
        <f t="shared" si="92"/>
        <v>3874.2114000000001</v>
      </c>
      <c r="AD266" s="41">
        <v>1</v>
      </c>
      <c r="AE266" s="72">
        <f>IFERROR(INDEX(SA!$C$4:$E$11,MATCH(Details!S266,SA!$C$4:$C$11,0),MATCH(Details!V266,SA!$C$4:$E$4,0)),0)*Y266/(F266-E266+1)</f>
        <v>3283.23</v>
      </c>
      <c r="AF266" s="41">
        <f t="shared" si="93"/>
        <v>0</v>
      </c>
      <c r="AG266" s="41">
        <f t="shared" si="94"/>
        <v>0</v>
      </c>
      <c r="AH266" s="41">
        <f t="shared" si="95"/>
        <v>590.98140000000001</v>
      </c>
      <c r="AI266" s="60">
        <f t="shared" si="96"/>
        <v>131.32920000000001</v>
      </c>
      <c r="AJ266" s="60">
        <f t="shared" si="97"/>
        <v>738.72675000000004</v>
      </c>
      <c r="AK266" s="60">
        <f t="shared" si="98"/>
        <v>2374.7197808219175</v>
      </c>
      <c r="AL266" s="60">
        <f t="shared" si="99"/>
        <v>1745.4190389041094</v>
      </c>
      <c r="AM266" s="41">
        <f t="shared" si="100"/>
        <v>667.7550110958905</v>
      </c>
      <c r="AN266" s="42">
        <f t="shared" si="101"/>
        <v>45715</v>
      </c>
      <c r="AO266" s="43">
        <f t="shared" si="102"/>
        <v>3283.23</v>
      </c>
    </row>
    <row r="267" spans="1:41" s="24" customFormat="1" ht="15.75" customHeight="1" x14ac:dyDescent="0.35">
      <c r="A267" s="36" t="s">
        <v>27</v>
      </c>
      <c r="B267" s="36">
        <v>202506</v>
      </c>
      <c r="C267" s="24" t="s">
        <v>128</v>
      </c>
      <c r="D267" s="24" t="s">
        <v>129</v>
      </c>
      <c r="E267" s="62">
        <v>45818</v>
      </c>
      <c r="F267" s="62">
        <v>46182</v>
      </c>
      <c r="G267" s="37" t="s">
        <v>395</v>
      </c>
      <c r="H267" s="36">
        <v>2070</v>
      </c>
      <c r="I267" s="63">
        <v>40631</v>
      </c>
      <c r="J267" s="24" t="s">
        <v>1043</v>
      </c>
      <c r="K267" s="63">
        <f t="shared" si="86"/>
        <v>45818</v>
      </c>
      <c r="L267" s="55">
        <f t="shared" si="87"/>
        <v>0.04</v>
      </c>
      <c r="M267" s="76">
        <v>0.22500000000000001</v>
      </c>
      <c r="N267" s="62">
        <v>45818</v>
      </c>
      <c r="O267" s="62">
        <v>46182</v>
      </c>
      <c r="P267" s="63"/>
      <c r="Q267" s="63"/>
      <c r="R267" s="82">
        <v>14</v>
      </c>
      <c r="S267" s="63" t="str">
        <f>VLOOKUP(R267,SA!$B$5:$C$11,2,1)</f>
        <v>0-35</v>
      </c>
      <c r="T267" s="38" t="s">
        <v>97</v>
      </c>
      <c r="U267" s="24" t="s">
        <v>113</v>
      </c>
      <c r="V267" s="24">
        <v>300000</v>
      </c>
      <c r="W267" s="39">
        <f t="shared" si="88"/>
        <v>0</v>
      </c>
      <c r="X267" s="29">
        <f t="shared" si="89"/>
        <v>0</v>
      </c>
      <c r="Y267" s="40">
        <f t="shared" si="90"/>
        <v>365</v>
      </c>
      <c r="Z267" s="38">
        <f t="shared" si="85"/>
        <v>46081</v>
      </c>
      <c r="AA267" s="41">
        <f t="shared" si="91"/>
        <v>264</v>
      </c>
      <c r="AB267" s="24" t="s">
        <v>125</v>
      </c>
      <c r="AC267" s="41">
        <f t="shared" si="92"/>
        <v>3874.2114000000001</v>
      </c>
      <c r="AD267" s="41">
        <v>1</v>
      </c>
      <c r="AE267" s="72">
        <f>IFERROR(INDEX(SA!$C$4:$E$11,MATCH(Details!S267,SA!$C$4:$C$11,0),MATCH(Details!V267,SA!$C$4:$E$4,0)),0)*Y267/(F267-E267+1)</f>
        <v>3283.23</v>
      </c>
      <c r="AF267" s="41">
        <f t="shared" si="93"/>
        <v>0</v>
      </c>
      <c r="AG267" s="41">
        <f t="shared" si="94"/>
        <v>0</v>
      </c>
      <c r="AH267" s="41">
        <f t="shared" si="95"/>
        <v>590.98140000000001</v>
      </c>
      <c r="AI267" s="60">
        <f t="shared" si="96"/>
        <v>131.32920000000001</v>
      </c>
      <c r="AJ267" s="60">
        <f t="shared" si="97"/>
        <v>738.72675000000004</v>
      </c>
      <c r="AK267" s="60">
        <f t="shared" si="98"/>
        <v>2374.7197808219175</v>
      </c>
      <c r="AL267" s="60">
        <f t="shared" si="99"/>
        <v>1745.4190389041094</v>
      </c>
      <c r="AM267" s="41">
        <f t="shared" si="100"/>
        <v>667.7550110958905</v>
      </c>
      <c r="AN267" s="42">
        <f t="shared" si="101"/>
        <v>45715</v>
      </c>
      <c r="AO267" s="43">
        <f t="shared" si="102"/>
        <v>3283.23</v>
      </c>
    </row>
    <row r="268" spans="1:41" s="24" customFormat="1" ht="15.75" customHeight="1" x14ac:dyDescent="0.35">
      <c r="A268" s="36" t="s">
        <v>27</v>
      </c>
      <c r="B268" s="36">
        <v>202506</v>
      </c>
      <c r="C268" s="24" t="s">
        <v>128</v>
      </c>
      <c r="D268" s="24" t="s">
        <v>129</v>
      </c>
      <c r="E268" s="62">
        <v>45818</v>
      </c>
      <c r="F268" s="62">
        <v>46182</v>
      </c>
      <c r="G268" s="37" t="s">
        <v>396</v>
      </c>
      <c r="H268" s="36">
        <v>2070</v>
      </c>
      <c r="I268" s="63">
        <v>43147</v>
      </c>
      <c r="J268" s="24" t="s">
        <v>1044</v>
      </c>
      <c r="K268" s="63">
        <f t="shared" si="86"/>
        <v>45818</v>
      </c>
      <c r="L268" s="55">
        <f t="shared" si="87"/>
        <v>0.04</v>
      </c>
      <c r="M268" s="76">
        <v>0.22500000000000001</v>
      </c>
      <c r="N268" s="62">
        <v>45818</v>
      </c>
      <c r="O268" s="62">
        <v>46182</v>
      </c>
      <c r="P268" s="63"/>
      <c r="Q268" s="63"/>
      <c r="R268" s="82">
        <v>7</v>
      </c>
      <c r="S268" s="63" t="str">
        <f>VLOOKUP(R268,SA!$B$5:$C$11,2,1)</f>
        <v>0-35</v>
      </c>
      <c r="T268" s="38" t="s">
        <v>96</v>
      </c>
      <c r="U268" s="24" t="s">
        <v>114</v>
      </c>
      <c r="V268" s="24">
        <v>300000</v>
      </c>
      <c r="W268" s="39">
        <f t="shared" si="88"/>
        <v>0</v>
      </c>
      <c r="X268" s="29">
        <f t="shared" si="89"/>
        <v>0</v>
      </c>
      <c r="Y268" s="40">
        <f t="shared" si="90"/>
        <v>365</v>
      </c>
      <c r="Z268" s="38">
        <f t="shared" si="85"/>
        <v>46081</v>
      </c>
      <c r="AA268" s="41">
        <f t="shared" si="91"/>
        <v>264</v>
      </c>
      <c r="AB268" s="24" t="s">
        <v>125</v>
      </c>
      <c r="AC268" s="41">
        <f t="shared" si="92"/>
        <v>3874.2114000000001</v>
      </c>
      <c r="AD268" s="41">
        <v>1</v>
      </c>
      <c r="AE268" s="72">
        <f>IFERROR(INDEX(SA!$C$4:$E$11,MATCH(Details!S268,SA!$C$4:$C$11,0),MATCH(Details!V268,SA!$C$4:$E$4,0)),0)*Y268/(F268-E268+1)</f>
        <v>3283.23</v>
      </c>
      <c r="AF268" s="41">
        <f t="shared" si="93"/>
        <v>0</v>
      </c>
      <c r="AG268" s="41">
        <f t="shared" si="94"/>
        <v>0</v>
      </c>
      <c r="AH268" s="41">
        <f t="shared" si="95"/>
        <v>590.98140000000001</v>
      </c>
      <c r="AI268" s="60">
        <f t="shared" si="96"/>
        <v>131.32920000000001</v>
      </c>
      <c r="AJ268" s="60">
        <f t="shared" si="97"/>
        <v>738.72675000000004</v>
      </c>
      <c r="AK268" s="60">
        <f t="shared" si="98"/>
        <v>2374.7197808219175</v>
      </c>
      <c r="AL268" s="60">
        <f t="shared" si="99"/>
        <v>1745.4190389041094</v>
      </c>
      <c r="AM268" s="41">
        <f t="shared" si="100"/>
        <v>667.7550110958905</v>
      </c>
      <c r="AN268" s="42">
        <f t="shared" si="101"/>
        <v>45715</v>
      </c>
      <c r="AO268" s="43">
        <f t="shared" si="102"/>
        <v>3283.23</v>
      </c>
    </row>
    <row r="269" spans="1:41" s="24" customFormat="1" ht="15.75" customHeight="1" x14ac:dyDescent="0.35">
      <c r="A269" s="36" t="s">
        <v>27</v>
      </c>
      <c r="B269" s="36">
        <v>202506</v>
      </c>
      <c r="C269" s="24" t="s">
        <v>128</v>
      </c>
      <c r="D269" s="24" t="s">
        <v>129</v>
      </c>
      <c r="E269" s="62">
        <v>45818</v>
      </c>
      <c r="F269" s="62">
        <v>46182</v>
      </c>
      <c r="G269" s="37" t="s">
        <v>397</v>
      </c>
      <c r="H269" s="36">
        <v>2071</v>
      </c>
      <c r="I269" s="63">
        <v>32037</v>
      </c>
      <c r="J269" s="24" t="s">
        <v>1045</v>
      </c>
      <c r="K269" s="63">
        <f t="shared" si="86"/>
        <v>45818</v>
      </c>
      <c r="L269" s="55">
        <f t="shared" si="87"/>
        <v>0.04</v>
      </c>
      <c r="M269" s="76">
        <v>0.22500000000000001</v>
      </c>
      <c r="N269" s="62">
        <v>45818</v>
      </c>
      <c r="O269" s="62">
        <v>46182</v>
      </c>
      <c r="P269" s="63"/>
      <c r="Q269" s="63"/>
      <c r="R269" s="82">
        <v>37</v>
      </c>
      <c r="S269" s="63" t="str">
        <f>VLOOKUP(R269,SA!$B$5:$C$11,2,1)</f>
        <v>36-45</v>
      </c>
      <c r="T269" s="38" t="s">
        <v>96</v>
      </c>
      <c r="U269" s="24" t="s">
        <v>56</v>
      </c>
      <c r="V269" s="24">
        <v>300000</v>
      </c>
      <c r="W269" s="39">
        <f t="shared" si="88"/>
        <v>300000</v>
      </c>
      <c r="X269" s="29">
        <f t="shared" si="89"/>
        <v>1</v>
      </c>
      <c r="Y269" s="40">
        <f t="shared" si="90"/>
        <v>365</v>
      </c>
      <c r="Z269" s="38">
        <f t="shared" si="85"/>
        <v>46081</v>
      </c>
      <c r="AA269" s="41">
        <f t="shared" si="91"/>
        <v>264</v>
      </c>
      <c r="AB269" s="24" t="s">
        <v>125</v>
      </c>
      <c r="AC269" s="41">
        <f t="shared" si="92"/>
        <v>5017.3245999999999</v>
      </c>
      <c r="AD269" s="41">
        <v>1</v>
      </c>
      <c r="AE269" s="72">
        <f>IFERROR(INDEX(SA!$C$4:$E$11,MATCH(Details!S269,SA!$C$4:$C$11,0),MATCH(Details!V269,SA!$C$4:$E$4,0)),0)*Y269/(F269-E269+1)</f>
        <v>4251.97</v>
      </c>
      <c r="AF269" s="41">
        <f t="shared" si="93"/>
        <v>0</v>
      </c>
      <c r="AG269" s="41">
        <f t="shared" si="94"/>
        <v>0</v>
      </c>
      <c r="AH269" s="41">
        <f t="shared" si="95"/>
        <v>765.3546</v>
      </c>
      <c r="AI269" s="60">
        <f t="shared" si="96"/>
        <v>170.0788</v>
      </c>
      <c r="AJ269" s="60">
        <f t="shared" si="97"/>
        <v>956.69325000000003</v>
      </c>
      <c r="AK269" s="60">
        <f t="shared" si="98"/>
        <v>3075.397479452055</v>
      </c>
      <c r="AL269" s="60">
        <f t="shared" si="99"/>
        <v>2260.4171473972606</v>
      </c>
      <c r="AM269" s="41">
        <f t="shared" si="100"/>
        <v>864.78080260273941</v>
      </c>
      <c r="AN269" s="42">
        <f t="shared" si="101"/>
        <v>45715</v>
      </c>
      <c r="AO269" s="43">
        <f t="shared" si="102"/>
        <v>4251.97</v>
      </c>
    </row>
    <row r="270" spans="1:41" s="24" customFormat="1" ht="15.75" customHeight="1" x14ac:dyDescent="0.35">
      <c r="A270" s="36" t="s">
        <v>27</v>
      </c>
      <c r="B270" s="36">
        <v>202506</v>
      </c>
      <c r="C270" s="24" t="s">
        <v>128</v>
      </c>
      <c r="D270" s="24" t="s">
        <v>129</v>
      </c>
      <c r="E270" s="62">
        <v>45818</v>
      </c>
      <c r="F270" s="62">
        <v>46182</v>
      </c>
      <c r="G270" s="37" t="s">
        <v>398</v>
      </c>
      <c r="H270" s="36">
        <v>2071</v>
      </c>
      <c r="I270" s="63">
        <v>32948</v>
      </c>
      <c r="J270" s="24" t="s">
        <v>1046</v>
      </c>
      <c r="K270" s="63">
        <f t="shared" si="86"/>
        <v>45818</v>
      </c>
      <c r="L270" s="55">
        <f t="shared" si="87"/>
        <v>0.04</v>
      </c>
      <c r="M270" s="76">
        <v>0.22500000000000001</v>
      </c>
      <c r="N270" s="62">
        <v>45818</v>
      </c>
      <c r="O270" s="62">
        <v>46182</v>
      </c>
      <c r="P270" s="63"/>
      <c r="Q270" s="63"/>
      <c r="R270" s="82">
        <v>35</v>
      </c>
      <c r="S270" s="63" t="str">
        <f>VLOOKUP(R270,SA!$B$5:$C$11,2,1)</f>
        <v>0-35</v>
      </c>
      <c r="T270" s="38" t="s">
        <v>97</v>
      </c>
      <c r="U270" s="24" t="s">
        <v>115</v>
      </c>
      <c r="V270" s="24">
        <v>300000</v>
      </c>
      <c r="W270" s="39">
        <f t="shared" si="88"/>
        <v>0</v>
      </c>
      <c r="X270" s="29">
        <f t="shared" si="89"/>
        <v>0</v>
      </c>
      <c r="Y270" s="40">
        <f t="shared" si="90"/>
        <v>365</v>
      </c>
      <c r="Z270" s="38">
        <f t="shared" si="85"/>
        <v>46081</v>
      </c>
      <c r="AA270" s="41">
        <f t="shared" si="91"/>
        <v>264</v>
      </c>
      <c r="AB270" s="24" t="s">
        <v>125</v>
      </c>
      <c r="AC270" s="41">
        <f t="shared" si="92"/>
        <v>3874.2114000000001</v>
      </c>
      <c r="AD270" s="41">
        <v>1</v>
      </c>
      <c r="AE270" s="72">
        <f>IFERROR(INDEX(SA!$C$4:$E$11,MATCH(Details!S270,SA!$C$4:$C$11,0),MATCH(Details!V270,SA!$C$4:$E$4,0)),0)*Y270/(F270-E270+1)</f>
        <v>3283.23</v>
      </c>
      <c r="AF270" s="41">
        <f t="shared" si="93"/>
        <v>0</v>
      </c>
      <c r="AG270" s="41">
        <f t="shared" si="94"/>
        <v>0</v>
      </c>
      <c r="AH270" s="41">
        <f t="shared" si="95"/>
        <v>590.98140000000001</v>
      </c>
      <c r="AI270" s="60">
        <f t="shared" si="96"/>
        <v>131.32920000000001</v>
      </c>
      <c r="AJ270" s="60">
        <f t="shared" si="97"/>
        <v>738.72675000000004</v>
      </c>
      <c r="AK270" s="60">
        <f t="shared" si="98"/>
        <v>2374.7197808219175</v>
      </c>
      <c r="AL270" s="60">
        <f t="shared" si="99"/>
        <v>1745.4190389041094</v>
      </c>
      <c r="AM270" s="41">
        <f t="shared" si="100"/>
        <v>667.7550110958905</v>
      </c>
      <c r="AN270" s="42">
        <f t="shared" si="101"/>
        <v>45715</v>
      </c>
      <c r="AO270" s="43">
        <f t="shared" si="102"/>
        <v>3283.23</v>
      </c>
    </row>
    <row r="271" spans="1:41" s="24" customFormat="1" ht="15.75" customHeight="1" x14ac:dyDescent="0.35">
      <c r="A271" s="36" t="s">
        <v>27</v>
      </c>
      <c r="B271" s="36">
        <v>202506</v>
      </c>
      <c r="C271" s="24" t="s">
        <v>128</v>
      </c>
      <c r="D271" s="24" t="s">
        <v>129</v>
      </c>
      <c r="E271" s="62">
        <v>45818</v>
      </c>
      <c r="F271" s="62">
        <v>46182</v>
      </c>
      <c r="G271" s="37" t="s">
        <v>399</v>
      </c>
      <c r="H271" s="36">
        <v>2071</v>
      </c>
      <c r="I271" s="63">
        <v>45769</v>
      </c>
      <c r="J271" s="24" t="s">
        <v>1047</v>
      </c>
      <c r="K271" s="63">
        <f t="shared" si="86"/>
        <v>45818</v>
      </c>
      <c r="L271" s="55">
        <f t="shared" si="87"/>
        <v>0.04</v>
      </c>
      <c r="M271" s="76">
        <v>0.22500000000000001</v>
      </c>
      <c r="N271" s="62">
        <v>45818</v>
      </c>
      <c r="O271" s="62">
        <v>46182</v>
      </c>
      <c r="P271" s="63"/>
      <c r="Q271" s="63"/>
      <c r="R271" s="82">
        <v>0</v>
      </c>
      <c r="S271" s="63" t="str">
        <f>VLOOKUP(R271,SA!$B$5:$C$11,2,1)</f>
        <v>0-35</v>
      </c>
      <c r="T271" s="38" t="s">
        <v>96</v>
      </c>
      <c r="U271" s="24" t="s">
        <v>114</v>
      </c>
      <c r="V271" s="24">
        <v>300000</v>
      </c>
      <c r="W271" s="39">
        <f t="shared" si="88"/>
        <v>0</v>
      </c>
      <c r="X271" s="29">
        <f t="shared" si="89"/>
        <v>0</v>
      </c>
      <c r="Y271" s="40">
        <f t="shared" si="90"/>
        <v>365</v>
      </c>
      <c r="Z271" s="38">
        <f t="shared" si="85"/>
        <v>46081</v>
      </c>
      <c r="AA271" s="41">
        <f t="shared" si="91"/>
        <v>264</v>
      </c>
      <c r="AB271" s="24" t="s">
        <v>125</v>
      </c>
      <c r="AC271" s="41">
        <f t="shared" si="92"/>
        <v>3874.2114000000001</v>
      </c>
      <c r="AD271" s="41">
        <v>1</v>
      </c>
      <c r="AE271" s="72">
        <f>IFERROR(INDEX(SA!$C$4:$E$11,MATCH(Details!S271,SA!$C$4:$C$11,0),MATCH(Details!V271,SA!$C$4:$E$4,0)),0)*Y271/(F271-E271+1)</f>
        <v>3283.23</v>
      </c>
      <c r="AF271" s="41">
        <f t="shared" si="93"/>
        <v>0</v>
      </c>
      <c r="AG271" s="41">
        <f t="shared" si="94"/>
        <v>0</v>
      </c>
      <c r="AH271" s="41">
        <f t="shared" si="95"/>
        <v>590.98140000000001</v>
      </c>
      <c r="AI271" s="60">
        <f t="shared" si="96"/>
        <v>131.32920000000001</v>
      </c>
      <c r="AJ271" s="60">
        <f t="shared" si="97"/>
        <v>738.72675000000004</v>
      </c>
      <c r="AK271" s="60">
        <f t="shared" si="98"/>
        <v>2374.7197808219175</v>
      </c>
      <c r="AL271" s="60">
        <f t="shared" si="99"/>
        <v>1745.4190389041094</v>
      </c>
      <c r="AM271" s="41">
        <f t="shared" si="100"/>
        <v>667.7550110958905</v>
      </c>
      <c r="AN271" s="42">
        <f t="shared" si="101"/>
        <v>45715</v>
      </c>
      <c r="AO271" s="43">
        <f t="shared" si="102"/>
        <v>3283.23</v>
      </c>
    </row>
    <row r="272" spans="1:41" s="24" customFormat="1" ht="15.75" customHeight="1" x14ac:dyDescent="0.35">
      <c r="A272" s="36" t="s">
        <v>27</v>
      </c>
      <c r="B272" s="36">
        <v>202506</v>
      </c>
      <c r="C272" s="24" t="s">
        <v>128</v>
      </c>
      <c r="D272" s="24" t="s">
        <v>129</v>
      </c>
      <c r="E272" s="62">
        <v>45818</v>
      </c>
      <c r="F272" s="62">
        <v>46182</v>
      </c>
      <c r="G272" s="37" t="s">
        <v>400</v>
      </c>
      <c r="H272" s="36">
        <v>2082</v>
      </c>
      <c r="I272" s="63">
        <v>32098</v>
      </c>
      <c r="J272" s="24" t="s">
        <v>1048</v>
      </c>
      <c r="K272" s="63">
        <f t="shared" si="86"/>
        <v>45818</v>
      </c>
      <c r="L272" s="55">
        <f t="shared" si="87"/>
        <v>0.04</v>
      </c>
      <c r="M272" s="76">
        <v>0.22500000000000001</v>
      </c>
      <c r="N272" s="62">
        <v>45818</v>
      </c>
      <c r="O272" s="62">
        <v>46182</v>
      </c>
      <c r="P272" s="63"/>
      <c r="Q272" s="63"/>
      <c r="R272" s="82">
        <v>37</v>
      </c>
      <c r="S272" s="63" t="str">
        <f>VLOOKUP(R272,SA!$B$5:$C$11,2,1)</f>
        <v>36-45</v>
      </c>
      <c r="T272" s="38" t="s">
        <v>96</v>
      </c>
      <c r="U272" s="24" t="s">
        <v>56</v>
      </c>
      <c r="V272" s="24">
        <v>300000</v>
      </c>
      <c r="W272" s="39">
        <f t="shared" si="88"/>
        <v>300000</v>
      </c>
      <c r="X272" s="29">
        <f t="shared" si="89"/>
        <v>1</v>
      </c>
      <c r="Y272" s="40">
        <f t="shared" si="90"/>
        <v>365</v>
      </c>
      <c r="Z272" s="38">
        <f t="shared" si="85"/>
        <v>46081</v>
      </c>
      <c r="AA272" s="41">
        <f t="shared" si="91"/>
        <v>264</v>
      </c>
      <c r="AB272" s="24" t="s">
        <v>125</v>
      </c>
      <c r="AC272" s="41">
        <f t="shared" si="92"/>
        <v>5017.3245999999999</v>
      </c>
      <c r="AD272" s="41">
        <v>1</v>
      </c>
      <c r="AE272" s="72">
        <f>IFERROR(INDEX(SA!$C$4:$E$11,MATCH(Details!S272,SA!$C$4:$C$11,0),MATCH(Details!V272,SA!$C$4:$E$4,0)),0)*Y272/(F272-E272+1)</f>
        <v>4251.97</v>
      </c>
      <c r="AF272" s="41">
        <f t="shared" si="93"/>
        <v>0</v>
      </c>
      <c r="AG272" s="41">
        <f t="shared" si="94"/>
        <v>0</v>
      </c>
      <c r="AH272" s="41">
        <f t="shared" si="95"/>
        <v>765.3546</v>
      </c>
      <c r="AI272" s="60">
        <f t="shared" si="96"/>
        <v>170.0788</v>
      </c>
      <c r="AJ272" s="60">
        <f t="shared" si="97"/>
        <v>956.69325000000003</v>
      </c>
      <c r="AK272" s="60">
        <f t="shared" si="98"/>
        <v>3075.397479452055</v>
      </c>
      <c r="AL272" s="60">
        <f t="shared" si="99"/>
        <v>2260.4171473972606</v>
      </c>
      <c r="AM272" s="41">
        <f t="shared" si="100"/>
        <v>864.78080260273941</v>
      </c>
      <c r="AN272" s="42">
        <f t="shared" si="101"/>
        <v>45715</v>
      </c>
      <c r="AO272" s="43">
        <f t="shared" si="102"/>
        <v>4251.97</v>
      </c>
    </row>
    <row r="273" spans="1:41" s="24" customFormat="1" ht="15.75" customHeight="1" x14ac:dyDescent="0.35">
      <c r="A273" s="36" t="s">
        <v>27</v>
      </c>
      <c r="B273" s="36">
        <v>202506</v>
      </c>
      <c r="C273" s="24" t="s">
        <v>128</v>
      </c>
      <c r="D273" s="24" t="s">
        <v>129</v>
      </c>
      <c r="E273" s="62">
        <v>45818</v>
      </c>
      <c r="F273" s="62">
        <v>46182</v>
      </c>
      <c r="G273" s="37" t="s">
        <v>401</v>
      </c>
      <c r="H273" s="36">
        <v>2082</v>
      </c>
      <c r="I273" s="63">
        <v>43751</v>
      </c>
      <c r="J273" s="24" t="s">
        <v>1049</v>
      </c>
      <c r="K273" s="63">
        <f t="shared" si="86"/>
        <v>45818</v>
      </c>
      <c r="L273" s="55">
        <f t="shared" si="87"/>
        <v>0.04</v>
      </c>
      <c r="M273" s="76">
        <v>0.22500000000000001</v>
      </c>
      <c r="N273" s="62">
        <v>45818</v>
      </c>
      <c r="O273" s="62">
        <v>46182</v>
      </c>
      <c r="P273" s="63"/>
      <c r="Q273" s="63"/>
      <c r="R273" s="82">
        <v>5</v>
      </c>
      <c r="S273" s="63" t="str">
        <f>VLOOKUP(R273,SA!$B$5:$C$11,2,1)</f>
        <v>0-35</v>
      </c>
      <c r="T273" s="38" t="s">
        <v>96</v>
      </c>
      <c r="U273" s="24" t="s">
        <v>114</v>
      </c>
      <c r="V273" s="24">
        <v>300000</v>
      </c>
      <c r="W273" s="39">
        <f t="shared" si="88"/>
        <v>0</v>
      </c>
      <c r="X273" s="29">
        <f t="shared" si="89"/>
        <v>0</v>
      </c>
      <c r="Y273" s="40">
        <f t="shared" si="90"/>
        <v>365</v>
      </c>
      <c r="Z273" s="38">
        <f t="shared" si="85"/>
        <v>46081</v>
      </c>
      <c r="AA273" s="41">
        <f t="shared" si="91"/>
        <v>264</v>
      </c>
      <c r="AB273" s="24" t="s">
        <v>125</v>
      </c>
      <c r="AC273" s="41">
        <f t="shared" si="92"/>
        <v>3874.2114000000001</v>
      </c>
      <c r="AD273" s="41">
        <v>1</v>
      </c>
      <c r="AE273" s="72">
        <f>IFERROR(INDEX(SA!$C$4:$E$11,MATCH(Details!S273,SA!$C$4:$C$11,0),MATCH(Details!V273,SA!$C$4:$E$4,0)),0)*Y273/(F273-E273+1)</f>
        <v>3283.23</v>
      </c>
      <c r="AF273" s="41">
        <f t="shared" si="93"/>
        <v>0</v>
      </c>
      <c r="AG273" s="41">
        <f t="shared" si="94"/>
        <v>0</v>
      </c>
      <c r="AH273" s="41">
        <f t="shared" si="95"/>
        <v>590.98140000000001</v>
      </c>
      <c r="AI273" s="60">
        <f t="shared" si="96"/>
        <v>131.32920000000001</v>
      </c>
      <c r="AJ273" s="60">
        <f t="shared" si="97"/>
        <v>738.72675000000004</v>
      </c>
      <c r="AK273" s="60">
        <f t="shared" si="98"/>
        <v>2374.7197808219175</v>
      </c>
      <c r="AL273" s="60">
        <f t="shared" si="99"/>
        <v>1745.4190389041094</v>
      </c>
      <c r="AM273" s="41">
        <f t="shared" si="100"/>
        <v>667.7550110958905</v>
      </c>
      <c r="AN273" s="42">
        <f t="shared" si="101"/>
        <v>45715</v>
      </c>
      <c r="AO273" s="43">
        <f t="shared" si="102"/>
        <v>3283.23</v>
      </c>
    </row>
    <row r="274" spans="1:41" s="24" customFormat="1" ht="15.75" customHeight="1" x14ac:dyDescent="0.35">
      <c r="A274" s="36" t="s">
        <v>27</v>
      </c>
      <c r="B274" s="36">
        <v>202506</v>
      </c>
      <c r="C274" s="24" t="s">
        <v>128</v>
      </c>
      <c r="D274" s="24" t="s">
        <v>129</v>
      </c>
      <c r="E274" s="62">
        <v>45818</v>
      </c>
      <c r="F274" s="62">
        <v>46182</v>
      </c>
      <c r="G274" s="37" t="s">
        <v>402</v>
      </c>
      <c r="H274" s="36">
        <v>2082</v>
      </c>
      <c r="I274" s="63">
        <v>34355</v>
      </c>
      <c r="J274" s="24" t="s">
        <v>1050</v>
      </c>
      <c r="K274" s="63">
        <f t="shared" si="86"/>
        <v>45818</v>
      </c>
      <c r="L274" s="55">
        <f t="shared" si="87"/>
        <v>0.04</v>
      </c>
      <c r="M274" s="76">
        <v>0.22500000000000001</v>
      </c>
      <c r="N274" s="62">
        <v>45818</v>
      </c>
      <c r="O274" s="62">
        <v>46182</v>
      </c>
      <c r="P274" s="63"/>
      <c r="Q274" s="63"/>
      <c r="R274" s="82">
        <v>31</v>
      </c>
      <c r="S274" s="63" t="str">
        <f>VLOOKUP(R274,SA!$B$5:$C$11,2,1)</f>
        <v>0-35</v>
      </c>
      <c r="T274" s="38" t="s">
        <v>97</v>
      </c>
      <c r="U274" s="24" t="s">
        <v>115</v>
      </c>
      <c r="V274" s="24">
        <v>300000</v>
      </c>
      <c r="W274" s="39">
        <f t="shared" si="88"/>
        <v>0</v>
      </c>
      <c r="X274" s="29">
        <f t="shared" si="89"/>
        <v>0</v>
      </c>
      <c r="Y274" s="40">
        <f t="shared" si="90"/>
        <v>365</v>
      </c>
      <c r="Z274" s="38">
        <f t="shared" si="85"/>
        <v>46081</v>
      </c>
      <c r="AA274" s="41">
        <f t="shared" si="91"/>
        <v>264</v>
      </c>
      <c r="AB274" s="24" t="s">
        <v>125</v>
      </c>
      <c r="AC274" s="41">
        <f t="shared" si="92"/>
        <v>3874.2114000000001</v>
      </c>
      <c r="AD274" s="41">
        <v>1</v>
      </c>
      <c r="AE274" s="72">
        <f>IFERROR(INDEX(SA!$C$4:$E$11,MATCH(Details!S274,SA!$C$4:$C$11,0),MATCH(Details!V274,SA!$C$4:$E$4,0)),0)*Y274/(F274-E274+1)</f>
        <v>3283.23</v>
      </c>
      <c r="AF274" s="41">
        <f t="shared" si="93"/>
        <v>0</v>
      </c>
      <c r="AG274" s="41">
        <f t="shared" si="94"/>
        <v>0</v>
      </c>
      <c r="AH274" s="41">
        <f t="shared" si="95"/>
        <v>590.98140000000001</v>
      </c>
      <c r="AI274" s="60">
        <f t="shared" si="96"/>
        <v>131.32920000000001</v>
      </c>
      <c r="AJ274" s="60">
        <f t="shared" si="97"/>
        <v>738.72675000000004</v>
      </c>
      <c r="AK274" s="60">
        <f t="shared" si="98"/>
        <v>2374.7197808219175</v>
      </c>
      <c r="AL274" s="60">
        <f t="shared" si="99"/>
        <v>1745.4190389041094</v>
      </c>
      <c r="AM274" s="41">
        <f t="shared" si="100"/>
        <v>667.7550110958905</v>
      </c>
      <c r="AN274" s="42">
        <f t="shared" si="101"/>
        <v>45715</v>
      </c>
      <c r="AO274" s="43">
        <f t="shared" si="102"/>
        <v>3283.23</v>
      </c>
    </row>
    <row r="275" spans="1:41" s="24" customFormat="1" ht="15.75" customHeight="1" x14ac:dyDescent="0.35">
      <c r="A275" s="36" t="s">
        <v>27</v>
      </c>
      <c r="B275" s="36">
        <v>202506</v>
      </c>
      <c r="C275" s="24" t="s">
        <v>128</v>
      </c>
      <c r="D275" s="24" t="s">
        <v>129</v>
      </c>
      <c r="E275" s="62">
        <v>45818</v>
      </c>
      <c r="F275" s="62">
        <v>46182</v>
      </c>
      <c r="G275" s="37" t="s">
        <v>403</v>
      </c>
      <c r="H275" s="36">
        <v>2082</v>
      </c>
      <c r="I275" s="63">
        <v>45702</v>
      </c>
      <c r="J275" s="24" t="s">
        <v>1051</v>
      </c>
      <c r="K275" s="63">
        <f t="shared" si="86"/>
        <v>45818</v>
      </c>
      <c r="L275" s="55">
        <f t="shared" si="87"/>
        <v>0.04</v>
      </c>
      <c r="M275" s="76">
        <v>0.22500000000000001</v>
      </c>
      <c r="N275" s="62">
        <v>45818</v>
      </c>
      <c r="O275" s="62">
        <v>46182</v>
      </c>
      <c r="P275" s="63"/>
      <c r="Q275" s="63"/>
      <c r="R275" s="82">
        <v>0</v>
      </c>
      <c r="S275" s="63" t="str">
        <f>VLOOKUP(R275,SA!$B$5:$C$11,2,1)</f>
        <v>0-35</v>
      </c>
      <c r="T275" s="38" t="s">
        <v>96</v>
      </c>
      <c r="U275" s="24" t="s">
        <v>114</v>
      </c>
      <c r="V275" s="24">
        <v>300000</v>
      </c>
      <c r="W275" s="39">
        <f t="shared" si="88"/>
        <v>0</v>
      </c>
      <c r="X275" s="29">
        <f t="shared" si="89"/>
        <v>0</v>
      </c>
      <c r="Y275" s="40">
        <f t="shared" si="90"/>
        <v>365</v>
      </c>
      <c r="Z275" s="38">
        <f t="shared" si="85"/>
        <v>46081</v>
      </c>
      <c r="AA275" s="41">
        <f t="shared" si="91"/>
        <v>264</v>
      </c>
      <c r="AB275" s="24" t="s">
        <v>125</v>
      </c>
      <c r="AC275" s="41">
        <f t="shared" si="92"/>
        <v>3874.2114000000001</v>
      </c>
      <c r="AD275" s="41">
        <v>1</v>
      </c>
      <c r="AE275" s="72">
        <f>IFERROR(INDEX(SA!$C$4:$E$11,MATCH(Details!S275,SA!$C$4:$C$11,0),MATCH(Details!V275,SA!$C$4:$E$4,0)),0)*Y275/(F275-E275+1)</f>
        <v>3283.23</v>
      </c>
      <c r="AF275" s="41">
        <f t="shared" si="93"/>
        <v>0</v>
      </c>
      <c r="AG275" s="41">
        <f t="shared" si="94"/>
        <v>0</v>
      </c>
      <c r="AH275" s="41">
        <f t="shared" si="95"/>
        <v>590.98140000000001</v>
      </c>
      <c r="AI275" s="60">
        <f t="shared" si="96"/>
        <v>131.32920000000001</v>
      </c>
      <c r="AJ275" s="60">
        <f t="shared" si="97"/>
        <v>738.72675000000004</v>
      </c>
      <c r="AK275" s="60">
        <f t="shared" si="98"/>
        <v>2374.7197808219175</v>
      </c>
      <c r="AL275" s="60">
        <f t="shared" si="99"/>
        <v>1745.4190389041094</v>
      </c>
      <c r="AM275" s="41">
        <f t="shared" si="100"/>
        <v>667.7550110958905</v>
      </c>
      <c r="AN275" s="42">
        <f t="shared" si="101"/>
        <v>45715</v>
      </c>
      <c r="AO275" s="43">
        <f t="shared" si="102"/>
        <v>3283.23</v>
      </c>
    </row>
    <row r="276" spans="1:41" s="24" customFormat="1" ht="15.75" customHeight="1" x14ac:dyDescent="0.35">
      <c r="A276" s="36" t="s">
        <v>27</v>
      </c>
      <c r="B276" s="36">
        <v>202506</v>
      </c>
      <c r="C276" s="24" t="s">
        <v>128</v>
      </c>
      <c r="D276" s="24" t="s">
        <v>129</v>
      </c>
      <c r="E276" s="62">
        <v>45818</v>
      </c>
      <c r="F276" s="62">
        <v>46182</v>
      </c>
      <c r="G276" s="37" t="s">
        <v>404</v>
      </c>
      <c r="H276" s="36">
        <v>2084</v>
      </c>
      <c r="I276" s="63">
        <v>27766</v>
      </c>
      <c r="J276" s="24" t="s">
        <v>1052</v>
      </c>
      <c r="K276" s="63">
        <f t="shared" si="86"/>
        <v>45818</v>
      </c>
      <c r="L276" s="55">
        <f t="shared" si="87"/>
        <v>0.04</v>
      </c>
      <c r="M276" s="76">
        <v>0.22500000000000001</v>
      </c>
      <c r="N276" s="62">
        <v>45818</v>
      </c>
      <c r="O276" s="62">
        <v>46182</v>
      </c>
      <c r="P276" s="63"/>
      <c r="Q276" s="63"/>
      <c r="R276" s="82">
        <v>49</v>
      </c>
      <c r="S276" s="63" t="str">
        <f>VLOOKUP(R276,SA!$B$5:$C$11,2,1)</f>
        <v>46-55</v>
      </c>
      <c r="T276" s="38" t="s">
        <v>96</v>
      </c>
      <c r="U276" s="24" t="s">
        <v>56</v>
      </c>
      <c r="V276" s="24">
        <v>300000</v>
      </c>
      <c r="W276" s="39">
        <f t="shared" si="88"/>
        <v>300000</v>
      </c>
      <c r="X276" s="29">
        <f t="shared" si="89"/>
        <v>1</v>
      </c>
      <c r="Y276" s="40">
        <f t="shared" si="90"/>
        <v>365</v>
      </c>
      <c r="Z276" s="38">
        <f t="shared" si="85"/>
        <v>46081</v>
      </c>
      <c r="AA276" s="41">
        <f t="shared" si="91"/>
        <v>264</v>
      </c>
      <c r="AB276" s="24" t="s">
        <v>125</v>
      </c>
      <c r="AC276" s="41">
        <f t="shared" si="92"/>
        <v>9586.9925999999996</v>
      </c>
      <c r="AD276" s="41">
        <v>1</v>
      </c>
      <c r="AE276" s="72">
        <f>IFERROR(INDEX(SA!$C$4:$E$11,MATCH(Details!S276,SA!$C$4:$C$11,0),MATCH(Details!V276,SA!$C$4:$E$4,0)),0)*Y276/(F276-E276+1)</f>
        <v>8124.57</v>
      </c>
      <c r="AF276" s="41">
        <f t="shared" si="93"/>
        <v>0</v>
      </c>
      <c r="AG276" s="41">
        <f t="shared" si="94"/>
        <v>0</v>
      </c>
      <c r="AH276" s="41">
        <f t="shared" si="95"/>
        <v>1462.4225999999999</v>
      </c>
      <c r="AI276" s="60">
        <f t="shared" si="96"/>
        <v>324.9828</v>
      </c>
      <c r="AJ276" s="60">
        <f t="shared" si="97"/>
        <v>1828.0282500000001</v>
      </c>
      <c r="AK276" s="60">
        <f t="shared" si="98"/>
        <v>5876.4013150684932</v>
      </c>
      <c r="AL276" s="60">
        <f t="shared" si="99"/>
        <v>4319.1549665753428</v>
      </c>
      <c r="AM276" s="41">
        <f t="shared" si="100"/>
        <v>1652.4039834246571</v>
      </c>
      <c r="AN276" s="42">
        <f t="shared" si="101"/>
        <v>45715</v>
      </c>
      <c r="AO276" s="43">
        <f t="shared" si="102"/>
        <v>8124.57</v>
      </c>
    </row>
    <row r="277" spans="1:41" s="24" customFormat="1" ht="15.75" customHeight="1" x14ac:dyDescent="0.35">
      <c r="A277" s="36" t="s">
        <v>27</v>
      </c>
      <c r="B277" s="36">
        <v>202506</v>
      </c>
      <c r="C277" s="24" t="s">
        <v>128</v>
      </c>
      <c r="D277" s="24" t="s">
        <v>129</v>
      </c>
      <c r="E277" s="62">
        <v>45818</v>
      </c>
      <c r="F277" s="62">
        <v>46182</v>
      </c>
      <c r="G277" s="37" t="s">
        <v>405</v>
      </c>
      <c r="H277" s="36">
        <v>2084</v>
      </c>
      <c r="I277" s="63">
        <v>28373</v>
      </c>
      <c r="J277" s="24" t="s">
        <v>1053</v>
      </c>
      <c r="K277" s="63">
        <f t="shared" si="86"/>
        <v>45818</v>
      </c>
      <c r="L277" s="55">
        <f t="shared" si="87"/>
        <v>0.04</v>
      </c>
      <c r="M277" s="76">
        <v>0.22500000000000001</v>
      </c>
      <c r="N277" s="62">
        <v>45818</v>
      </c>
      <c r="O277" s="62">
        <v>46182</v>
      </c>
      <c r="P277" s="63"/>
      <c r="Q277" s="63"/>
      <c r="R277" s="82">
        <v>47</v>
      </c>
      <c r="S277" s="63" t="str">
        <f>VLOOKUP(R277,SA!$B$5:$C$11,2,1)</f>
        <v>46-55</v>
      </c>
      <c r="T277" s="38" t="s">
        <v>97</v>
      </c>
      <c r="U277" s="24" t="s">
        <v>115</v>
      </c>
      <c r="V277" s="24">
        <v>300000</v>
      </c>
      <c r="W277" s="39">
        <f t="shared" si="88"/>
        <v>0</v>
      </c>
      <c r="X277" s="29">
        <f t="shared" si="89"/>
        <v>0</v>
      </c>
      <c r="Y277" s="40">
        <f t="shared" si="90"/>
        <v>365</v>
      </c>
      <c r="Z277" s="38">
        <f t="shared" si="85"/>
        <v>46081</v>
      </c>
      <c r="AA277" s="41">
        <f t="shared" si="91"/>
        <v>264</v>
      </c>
      <c r="AB277" s="24" t="s">
        <v>125</v>
      </c>
      <c r="AC277" s="41">
        <f t="shared" si="92"/>
        <v>9586.9925999999996</v>
      </c>
      <c r="AD277" s="41">
        <v>1</v>
      </c>
      <c r="AE277" s="72">
        <f>IFERROR(INDEX(SA!$C$4:$E$11,MATCH(Details!S277,SA!$C$4:$C$11,0),MATCH(Details!V277,SA!$C$4:$E$4,0)),0)*Y277/(F277-E277+1)</f>
        <v>8124.57</v>
      </c>
      <c r="AF277" s="41">
        <f t="shared" si="93"/>
        <v>0</v>
      </c>
      <c r="AG277" s="41">
        <f t="shared" si="94"/>
        <v>0</v>
      </c>
      <c r="AH277" s="41">
        <f t="shared" si="95"/>
        <v>1462.4225999999999</v>
      </c>
      <c r="AI277" s="60">
        <f t="shared" si="96"/>
        <v>324.9828</v>
      </c>
      <c r="AJ277" s="60">
        <f t="shared" si="97"/>
        <v>1828.0282500000001</v>
      </c>
      <c r="AK277" s="60">
        <f t="shared" si="98"/>
        <v>5876.4013150684932</v>
      </c>
      <c r="AL277" s="60">
        <f t="shared" si="99"/>
        <v>4319.1549665753428</v>
      </c>
      <c r="AM277" s="41">
        <f t="shared" si="100"/>
        <v>1652.4039834246571</v>
      </c>
      <c r="AN277" s="42">
        <f t="shared" si="101"/>
        <v>45715</v>
      </c>
      <c r="AO277" s="43">
        <f t="shared" si="102"/>
        <v>8124.57</v>
      </c>
    </row>
    <row r="278" spans="1:41" s="24" customFormat="1" ht="15.75" customHeight="1" x14ac:dyDescent="0.35">
      <c r="A278" s="36" t="s">
        <v>27</v>
      </c>
      <c r="B278" s="36">
        <v>202506</v>
      </c>
      <c r="C278" s="24" t="s">
        <v>128</v>
      </c>
      <c r="D278" s="24" t="s">
        <v>129</v>
      </c>
      <c r="E278" s="62">
        <v>45818</v>
      </c>
      <c r="F278" s="62">
        <v>46182</v>
      </c>
      <c r="G278" s="37" t="s">
        <v>406</v>
      </c>
      <c r="H278" s="36">
        <v>2084</v>
      </c>
      <c r="I278" s="63">
        <v>39779</v>
      </c>
      <c r="J278" s="24" t="s">
        <v>1054</v>
      </c>
      <c r="K278" s="63">
        <f t="shared" si="86"/>
        <v>45818</v>
      </c>
      <c r="L278" s="55">
        <f t="shared" si="87"/>
        <v>0.04</v>
      </c>
      <c r="M278" s="76">
        <v>0.22500000000000001</v>
      </c>
      <c r="N278" s="62">
        <v>45818</v>
      </c>
      <c r="O278" s="62">
        <v>46182</v>
      </c>
      <c r="P278" s="63"/>
      <c r="Q278" s="63"/>
      <c r="R278" s="82">
        <v>16</v>
      </c>
      <c r="S278" s="63" t="str">
        <f>VLOOKUP(R278,SA!$B$5:$C$11,2,1)</f>
        <v>0-35</v>
      </c>
      <c r="T278" s="38" t="s">
        <v>96</v>
      </c>
      <c r="U278" s="24" t="s">
        <v>114</v>
      </c>
      <c r="V278" s="24">
        <v>300000</v>
      </c>
      <c r="W278" s="39">
        <f t="shared" si="88"/>
        <v>0</v>
      </c>
      <c r="X278" s="29">
        <f t="shared" si="89"/>
        <v>0</v>
      </c>
      <c r="Y278" s="40">
        <f t="shared" si="90"/>
        <v>365</v>
      </c>
      <c r="Z278" s="38">
        <f t="shared" si="85"/>
        <v>46081</v>
      </c>
      <c r="AA278" s="41">
        <f t="shared" si="91"/>
        <v>264</v>
      </c>
      <c r="AB278" s="24" t="s">
        <v>125</v>
      </c>
      <c r="AC278" s="41">
        <f t="shared" si="92"/>
        <v>3874.2114000000001</v>
      </c>
      <c r="AD278" s="41">
        <v>1</v>
      </c>
      <c r="AE278" s="72">
        <f>IFERROR(INDEX(SA!$C$4:$E$11,MATCH(Details!S278,SA!$C$4:$C$11,0),MATCH(Details!V278,SA!$C$4:$E$4,0)),0)*Y278/(F278-E278+1)</f>
        <v>3283.23</v>
      </c>
      <c r="AF278" s="41">
        <f t="shared" si="93"/>
        <v>0</v>
      </c>
      <c r="AG278" s="41">
        <f t="shared" si="94"/>
        <v>0</v>
      </c>
      <c r="AH278" s="41">
        <f t="shared" si="95"/>
        <v>590.98140000000001</v>
      </c>
      <c r="AI278" s="60">
        <f t="shared" si="96"/>
        <v>131.32920000000001</v>
      </c>
      <c r="AJ278" s="60">
        <f t="shared" si="97"/>
        <v>738.72675000000004</v>
      </c>
      <c r="AK278" s="60">
        <f t="shared" si="98"/>
        <v>2374.7197808219175</v>
      </c>
      <c r="AL278" s="60">
        <f t="shared" si="99"/>
        <v>1745.4190389041094</v>
      </c>
      <c r="AM278" s="41">
        <f t="shared" si="100"/>
        <v>667.7550110958905</v>
      </c>
      <c r="AN278" s="42">
        <f t="shared" si="101"/>
        <v>45715</v>
      </c>
      <c r="AO278" s="43">
        <f t="shared" si="102"/>
        <v>3283.23</v>
      </c>
    </row>
    <row r="279" spans="1:41" s="24" customFormat="1" ht="15.75" customHeight="1" x14ac:dyDescent="0.35">
      <c r="A279" s="36" t="s">
        <v>27</v>
      </c>
      <c r="B279" s="36">
        <v>202506</v>
      </c>
      <c r="C279" s="24" t="s">
        <v>128</v>
      </c>
      <c r="D279" s="24" t="s">
        <v>129</v>
      </c>
      <c r="E279" s="62">
        <v>45818</v>
      </c>
      <c r="F279" s="62">
        <v>46182</v>
      </c>
      <c r="G279" s="37" t="s">
        <v>407</v>
      </c>
      <c r="H279" s="36">
        <v>2085</v>
      </c>
      <c r="I279" s="63">
        <v>29879</v>
      </c>
      <c r="J279" s="24" t="s">
        <v>1055</v>
      </c>
      <c r="K279" s="63">
        <f t="shared" si="86"/>
        <v>45818</v>
      </c>
      <c r="L279" s="55">
        <f t="shared" si="87"/>
        <v>0.04</v>
      </c>
      <c r="M279" s="76">
        <v>0.22500000000000001</v>
      </c>
      <c r="N279" s="62">
        <v>45818</v>
      </c>
      <c r="O279" s="62">
        <v>46182</v>
      </c>
      <c r="P279" s="63"/>
      <c r="Q279" s="63"/>
      <c r="R279" s="82">
        <v>43</v>
      </c>
      <c r="S279" s="63" t="str">
        <f>VLOOKUP(R279,SA!$B$5:$C$11,2,1)</f>
        <v>36-45</v>
      </c>
      <c r="T279" s="38" t="s">
        <v>96</v>
      </c>
      <c r="U279" s="24" t="s">
        <v>56</v>
      </c>
      <c r="V279" s="24">
        <v>300000</v>
      </c>
      <c r="W279" s="39">
        <f t="shared" si="88"/>
        <v>300000</v>
      </c>
      <c r="X279" s="29">
        <f t="shared" si="89"/>
        <v>1</v>
      </c>
      <c r="Y279" s="40">
        <f t="shared" si="90"/>
        <v>365</v>
      </c>
      <c r="Z279" s="38">
        <f t="shared" si="85"/>
        <v>46081</v>
      </c>
      <c r="AA279" s="41">
        <f t="shared" si="91"/>
        <v>264</v>
      </c>
      <c r="AB279" s="24" t="s">
        <v>125</v>
      </c>
      <c r="AC279" s="41">
        <f t="shared" si="92"/>
        <v>5017.3245999999999</v>
      </c>
      <c r="AD279" s="41">
        <v>1</v>
      </c>
      <c r="AE279" s="72">
        <f>IFERROR(INDEX(SA!$C$4:$E$11,MATCH(Details!S279,SA!$C$4:$C$11,0),MATCH(Details!V279,SA!$C$4:$E$4,0)),0)*Y279/(F279-E279+1)</f>
        <v>4251.97</v>
      </c>
      <c r="AF279" s="41">
        <f t="shared" si="93"/>
        <v>0</v>
      </c>
      <c r="AG279" s="41">
        <f t="shared" si="94"/>
        <v>0</v>
      </c>
      <c r="AH279" s="41">
        <f t="shared" si="95"/>
        <v>765.3546</v>
      </c>
      <c r="AI279" s="60">
        <f t="shared" si="96"/>
        <v>170.0788</v>
      </c>
      <c r="AJ279" s="60">
        <f t="shared" si="97"/>
        <v>956.69325000000003</v>
      </c>
      <c r="AK279" s="60">
        <f t="shared" si="98"/>
        <v>3075.397479452055</v>
      </c>
      <c r="AL279" s="60">
        <f t="shared" si="99"/>
        <v>2260.4171473972606</v>
      </c>
      <c r="AM279" s="41">
        <f t="shared" si="100"/>
        <v>864.78080260273941</v>
      </c>
      <c r="AN279" s="42">
        <f t="shared" si="101"/>
        <v>45715</v>
      </c>
      <c r="AO279" s="43">
        <f t="shared" si="102"/>
        <v>4251.97</v>
      </c>
    </row>
    <row r="280" spans="1:41" s="24" customFormat="1" ht="15.75" customHeight="1" x14ac:dyDescent="0.35">
      <c r="A280" s="36" t="s">
        <v>27</v>
      </c>
      <c r="B280" s="36">
        <v>202506</v>
      </c>
      <c r="C280" s="24" t="s">
        <v>128</v>
      </c>
      <c r="D280" s="24" t="s">
        <v>129</v>
      </c>
      <c r="E280" s="62">
        <v>45818</v>
      </c>
      <c r="F280" s="62">
        <v>46182</v>
      </c>
      <c r="G280" s="37" t="s">
        <v>408</v>
      </c>
      <c r="H280" s="36">
        <v>2085</v>
      </c>
      <c r="I280" s="63">
        <v>30611</v>
      </c>
      <c r="J280" s="24" t="s">
        <v>1056</v>
      </c>
      <c r="K280" s="63">
        <f t="shared" si="86"/>
        <v>45818</v>
      </c>
      <c r="L280" s="55">
        <f t="shared" si="87"/>
        <v>0.04</v>
      </c>
      <c r="M280" s="76">
        <v>0.22500000000000001</v>
      </c>
      <c r="N280" s="62">
        <v>45818</v>
      </c>
      <c r="O280" s="62">
        <v>46182</v>
      </c>
      <c r="P280" s="63"/>
      <c r="Q280" s="63"/>
      <c r="R280" s="82">
        <v>41</v>
      </c>
      <c r="S280" s="63" t="str">
        <f>VLOOKUP(R280,SA!$B$5:$C$11,2,1)</f>
        <v>36-45</v>
      </c>
      <c r="T280" s="38" t="s">
        <v>97</v>
      </c>
      <c r="U280" s="24" t="s">
        <v>115</v>
      </c>
      <c r="V280" s="24">
        <v>300000</v>
      </c>
      <c r="W280" s="39">
        <f t="shared" si="88"/>
        <v>0</v>
      </c>
      <c r="X280" s="29">
        <f t="shared" si="89"/>
        <v>0</v>
      </c>
      <c r="Y280" s="40">
        <f t="shared" si="90"/>
        <v>365</v>
      </c>
      <c r="Z280" s="38">
        <f t="shared" si="85"/>
        <v>46081</v>
      </c>
      <c r="AA280" s="41">
        <f t="shared" si="91"/>
        <v>264</v>
      </c>
      <c r="AB280" s="24" t="s">
        <v>125</v>
      </c>
      <c r="AC280" s="41">
        <f t="shared" si="92"/>
        <v>5017.3245999999999</v>
      </c>
      <c r="AD280" s="41">
        <v>1</v>
      </c>
      <c r="AE280" s="72">
        <f>IFERROR(INDEX(SA!$C$4:$E$11,MATCH(Details!S280,SA!$C$4:$C$11,0),MATCH(Details!V280,SA!$C$4:$E$4,0)),0)*Y280/(F280-E280+1)</f>
        <v>4251.97</v>
      </c>
      <c r="AF280" s="41">
        <f t="shared" si="93"/>
        <v>0</v>
      </c>
      <c r="AG280" s="41">
        <f t="shared" si="94"/>
        <v>0</v>
      </c>
      <c r="AH280" s="41">
        <f t="shared" si="95"/>
        <v>765.3546</v>
      </c>
      <c r="AI280" s="60">
        <f t="shared" si="96"/>
        <v>170.0788</v>
      </c>
      <c r="AJ280" s="60">
        <f t="shared" si="97"/>
        <v>956.69325000000003</v>
      </c>
      <c r="AK280" s="60">
        <f t="shared" si="98"/>
        <v>3075.397479452055</v>
      </c>
      <c r="AL280" s="60">
        <f t="shared" si="99"/>
        <v>2260.4171473972606</v>
      </c>
      <c r="AM280" s="41">
        <f t="shared" si="100"/>
        <v>864.78080260273941</v>
      </c>
      <c r="AN280" s="42">
        <f t="shared" si="101"/>
        <v>45715</v>
      </c>
      <c r="AO280" s="43">
        <f t="shared" si="102"/>
        <v>4251.97</v>
      </c>
    </row>
    <row r="281" spans="1:41" s="24" customFormat="1" ht="15.75" customHeight="1" x14ac:dyDescent="0.35">
      <c r="A281" s="36" t="s">
        <v>27</v>
      </c>
      <c r="B281" s="36">
        <v>202506</v>
      </c>
      <c r="C281" s="24" t="s">
        <v>128</v>
      </c>
      <c r="D281" s="24" t="s">
        <v>129</v>
      </c>
      <c r="E281" s="62">
        <v>45818</v>
      </c>
      <c r="F281" s="62">
        <v>46182</v>
      </c>
      <c r="G281" s="37" t="s">
        <v>409</v>
      </c>
      <c r="H281" s="36">
        <v>2085</v>
      </c>
      <c r="I281" s="63">
        <v>40056</v>
      </c>
      <c r="J281" s="24" t="s">
        <v>1057</v>
      </c>
      <c r="K281" s="63">
        <f t="shared" si="86"/>
        <v>45818</v>
      </c>
      <c r="L281" s="55">
        <f t="shared" si="87"/>
        <v>0.04</v>
      </c>
      <c r="M281" s="76">
        <v>0.22500000000000001</v>
      </c>
      <c r="N281" s="62">
        <v>45818</v>
      </c>
      <c r="O281" s="62">
        <v>46182</v>
      </c>
      <c r="P281" s="63"/>
      <c r="Q281" s="63"/>
      <c r="R281" s="82">
        <v>15</v>
      </c>
      <c r="S281" s="63" t="str">
        <f>VLOOKUP(R281,SA!$B$5:$C$11,2,1)</f>
        <v>0-35</v>
      </c>
      <c r="T281" s="38" t="s">
        <v>96</v>
      </c>
      <c r="U281" s="24" t="s">
        <v>114</v>
      </c>
      <c r="V281" s="24">
        <v>300000</v>
      </c>
      <c r="W281" s="39">
        <f t="shared" si="88"/>
        <v>0</v>
      </c>
      <c r="X281" s="29">
        <f t="shared" si="89"/>
        <v>0</v>
      </c>
      <c r="Y281" s="40">
        <f t="shared" si="90"/>
        <v>365</v>
      </c>
      <c r="Z281" s="38">
        <f t="shared" si="85"/>
        <v>46081</v>
      </c>
      <c r="AA281" s="41">
        <f t="shared" si="91"/>
        <v>264</v>
      </c>
      <c r="AB281" s="24" t="s">
        <v>125</v>
      </c>
      <c r="AC281" s="41">
        <f t="shared" si="92"/>
        <v>3874.2114000000001</v>
      </c>
      <c r="AD281" s="41">
        <v>1</v>
      </c>
      <c r="AE281" s="72">
        <f>IFERROR(INDEX(SA!$C$4:$E$11,MATCH(Details!S281,SA!$C$4:$C$11,0),MATCH(Details!V281,SA!$C$4:$E$4,0)),0)*Y281/(F281-E281+1)</f>
        <v>3283.23</v>
      </c>
      <c r="AF281" s="41">
        <f t="shared" si="93"/>
        <v>0</v>
      </c>
      <c r="AG281" s="41">
        <f t="shared" si="94"/>
        <v>0</v>
      </c>
      <c r="AH281" s="41">
        <f t="shared" si="95"/>
        <v>590.98140000000001</v>
      </c>
      <c r="AI281" s="60">
        <f t="shared" si="96"/>
        <v>131.32920000000001</v>
      </c>
      <c r="AJ281" s="60">
        <f t="shared" si="97"/>
        <v>738.72675000000004</v>
      </c>
      <c r="AK281" s="60">
        <f t="shared" si="98"/>
        <v>2374.7197808219175</v>
      </c>
      <c r="AL281" s="60">
        <f t="shared" si="99"/>
        <v>1745.4190389041094</v>
      </c>
      <c r="AM281" s="41">
        <f t="shared" si="100"/>
        <v>667.7550110958905</v>
      </c>
      <c r="AN281" s="42">
        <f t="shared" si="101"/>
        <v>45715</v>
      </c>
      <c r="AO281" s="43">
        <f t="shared" si="102"/>
        <v>3283.23</v>
      </c>
    </row>
    <row r="282" spans="1:41" s="24" customFormat="1" ht="15.75" customHeight="1" x14ac:dyDescent="0.35">
      <c r="A282" s="36" t="s">
        <v>27</v>
      </c>
      <c r="B282" s="36">
        <v>202506</v>
      </c>
      <c r="C282" s="24" t="s">
        <v>128</v>
      </c>
      <c r="D282" s="24" t="s">
        <v>129</v>
      </c>
      <c r="E282" s="62">
        <v>45818</v>
      </c>
      <c r="F282" s="62">
        <v>46182</v>
      </c>
      <c r="G282" s="37" t="s">
        <v>410</v>
      </c>
      <c r="H282" s="36">
        <v>2085</v>
      </c>
      <c r="I282" s="63">
        <v>42962</v>
      </c>
      <c r="J282" s="24" t="s">
        <v>1058</v>
      </c>
      <c r="K282" s="63">
        <f t="shared" si="86"/>
        <v>45818</v>
      </c>
      <c r="L282" s="55">
        <f t="shared" si="87"/>
        <v>0.04</v>
      </c>
      <c r="M282" s="76">
        <v>0.22500000000000001</v>
      </c>
      <c r="N282" s="62">
        <v>45818</v>
      </c>
      <c r="O282" s="62">
        <v>46182</v>
      </c>
      <c r="P282" s="63"/>
      <c r="Q282" s="63"/>
      <c r="R282" s="82">
        <v>7</v>
      </c>
      <c r="S282" s="63" t="str">
        <f>VLOOKUP(R282,SA!$B$5:$C$11,2,1)</f>
        <v>0-35</v>
      </c>
      <c r="T282" s="38" t="s">
        <v>96</v>
      </c>
      <c r="U282" s="24" t="s">
        <v>114</v>
      </c>
      <c r="V282" s="24">
        <v>300000</v>
      </c>
      <c r="W282" s="39">
        <f t="shared" si="88"/>
        <v>0</v>
      </c>
      <c r="X282" s="29">
        <f t="shared" si="89"/>
        <v>0</v>
      </c>
      <c r="Y282" s="40">
        <f t="shared" si="90"/>
        <v>365</v>
      </c>
      <c r="Z282" s="38">
        <f t="shared" si="85"/>
        <v>46081</v>
      </c>
      <c r="AA282" s="41">
        <f t="shared" si="91"/>
        <v>264</v>
      </c>
      <c r="AB282" s="24" t="s">
        <v>125</v>
      </c>
      <c r="AC282" s="41">
        <f t="shared" si="92"/>
        <v>3874.2114000000001</v>
      </c>
      <c r="AD282" s="41">
        <v>1</v>
      </c>
      <c r="AE282" s="72">
        <f>IFERROR(INDEX(SA!$C$4:$E$11,MATCH(Details!S282,SA!$C$4:$C$11,0),MATCH(Details!V282,SA!$C$4:$E$4,0)),0)*Y282/(F282-E282+1)</f>
        <v>3283.23</v>
      </c>
      <c r="AF282" s="41">
        <f t="shared" si="93"/>
        <v>0</v>
      </c>
      <c r="AG282" s="41">
        <f t="shared" si="94"/>
        <v>0</v>
      </c>
      <c r="AH282" s="41">
        <f t="shared" si="95"/>
        <v>590.98140000000001</v>
      </c>
      <c r="AI282" s="60">
        <f t="shared" si="96"/>
        <v>131.32920000000001</v>
      </c>
      <c r="AJ282" s="60">
        <f t="shared" si="97"/>
        <v>738.72675000000004</v>
      </c>
      <c r="AK282" s="60">
        <f t="shared" si="98"/>
        <v>2374.7197808219175</v>
      </c>
      <c r="AL282" s="60">
        <f t="shared" si="99"/>
        <v>1745.4190389041094</v>
      </c>
      <c r="AM282" s="41">
        <f t="shared" si="100"/>
        <v>667.7550110958905</v>
      </c>
      <c r="AN282" s="42">
        <f t="shared" si="101"/>
        <v>45715</v>
      </c>
      <c r="AO282" s="43">
        <f t="shared" si="102"/>
        <v>3283.23</v>
      </c>
    </row>
    <row r="283" spans="1:41" s="24" customFormat="1" ht="15.75" customHeight="1" x14ac:dyDescent="0.35">
      <c r="A283" s="36" t="s">
        <v>27</v>
      </c>
      <c r="B283" s="36">
        <v>202506</v>
      </c>
      <c r="C283" s="24" t="s">
        <v>128</v>
      </c>
      <c r="D283" s="24" t="s">
        <v>129</v>
      </c>
      <c r="E283" s="62">
        <v>45818</v>
      </c>
      <c r="F283" s="62">
        <v>46182</v>
      </c>
      <c r="G283" s="37" t="s">
        <v>411</v>
      </c>
      <c r="H283" s="36">
        <v>2086</v>
      </c>
      <c r="I283" s="63">
        <v>29220</v>
      </c>
      <c r="J283" s="24" t="s">
        <v>1059</v>
      </c>
      <c r="K283" s="63">
        <f t="shared" si="86"/>
        <v>45818</v>
      </c>
      <c r="L283" s="55">
        <f t="shared" si="87"/>
        <v>0.04</v>
      </c>
      <c r="M283" s="76">
        <v>0.22500000000000001</v>
      </c>
      <c r="N283" s="62">
        <v>45818</v>
      </c>
      <c r="O283" s="62">
        <v>46182</v>
      </c>
      <c r="P283" s="63"/>
      <c r="Q283" s="63"/>
      <c r="R283" s="82">
        <v>45</v>
      </c>
      <c r="S283" s="63" t="str">
        <f>VLOOKUP(R283,SA!$B$5:$C$11,2,1)</f>
        <v>36-45</v>
      </c>
      <c r="T283" s="38" t="s">
        <v>96</v>
      </c>
      <c r="U283" s="24" t="s">
        <v>56</v>
      </c>
      <c r="V283" s="24">
        <v>300000</v>
      </c>
      <c r="W283" s="39">
        <f t="shared" si="88"/>
        <v>300000</v>
      </c>
      <c r="X283" s="29">
        <f t="shared" si="89"/>
        <v>1</v>
      </c>
      <c r="Y283" s="40">
        <f t="shared" si="90"/>
        <v>365</v>
      </c>
      <c r="Z283" s="38">
        <f t="shared" si="85"/>
        <v>46081</v>
      </c>
      <c r="AA283" s="41">
        <f t="shared" si="91"/>
        <v>264</v>
      </c>
      <c r="AB283" s="24" t="s">
        <v>125</v>
      </c>
      <c r="AC283" s="41">
        <f t="shared" si="92"/>
        <v>5017.3245999999999</v>
      </c>
      <c r="AD283" s="41">
        <v>1</v>
      </c>
      <c r="AE283" s="72">
        <f>IFERROR(INDEX(SA!$C$4:$E$11,MATCH(Details!S283,SA!$C$4:$C$11,0),MATCH(Details!V283,SA!$C$4:$E$4,0)),0)*Y283/(F283-E283+1)</f>
        <v>4251.97</v>
      </c>
      <c r="AF283" s="41">
        <f t="shared" si="93"/>
        <v>0</v>
      </c>
      <c r="AG283" s="41">
        <f t="shared" si="94"/>
        <v>0</v>
      </c>
      <c r="AH283" s="41">
        <f t="shared" si="95"/>
        <v>765.3546</v>
      </c>
      <c r="AI283" s="60">
        <f t="shared" si="96"/>
        <v>170.0788</v>
      </c>
      <c r="AJ283" s="60">
        <f t="shared" si="97"/>
        <v>956.69325000000003</v>
      </c>
      <c r="AK283" s="60">
        <f t="shared" si="98"/>
        <v>3075.397479452055</v>
      </c>
      <c r="AL283" s="60">
        <f t="shared" si="99"/>
        <v>2260.4171473972606</v>
      </c>
      <c r="AM283" s="41">
        <f t="shared" si="100"/>
        <v>864.78080260273941</v>
      </c>
      <c r="AN283" s="42">
        <f t="shared" si="101"/>
        <v>45715</v>
      </c>
      <c r="AO283" s="43">
        <f t="shared" si="102"/>
        <v>4251.97</v>
      </c>
    </row>
    <row r="284" spans="1:41" s="24" customFormat="1" ht="15.75" customHeight="1" x14ac:dyDescent="0.35">
      <c r="A284" s="36" t="s">
        <v>27</v>
      </c>
      <c r="B284" s="36">
        <v>202506</v>
      </c>
      <c r="C284" s="24" t="s">
        <v>128</v>
      </c>
      <c r="D284" s="24" t="s">
        <v>129</v>
      </c>
      <c r="E284" s="62">
        <v>45818</v>
      </c>
      <c r="F284" s="62">
        <v>46182</v>
      </c>
      <c r="G284" s="37" t="s">
        <v>412</v>
      </c>
      <c r="H284" s="36">
        <v>2086</v>
      </c>
      <c r="I284" s="63">
        <v>31274</v>
      </c>
      <c r="J284" s="24" t="s">
        <v>1060</v>
      </c>
      <c r="K284" s="63">
        <f t="shared" si="86"/>
        <v>45818</v>
      </c>
      <c r="L284" s="55">
        <f t="shared" si="87"/>
        <v>0.04</v>
      </c>
      <c r="M284" s="76">
        <v>0.22500000000000001</v>
      </c>
      <c r="N284" s="62">
        <v>45818</v>
      </c>
      <c r="O284" s="62">
        <v>46182</v>
      </c>
      <c r="P284" s="63"/>
      <c r="Q284" s="63"/>
      <c r="R284" s="82">
        <v>39</v>
      </c>
      <c r="S284" s="63" t="str">
        <f>VLOOKUP(R284,SA!$B$5:$C$11,2,1)</f>
        <v>36-45</v>
      </c>
      <c r="T284" s="38" t="s">
        <v>97</v>
      </c>
      <c r="U284" s="24" t="s">
        <v>115</v>
      </c>
      <c r="V284" s="24">
        <v>300000</v>
      </c>
      <c r="W284" s="39">
        <f t="shared" si="88"/>
        <v>0</v>
      </c>
      <c r="X284" s="29">
        <f t="shared" si="89"/>
        <v>0</v>
      </c>
      <c r="Y284" s="40">
        <f t="shared" si="90"/>
        <v>365</v>
      </c>
      <c r="Z284" s="38">
        <f t="shared" si="85"/>
        <v>46081</v>
      </c>
      <c r="AA284" s="41">
        <f t="shared" si="91"/>
        <v>264</v>
      </c>
      <c r="AB284" s="24" t="s">
        <v>125</v>
      </c>
      <c r="AC284" s="41">
        <f t="shared" si="92"/>
        <v>5017.3245999999999</v>
      </c>
      <c r="AD284" s="41">
        <v>1</v>
      </c>
      <c r="AE284" s="72">
        <f>IFERROR(INDEX(SA!$C$4:$E$11,MATCH(Details!S284,SA!$C$4:$C$11,0),MATCH(Details!V284,SA!$C$4:$E$4,0)),0)*Y284/(F284-E284+1)</f>
        <v>4251.97</v>
      </c>
      <c r="AF284" s="41">
        <f t="shared" si="93"/>
        <v>0</v>
      </c>
      <c r="AG284" s="41">
        <f t="shared" si="94"/>
        <v>0</v>
      </c>
      <c r="AH284" s="41">
        <f t="shared" si="95"/>
        <v>765.3546</v>
      </c>
      <c r="AI284" s="60">
        <f t="shared" si="96"/>
        <v>170.0788</v>
      </c>
      <c r="AJ284" s="60">
        <f t="shared" si="97"/>
        <v>956.69325000000003</v>
      </c>
      <c r="AK284" s="60">
        <f t="shared" si="98"/>
        <v>3075.397479452055</v>
      </c>
      <c r="AL284" s="60">
        <f t="shared" si="99"/>
        <v>2260.4171473972606</v>
      </c>
      <c r="AM284" s="41">
        <f t="shared" si="100"/>
        <v>864.78080260273941</v>
      </c>
      <c r="AN284" s="42">
        <f t="shared" si="101"/>
        <v>45715</v>
      </c>
      <c r="AO284" s="43">
        <f t="shared" si="102"/>
        <v>4251.97</v>
      </c>
    </row>
    <row r="285" spans="1:41" s="24" customFormat="1" ht="15.75" customHeight="1" x14ac:dyDescent="0.35">
      <c r="A285" s="36" t="s">
        <v>27</v>
      </c>
      <c r="B285" s="36">
        <v>202506</v>
      </c>
      <c r="C285" s="24" t="s">
        <v>128</v>
      </c>
      <c r="D285" s="24" t="s">
        <v>129</v>
      </c>
      <c r="E285" s="62">
        <v>45818</v>
      </c>
      <c r="F285" s="62">
        <v>46182</v>
      </c>
      <c r="G285" s="37" t="s">
        <v>413</v>
      </c>
      <c r="H285" s="36">
        <v>2086</v>
      </c>
      <c r="I285" s="63">
        <v>39161</v>
      </c>
      <c r="J285" s="24" t="s">
        <v>1061</v>
      </c>
      <c r="K285" s="63">
        <f t="shared" si="86"/>
        <v>45818</v>
      </c>
      <c r="L285" s="55">
        <f t="shared" si="87"/>
        <v>0.04</v>
      </c>
      <c r="M285" s="76">
        <v>0.22500000000000001</v>
      </c>
      <c r="N285" s="62">
        <v>45818</v>
      </c>
      <c r="O285" s="62">
        <v>46182</v>
      </c>
      <c r="P285" s="63"/>
      <c r="Q285" s="63"/>
      <c r="R285" s="82">
        <v>18</v>
      </c>
      <c r="S285" s="63" t="str">
        <f>VLOOKUP(R285,SA!$B$5:$C$11,2,1)</f>
        <v>0-35</v>
      </c>
      <c r="T285" s="38" t="s">
        <v>96</v>
      </c>
      <c r="U285" s="24" t="s">
        <v>114</v>
      </c>
      <c r="V285" s="24">
        <v>300000</v>
      </c>
      <c r="W285" s="39">
        <f t="shared" si="88"/>
        <v>0</v>
      </c>
      <c r="X285" s="29">
        <f t="shared" si="89"/>
        <v>0</v>
      </c>
      <c r="Y285" s="40">
        <f t="shared" si="90"/>
        <v>365</v>
      </c>
      <c r="Z285" s="38">
        <f t="shared" si="85"/>
        <v>46081</v>
      </c>
      <c r="AA285" s="41">
        <f t="shared" si="91"/>
        <v>264</v>
      </c>
      <c r="AB285" s="24" t="s">
        <v>125</v>
      </c>
      <c r="AC285" s="41">
        <f t="shared" si="92"/>
        <v>3874.2114000000001</v>
      </c>
      <c r="AD285" s="41">
        <v>1</v>
      </c>
      <c r="AE285" s="72">
        <f>IFERROR(INDEX(SA!$C$4:$E$11,MATCH(Details!S285,SA!$C$4:$C$11,0),MATCH(Details!V285,SA!$C$4:$E$4,0)),0)*Y285/(F285-E285+1)</f>
        <v>3283.23</v>
      </c>
      <c r="AF285" s="41">
        <f t="shared" si="93"/>
        <v>0</v>
      </c>
      <c r="AG285" s="41">
        <f t="shared" si="94"/>
        <v>0</v>
      </c>
      <c r="AH285" s="41">
        <f t="shared" si="95"/>
        <v>590.98140000000001</v>
      </c>
      <c r="AI285" s="60">
        <f t="shared" si="96"/>
        <v>131.32920000000001</v>
      </c>
      <c r="AJ285" s="60">
        <f t="shared" si="97"/>
        <v>738.72675000000004</v>
      </c>
      <c r="AK285" s="60">
        <f t="shared" si="98"/>
        <v>2374.7197808219175</v>
      </c>
      <c r="AL285" s="60">
        <f t="shared" si="99"/>
        <v>1745.4190389041094</v>
      </c>
      <c r="AM285" s="41">
        <f t="shared" si="100"/>
        <v>667.7550110958905</v>
      </c>
      <c r="AN285" s="42">
        <f t="shared" si="101"/>
        <v>45715</v>
      </c>
      <c r="AO285" s="43">
        <f t="shared" si="102"/>
        <v>3283.23</v>
      </c>
    </row>
    <row r="286" spans="1:41" s="24" customFormat="1" ht="15.75" customHeight="1" x14ac:dyDescent="0.35">
      <c r="A286" s="36" t="s">
        <v>27</v>
      </c>
      <c r="B286" s="36">
        <v>202506</v>
      </c>
      <c r="C286" s="24" t="s">
        <v>128</v>
      </c>
      <c r="D286" s="24" t="s">
        <v>129</v>
      </c>
      <c r="E286" s="62">
        <v>45818</v>
      </c>
      <c r="F286" s="62">
        <v>46182</v>
      </c>
      <c r="G286" s="37" t="s">
        <v>414</v>
      </c>
      <c r="H286" s="36">
        <v>2086</v>
      </c>
      <c r="I286" s="63">
        <v>39705</v>
      </c>
      <c r="J286" s="24" t="s">
        <v>1062</v>
      </c>
      <c r="K286" s="63">
        <f t="shared" si="86"/>
        <v>45818</v>
      </c>
      <c r="L286" s="55">
        <f t="shared" si="87"/>
        <v>0.04</v>
      </c>
      <c r="M286" s="76">
        <v>0.22500000000000001</v>
      </c>
      <c r="N286" s="62">
        <v>45818</v>
      </c>
      <c r="O286" s="62">
        <v>46182</v>
      </c>
      <c r="P286" s="63"/>
      <c r="Q286" s="63"/>
      <c r="R286" s="82">
        <v>16</v>
      </c>
      <c r="S286" s="63" t="str">
        <f>VLOOKUP(R286,SA!$B$5:$C$11,2,1)</f>
        <v>0-35</v>
      </c>
      <c r="T286" s="38" t="s">
        <v>96</v>
      </c>
      <c r="U286" s="24" t="s">
        <v>114</v>
      </c>
      <c r="V286" s="24">
        <v>300000</v>
      </c>
      <c r="W286" s="39">
        <f t="shared" si="88"/>
        <v>0</v>
      </c>
      <c r="X286" s="29">
        <f t="shared" si="89"/>
        <v>0</v>
      </c>
      <c r="Y286" s="40">
        <f t="shared" si="90"/>
        <v>365</v>
      </c>
      <c r="Z286" s="38">
        <f t="shared" si="85"/>
        <v>46081</v>
      </c>
      <c r="AA286" s="41">
        <f t="shared" si="91"/>
        <v>264</v>
      </c>
      <c r="AB286" s="24" t="s">
        <v>125</v>
      </c>
      <c r="AC286" s="41">
        <f t="shared" si="92"/>
        <v>3874.2114000000001</v>
      </c>
      <c r="AD286" s="41">
        <v>1</v>
      </c>
      <c r="AE286" s="72">
        <f>IFERROR(INDEX(SA!$C$4:$E$11,MATCH(Details!S286,SA!$C$4:$C$11,0),MATCH(Details!V286,SA!$C$4:$E$4,0)),0)*Y286/(F286-E286+1)</f>
        <v>3283.23</v>
      </c>
      <c r="AF286" s="41">
        <f t="shared" si="93"/>
        <v>0</v>
      </c>
      <c r="AG286" s="41">
        <f t="shared" si="94"/>
        <v>0</v>
      </c>
      <c r="AH286" s="41">
        <f t="shared" si="95"/>
        <v>590.98140000000001</v>
      </c>
      <c r="AI286" s="60">
        <f t="shared" si="96"/>
        <v>131.32920000000001</v>
      </c>
      <c r="AJ286" s="60">
        <f t="shared" si="97"/>
        <v>738.72675000000004</v>
      </c>
      <c r="AK286" s="60">
        <f t="shared" si="98"/>
        <v>2374.7197808219175</v>
      </c>
      <c r="AL286" s="60">
        <f t="shared" si="99"/>
        <v>1745.4190389041094</v>
      </c>
      <c r="AM286" s="41">
        <f t="shared" si="100"/>
        <v>667.7550110958905</v>
      </c>
      <c r="AN286" s="42">
        <f t="shared" si="101"/>
        <v>45715</v>
      </c>
      <c r="AO286" s="43">
        <f t="shared" si="102"/>
        <v>3283.23</v>
      </c>
    </row>
    <row r="287" spans="1:41" s="24" customFormat="1" ht="15.75" customHeight="1" x14ac:dyDescent="0.35">
      <c r="A287" s="36" t="s">
        <v>27</v>
      </c>
      <c r="B287" s="36">
        <v>202506</v>
      </c>
      <c r="C287" s="24" t="s">
        <v>128</v>
      </c>
      <c r="D287" s="24" t="s">
        <v>129</v>
      </c>
      <c r="E287" s="62">
        <v>45818</v>
      </c>
      <c r="F287" s="62">
        <v>46182</v>
      </c>
      <c r="G287" s="37" t="s">
        <v>415</v>
      </c>
      <c r="H287" s="36">
        <v>2093</v>
      </c>
      <c r="I287" s="63">
        <v>29955</v>
      </c>
      <c r="J287" s="24" t="s">
        <v>1063</v>
      </c>
      <c r="K287" s="63">
        <f t="shared" si="86"/>
        <v>45818</v>
      </c>
      <c r="L287" s="55">
        <f t="shared" si="87"/>
        <v>0.04</v>
      </c>
      <c r="M287" s="76">
        <v>0.22500000000000001</v>
      </c>
      <c r="N287" s="62">
        <v>45818</v>
      </c>
      <c r="O287" s="62">
        <v>46182</v>
      </c>
      <c r="P287" s="63"/>
      <c r="Q287" s="63"/>
      <c r="R287" s="82">
        <v>43</v>
      </c>
      <c r="S287" s="63" t="str">
        <f>VLOOKUP(R287,SA!$B$5:$C$11,2,1)</f>
        <v>36-45</v>
      </c>
      <c r="T287" s="38" t="s">
        <v>96</v>
      </c>
      <c r="U287" s="24" t="s">
        <v>56</v>
      </c>
      <c r="V287" s="24">
        <v>300000</v>
      </c>
      <c r="W287" s="39">
        <f t="shared" si="88"/>
        <v>300000</v>
      </c>
      <c r="X287" s="29">
        <f t="shared" si="89"/>
        <v>1</v>
      </c>
      <c r="Y287" s="40">
        <f t="shared" si="90"/>
        <v>365</v>
      </c>
      <c r="Z287" s="38">
        <f t="shared" si="85"/>
        <v>46081</v>
      </c>
      <c r="AA287" s="41">
        <f t="shared" si="91"/>
        <v>264</v>
      </c>
      <c r="AB287" s="24" t="s">
        <v>125</v>
      </c>
      <c r="AC287" s="41">
        <f t="shared" si="92"/>
        <v>5017.3245999999999</v>
      </c>
      <c r="AD287" s="41">
        <v>1</v>
      </c>
      <c r="AE287" s="72">
        <f>IFERROR(INDEX(SA!$C$4:$E$11,MATCH(Details!S287,SA!$C$4:$C$11,0),MATCH(Details!V287,SA!$C$4:$E$4,0)),0)*Y287/(F287-E287+1)</f>
        <v>4251.97</v>
      </c>
      <c r="AF287" s="41">
        <f t="shared" si="93"/>
        <v>0</v>
      </c>
      <c r="AG287" s="41">
        <f t="shared" si="94"/>
        <v>0</v>
      </c>
      <c r="AH287" s="41">
        <f t="shared" si="95"/>
        <v>765.3546</v>
      </c>
      <c r="AI287" s="60">
        <f t="shared" si="96"/>
        <v>170.0788</v>
      </c>
      <c r="AJ287" s="60">
        <f t="shared" si="97"/>
        <v>956.69325000000003</v>
      </c>
      <c r="AK287" s="60">
        <f t="shared" si="98"/>
        <v>3075.397479452055</v>
      </c>
      <c r="AL287" s="60">
        <f t="shared" si="99"/>
        <v>2260.4171473972606</v>
      </c>
      <c r="AM287" s="41">
        <f t="shared" si="100"/>
        <v>864.78080260273941</v>
      </c>
      <c r="AN287" s="42">
        <f t="shared" si="101"/>
        <v>45715</v>
      </c>
      <c r="AO287" s="43">
        <f t="shared" si="102"/>
        <v>4251.97</v>
      </c>
    </row>
    <row r="288" spans="1:41" s="24" customFormat="1" ht="15.75" customHeight="1" x14ac:dyDescent="0.35">
      <c r="A288" s="36" t="s">
        <v>27</v>
      </c>
      <c r="B288" s="36">
        <v>202506</v>
      </c>
      <c r="C288" s="24" t="s">
        <v>128</v>
      </c>
      <c r="D288" s="24" t="s">
        <v>129</v>
      </c>
      <c r="E288" s="62">
        <v>45818</v>
      </c>
      <c r="F288" s="62">
        <v>46182</v>
      </c>
      <c r="G288" s="37" t="s">
        <v>416</v>
      </c>
      <c r="H288" s="36">
        <v>2093</v>
      </c>
      <c r="I288" s="63">
        <v>32300</v>
      </c>
      <c r="J288" s="24" t="s">
        <v>1064</v>
      </c>
      <c r="K288" s="63">
        <f t="shared" si="86"/>
        <v>45818</v>
      </c>
      <c r="L288" s="55">
        <f t="shared" si="87"/>
        <v>0.04</v>
      </c>
      <c r="M288" s="76">
        <v>0.22500000000000001</v>
      </c>
      <c r="N288" s="62">
        <v>45818</v>
      </c>
      <c r="O288" s="62">
        <v>46182</v>
      </c>
      <c r="P288" s="63"/>
      <c r="Q288" s="63"/>
      <c r="R288" s="82">
        <v>37</v>
      </c>
      <c r="S288" s="63" t="str">
        <f>VLOOKUP(R288,SA!$B$5:$C$11,2,1)</f>
        <v>36-45</v>
      </c>
      <c r="T288" s="38" t="s">
        <v>97</v>
      </c>
      <c r="U288" s="24" t="s">
        <v>115</v>
      </c>
      <c r="V288" s="24">
        <v>300000</v>
      </c>
      <c r="W288" s="39">
        <f t="shared" si="88"/>
        <v>0</v>
      </c>
      <c r="X288" s="29">
        <f t="shared" si="89"/>
        <v>0</v>
      </c>
      <c r="Y288" s="40">
        <f t="shared" si="90"/>
        <v>365</v>
      </c>
      <c r="Z288" s="38">
        <f t="shared" si="85"/>
        <v>46081</v>
      </c>
      <c r="AA288" s="41">
        <f t="shared" si="91"/>
        <v>264</v>
      </c>
      <c r="AB288" s="24" t="s">
        <v>125</v>
      </c>
      <c r="AC288" s="41">
        <f t="shared" si="92"/>
        <v>5017.3245999999999</v>
      </c>
      <c r="AD288" s="41">
        <v>1</v>
      </c>
      <c r="AE288" s="72">
        <f>IFERROR(INDEX(SA!$C$4:$E$11,MATCH(Details!S288,SA!$C$4:$C$11,0),MATCH(Details!V288,SA!$C$4:$E$4,0)),0)*Y288/(F288-E288+1)</f>
        <v>4251.97</v>
      </c>
      <c r="AF288" s="41">
        <f t="shared" si="93"/>
        <v>0</v>
      </c>
      <c r="AG288" s="41">
        <f t="shared" si="94"/>
        <v>0</v>
      </c>
      <c r="AH288" s="41">
        <f t="shared" si="95"/>
        <v>765.3546</v>
      </c>
      <c r="AI288" s="60">
        <f t="shared" si="96"/>
        <v>170.0788</v>
      </c>
      <c r="AJ288" s="60">
        <f t="shared" si="97"/>
        <v>956.69325000000003</v>
      </c>
      <c r="AK288" s="60">
        <f t="shared" si="98"/>
        <v>3075.397479452055</v>
      </c>
      <c r="AL288" s="60">
        <f t="shared" si="99"/>
        <v>2260.4171473972606</v>
      </c>
      <c r="AM288" s="41">
        <f t="shared" si="100"/>
        <v>864.78080260273941</v>
      </c>
      <c r="AN288" s="42">
        <f t="shared" si="101"/>
        <v>45715</v>
      </c>
      <c r="AO288" s="43">
        <f t="shared" si="102"/>
        <v>4251.97</v>
      </c>
    </row>
    <row r="289" spans="1:41" s="24" customFormat="1" ht="15.75" customHeight="1" x14ac:dyDescent="0.35">
      <c r="A289" s="36" t="s">
        <v>27</v>
      </c>
      <c r="B289" s="36">
        <v>202506</v>
      </c>
      <c r="C289" s="24" t="s">
        <v>128</v>
      </c>
      <c r="D289" s="24" t="s">
        <v>129</v>
      </c>
      <c r="E289" s="62">
        <v>45818</v>
      </c>
      <c r="F289" s="62">
        <v>46182</v>
      </c>
      <c r="G289" s="37" t="s">
        <v>417</v>
      </c>
      <c r="H289" s="36">
        <v>2093</v>
      </c>
      <c r="I289" s="63">
        <v>39806</v>
      </c>
      <c r="J289" s="24" t="s">
        <v>1065</v>
      </c>
      <c r="K289" s="63">
        <f t="shared" si="86"/>
        <v>45818</v>
      </c>
      <c r="L289" s="55">
        <f t="shared" si="87"/>
        <v>0.04</v>
      </c>
      <c r="M289" s="76">
        <v>0.22500000000000001</v>
      </c>
      <c r="N289" s="62">
        <v>45818</v>
      </c>
      <c r="O289" s="62">
        <v>46182</v>
      </c>
      <c r="P289" s="63"/>
      <c r="Q289" s="63"/>
      <c r="R289" s="82">
        <v>16</v>
      </c>
      <c r="S289" s="63" t="str">
        <f>VLOOKUP(R289,SA!$B$5:$C$11,2,1)</f>
        <v>0-35</v>
      </c>
      <c r="T289" s="38" t="s">
        <v>97</v>
      </c>
      <c r="U289" s="24" t="s">
        <v>113</v>
      </c>
      <c r="V289" s="24">
        <v>300000</v>
      </c>
      <c r="W289" s="39">
        <f t="shared" si="88"/>
        <v>0</v>
      </c>
      <c r="X289" s="29">
        <f t="shared" si="89"/>
        <v>0</v>
      </c>
      <c r="Y289" s="40">
        <f t="shared" si="90"/>
        <v>365</v>
      </c>
      <c r="Z289" s="38">
        <f t="shared" si="85"/>
        <v>46081</v>
      </c>
      <c r="AA289" s="41">
        <f t="shared" si="91"/>
        <v>264</v>
      </c>
      <c r="AB289" s="24" t="s">
        <v>125</v>
      </c>
      <c r="AC289" s="41">
        <f t="shared" si="92"/>
        <v>3874.2114000000001</v>
      </c>
      <c r="AD289" s="41">
        <v>1</v>
      </c>
      <c r="AE289" s="72">
        <f>IFERROR(INDEX(SA!$C$4:$E$11,MATCH(Details!S289,SA!$C$4:$C$11,0),MATCH(Details!V289,SA!$C$4:$E$4,0)),0)*Y289/(F289-E289+1)</f>
        <v>3283.23</v>
      </c>
      <c r="AF289" s="41">
        <f t="shared" si="93"/>
        <v>0</v>
      </c>
      <c r="AG289" s="41">
        <f t="shared" si="94"/>
        <v>0</v>
      </c>
      <c r="AH289" s="41">
        <f t="shared" si="95"/>
        <v>590.98140000000001</v>
      </c>
      <c r="AI289" s="60">
        <f t="shared" si="96"/>
        <v>131.32920000000001</v>
      </c>
      <c r="AJ289" s="60">
        <f t="shared" si="97"/>
        <v>738.72675000000004</v>
      </c>
      <c r="AK289" s="60">
        <f t="shared" si="98"/>
        <v>2374.7197808219175</v>
      </c>
      <c r="AL289" s="60">
        <f t="shared" si="99"/>
        <v>1745.4190389041094</v>
      </c>
      <c r="AM289" s="41">
        <f t="shared" si="100"/>
        <v>667.7550110958905</v>
      </c>
      <c r="AN289" s="42">
        <f t="shared" si="101"/>
        <v>45715</v>
      </c>
      <c r="AO289" s="43">
        <f t="shared" si="102"/>
        <v>3283.23</v>
      </c>
    </row>
    <row r="290" spans="1:41" s="24" customFormat="1" ht="15.75" customHeight="1" x14ac:dyDescent="0.35">
      <c r="A290" s="36" t="s">
        <v>27</v>
      </c>
      <c r="B290" s="36">
        <v>202506</v>
      </c>
      <c r="C290" s="24" t="s">
        <v>128</v>
      </c>
      <c r="D290" s="24" t="s">
        <v>129</v>
      </c>
      <c r="E290" s="62">
        <v>45818</v>
      </c>
      <c r="F290" s="62">
        <v>46182</v>
      </c>
      <c r="G290" s="37" t="s">
        <v>418</v>
      </c>
      <c r="H290" s="36">
        <v>2093</v>
      </c>
      <c r="I290" s="63">
        <v>40425</v>
      </c>
      <c r="J290" s="24" t="s">
        <v>1066</v>
      </c>
      <c r="K290" s="63">
        <f t="shared" si="86"/>
        <v>45818</v>
      </c>
      <c r="L290" s="55">
        <f t="shared" si="87"/>
        <v>0.04</v>
      </c>
      <c r="M290" s="76">
        <v>0.22500000000000001</v>
      </c>
      <c r="N290" s="62">
        <v>45818</v>
      </c>
      <c r="O290" s="62">
        <v>46182</v>
      </c>
      <c r="P290" s="63"/>
      <c r="Q290" s="63"/>
      <c r="R290" s="82">
        <v>14</v>
      </c>
      <c r="S290" s="63" t="str">
        <f>VLOOKUP(R290,SA!$B$5:$C$11,2,1)</f>
        <v>0-35</v>
      </c>
      <c r="T290" s="38" t="s">
        <v>97</v>
      </c>
      <c r="U290" s="24" t="s">
        <v>113</v>
      </c>
      <c r="V290" s="24">
        <v>300000</v>
      </c>
      <c r="W290" s="39">
        <f t="shared" si="88"/>
        <v>0</v>
      </c>
      <c r="X290" s="29">
        <f t="shared" si="89"/>
        <v>0</v>
      </c>
      <c r="Y290" s="40">
        <f t="shared" si="90"/>
        <v>365</v>
      </c>
      <c r="Z290" s="38">
        <f t="shared" si="85"/>
        <v>46081</v>
      </c>
      <c r="AA290" s="41">
        <f t="shared" si="91"/>
        <v>264</v>
      </c>
      <c r="AB290" s="24" t="s">
        <v>125</v>
      </c>
      <c r="AC290" s="41">
        <f t="shared" si="92"/>
        <v>3874.2114000000001</v>
      </c>
      <c r="AD290" s="41">
        <v>1</v>
      </c>
      <c r="AE290" s="72">
        <f>IFERROR(INDEX(SA!$C$4:$E$11,MATCH(Details!S290,SA!$C$4:$C$11,0),MATCH(Details!V290,SA!$C$4:$E$4,0)),0)*Y290/(F290-E290+1)</f>
        <v>3283.23</v>
      </c>
      <c r="AF290" s="41">
        <f t="shared" si="93"/>
        <v>0</v>
      </c>
      <c r="AG290" s="41">
        <f t="shared" si="94"/>
        <v>0</v>
      </c>
      <c r="AH290" s="41">
        <f t="shared" si="95"/>
        <v>590.98140000000001</v>
      </c>
      <c r="AI290" s="60">
        <f t="shared" si="96"/>
        <v>131.32920000000001</v>
      </c>
      <c r="AJ290" s="60">
        <f t="shared" si="97"/>
        <v>738.72675000000004</v>
      </c>
      <c r="AK290" s="60">
        <f t="shared" si="98"/>
        <v>2374.7197808219175</v>
      </c>
      <c r="AL290" s="60">
        <f t="shared" si="99"/>
        <v>1745.4190389041094</v>
      </c>
      <c r="AM290" s="41">
        <f t="shared" si="100"/>
        <v>667.7550110958905</v>
      </c>
      <c r="AN290" s="42">
        <f t="shared" si="101"/>
        <v>45715</v>
      </c>
      <c r="AO290" s="43">
        <f t="shared" si="102"/>
        <v>3283.23</v>
      </c>
    </row>
    <row r="291" spans="1:41" s="24" customFormat="1" ht="15.75" customHeight="1" x14ac:dyDescent="0.35">
      <c r="A291" s="36" t="s">
        <v>27</v>
      </c>
      <c r="B291" s="36">
        <v>202506</v>
      </c>
      <c r="C291" s="24" t="s">
        <v>128</v>
      </c>
      <c r="D291" s="24" t="s">
        <v>129</v>
      </c>
      <c r="E291" s="62">
        <v>45818</v>
      </c>
      <c r="F291" s="62">
        <v>46182</v>
      </c>
      <c r="G291" s="37" t="s">
        <v>419</v>
      </c>
      <c r="H291" s="36">
        <v>2094</v>
      </c>
      <c r="I291" s="63">
        <v>29179</v>
      </c>
      <c r="J291" s="24" t="s">
        <v>1067</v>
      </c>
      <c r="K291" s="63">
        <f t="shared" si="86"/>
        <v>45818</v>
      </c>
      <c r="L291" s="55">
        <f t="shared" si="87"/>
        <v>0.04</v>
      </c>
      <c r="M291" s="76">
        <v>0.22500000000000001</v>
      </c>
      <c r="N291" s="62">
        <v>45818</v>
      </c>
      <c r="O291" s="62">
        <v>46182</v>
      </c>
      <c r="P291" s="63"/>
      <c r="Q291" s="63"/>
      <c r="R291" s="82">
        <v>45</v>
      </c>
      <c r="S291" s="63" t="str">
        <f>VLOOKUP(R291,SA!$B$5:$C$11,2,1)</f>
        <v>36-45</v>
      </c>
      <c r="T291" s="38" t="s">
        <v>96</v>
      </c>
      <c r="U291" s="24" t="s">
        <v>56</v>
      </c>
      <c r="V291" s="24">
        <v>300000</v>
      </c>
      <c r="W291" s="39">
        <f t="shared" si="88"/>
        <v>300000</v>
      </c>
      <c r="X291" s="29">
        <f t="shared" si="89"/>
        <v>1</v>
      </c>
      <c r="Y291" s="40">
        <f t="shared" si="90"/>
        <v>365</v>
      </c>
      <c r="Z291" s="38">
        <f t="shared" si="85"/>
        <v>46081</v>
      </c>
      <c r="AA291" s="41">
        <f t="shared" si="91"/>
        <v>264</v>
      </c>
      <c r="AB291" s="24" t="s">
        <v>125</v>
      </c>
      <c r="AC291" s="41">
        <f t="shared" si="92"/>
        <v>5017.3245999999999</v>
      </c>
      <c r="AD291" s="41">
        <v>1</v>
      </c>
      <c r="AE291" s="72">
        <f>IFERROR(INDEX(SA!$C$4:$E$11,MATCH(Details!S291,SA!$C$4:$C$11,0),MATCH(Details!V291,SA!$C$4:$E$4,0)),0)*Y291/(F291-E291+1)</f>
        <v>4251.97</v>
      </c>
      <c r="AF291" s="41">
        <f t="shared" si="93"/>
        <v>0</v>
      </c>
      <c r="AG291" s="41">
        <f t="shared" si="94"/>
        <v>0</v>
      </c>
      <c r="AH291" s="41">
        <f t="shared" si="95"/>
        <v>765.3546</v>
      </c>
      <c r="AI291" s="60">
        <f t="shared" si="96"/>
        <v>170.0788</v>
      </c>
      <c r="AJ291" s="60">
        <f t="shared" si="97"/>
        <v>956.69325000000003</v>
      </c>
      <c r="AK291" s="60">
        <f t="shared" si="98"/>
        <v>3075.397479452055</v>
      </c>
      <c r="AL291" s="60">
        <f t="shared" si="99"/>
        <v>2260.4171473972606</v>
      </c>
      <c r="AM291" s="41">
        <f t="shared" si="100"/>
        <v>864.78080260273941</v>
      </c>
      <c r="AN291" s="42">
        <f t="shared" si="101"/>
        <v>45715</v>
      </c>
      <c r="AO291" s="43">
        <f t="shared" si="102"/>
        <v>4251.97</v>
      </c>
    </row>
    <row r="292" spans="1:41" s="24" customFormat="1" ht="15.75" customHeight="1" x14ac:dyDescent="0.35">
      <c r="A292" s="36" t="s">
        <v>27</v>
      </c>
      <c r="B292" s="36">
        <v>202506</v>
      </c>
      <c r="C292" s="24" t="s">
        <v>128</v>
      </c>
      <c r="D292" s="24" t="s">
        <v>129</v>
      </c>
      <c r="E292" s="62">
        <v>45818</v>
      </c>
      <c r="F292" s="62">
        <v>46182</v>
      </c>
      <c r="G292" s="37" t="s">
        <v>420</v>
      </c>
      <c r="H292" s="36">
        <v>2094</v>
      </c>
      <c r="I292" s="63">
        <v>41249</v>
      </c>
      <c r="J292" s="24" t="s">
        <v>1068</v>
      </c>
      <c r="K292" s="63">
        <f t="shared" si="86"/>
        <v>45818</v>
      </c>
      <c r="L292" s="55">
        <f t="shared" si="87"/>
        <v>0.04</v>
      </c>
      <c r="M292" s="76">
        <v>0.22500000000000001</v>
      </c>
      <c r="N292" s="62">
        <v>45818</v>
      </c>
      <c r="O292" s="62">
        <v>46182</v>
      </c>
      <c r="P292" s="63"/>
      <c r="Q292" s="63"/>
      <c r="R292" s="82">
        <v>12</v>
      </c>
      <c r="S292" s="63" t="str">
        <f>VLOOKUP(R292,SA!$B$5:$C$11,2,1)</f>
        <v>0-35</v>
      </c>
      <c r="T292" s="38" t="s">
        <v>96</v>
      </c>
      <c r="U292" s="24" t="s">
        <v>114</v>
      </c>
      <c r="V292" s="24">
        <v>300000</v>
      </c>
      <c r="W292" s="39">
        <f t="shared" si="88"/>
        <v>0</v>
      </c>
      <c r="X292" s="29">
        <f t="shared" si="89"/>
        <v>0</v>
      </c>
      <c r="Y292" s="40">
        <f t="shared" si="90"/>
        <v>365</v>
      </c>
      <c r="Z292" s="38">
        <f t="shared" si="85"/>
        <v>46081</v>
      </c>
      <c r="AA292" s="41">
        <f t="shared" si="91"/>
        <v>264</v>
      </c>
      <c r="AB292" s="24" t="s">
        <v>125</v>
      </c>
      <c r="AC292" s="41">
        <f t="shared" si="92"/>
        <v>3874.2114000000001</v>
      </c>
      <c r="AD292" s="41">
        <v>1</v>
      </c>
      <c r="AE292" s="72">
        <f>IFERROR(INDEX(SA!$C$4:$E$11,MATCH(Details!S292,SA!$C$4:$C$11,0),MATCH(Details!V292,SA!$C$4:$E$4,0)),0)*Y292/(F292-E292+1)</f>
        <v>3283.23</v>
      </c>
      <c r="AF292" s="41">
        <f t="shared" si="93"/>
        <v>0</v>
      </c>
      <c r="AG292" s="41">
        <f t="shared" si="94"/>
        <v>0</v>
      </c>
      <c r="AH292" s="41">
        <f t="shared" si="95"/>
        <v>590.98140000000001</v>
      </c>
      <c r="AI292" s="60">
        <f t="shared" si="96"/>
        <v>131.32920000000001</v>
      </c>
      <c r="AJ292" s="60">
        <f t="shared" si="97"/>
        <v>738.72675000000004</v>
      </c>
      <c r="AK292" s="60">
        <f t="shared" si="98"/>
        <v>2374.7197808219175</v>
      </c>
      <c r="AL292" s="60">
        <f t="shared" si="99"/>
        <v>1745.4190389041094</v>
      </c>
      <c r="AM292" s="41">
        <f t="shared" si="100"/>
        <v>667.7550110958905</v>
      </c>
      <c r="AN292" s="42">
        <f t="shared" si="101"/>
        <v>45715</v>
      </c>
      <c r="AO292" s="43">
        <f t="shared" si="102"/>
        <v>3283.23</v>
      </c>
    </row>
    <row r="293" spans="1:41" s="24" customFormat="1" ht="15.75" customHeight="1" x14ac:dyDescent="0.35">
      <c r="A293" s="36" t="s">
        <v>27</v>
      </c>
      <c r="B293" s="36">
        <v>202506</v>
      </c>
      <c r="C293" s="24" t="s">
        <v>128</v>
      </c>
      <c r="D293" s="24" t="s">
        <v>129</v>
      </c>
      <c r="E293" s="62">
        <v>45818</v>
      </c>
      <c r="F293" s="62">
        <v>46182</v>
      </c>
      <c r="G293" s="37" t="s">
        <v>421</v>
      </c>
      <c r="H293" s="36">
        <v>2094</v>
      </c>
      <c r="I293" s="63">
        <v>39527</v>
      </c>
      <c r="J293" s="24" t="s">
        <v>1069</v>
      </c>
      <c r="K293" s="63">
        <f t="shared" si="86"/>
        <v>45818</v>
      </c>
      <c r="L293" s="55">
        <f t="shared" si="87"/>
        <v>0.04</v>
      </c>
      <c r="M293" s="76">
        <v>0.22500000000000001</v>
      </c>
      <c r="N293" s="62">
        <v>45818</v>
      </c>
      <c r="O293" s="62">
        <v>46182</v>
      </c>
      <c r="P293" s="63"/>
      <c r="Q293" s="63"/>
      <c r="R293" s="82">
        <v>17</v>
      </c>
      <c r="S293" s="63" t="str">
        <f>VLOOKUP(R293,SA!$B$5:$C$11,2,1)</f>
        <v>0-35</v>
      </c>
      <c r="T293" s="38" t="s">
        <v>96</v>
      </c>
      <c r="U293" s="24" t="s">
        <v>114</v>
      </c>
      <c r="V293" s="24">
        <v>300000</v>
      </c>
      <c r="W293" s="39">
        <f t="shared" si="88"/>
        <v>0</v>
      </c>
      <c r="X293" s="29">
        <f t="shared" si="89"/>
        <v>0</v>
      </c>
      <c r="Y293" s="40">
        <f t="shared" si="90"/>
        <v>365</v>
      </c>
      <c r="Z293" s="38">
        <f t="shared" si="85"/>
        <v>46081</v>
      </c>
      <c r="AA293" s="41">
        <f t="shared" si="91"/>
        <v>264</v>
      </c>
      <c r="AB293" s="24" t="s">
        <v>125</v>
      </c>
      <c r="AC293" s="41">
        <f t="shared" si="92"/>
        <v>3874.2114000000001</v>
      </c>
      <c r="AD293" s="41">
        <v>1</v>
      </c>
      <c r="AE293" s="72">
        <f>IFERROR(INDEX(SA!$C$4:$E$11,MATCH(Details!S293,SA!$C$4:$C$11,0),MATCH(Details!V293,SA!$C$4:$E$4,0)),0)*Y293/(F293-E293+1)</f>
        <v>3283.23</v>
      </c>
      <c r="AF293" s="41">
        <f t="shared" si="93"/>
        <v>0</v>
      </c>
      <c r="AG293" s="41">
        <f t="shared" si="94"/>
        <v>0</v>
      </c>
      <c r="AH293" s="41">
        <f t="shared" si="95"/>
        <v>590.98140000000001</v>
      </c>
      <c r="AI293" s="60">
        <f t="shared" si="96"/>
        <v>131.32920000000001</v>
      </c>
      <c r="AJ293" s="60">
        <f t="shared" si="97"/>
        <v>738.72675000000004</v>
      </c>
      <c r="AK293" s="60">
        <f t="shared" si="98"/>
        <v>2374.7197808219175</v>
      </c>
      <c r="AL293" s="60">
        <f t="shared" si="99"/>
        <v>1745.4190389041094</v>
      </c>
      <c r="AM293" s="41">
        <f t="shared" si="100"/>
        <v>667.7550110958905</v>
      </c>
      <c r="AN293" s="42">
        <f t="shared" si="101"/>
        <v>45715</v>
      </c>
      <c r="AO293" s="43">
        <f t="shared" si="102"/>
        <v>3283.23</v>
      </c>
    </row>
    <row r="294" spans="1:41" s="24" customFormat="1" ht="15.75" customHeight="1" x14ac:dyDescent="0.35">
      <c r="A294" s="36" t="s">
        <v>27</v>
      </c>
      <c r="B294" s="36">
        <v>202506</v>
      </c>
      <c r="C294" s="24" t="s">
        <v>128</v>
      </c>
      <c r="D294" s="24" t="s">
        <v>129</v>
      </c>
      <c r="E294" s="62">
        <v>45818</v>
      </c>
      <c r="F294" s="62">
        <v>46182</v>
      </c>
      <c r="G294" s="37" t="s">
        <v>422</v>
      </c>
      <c r="H294" s="36">
        <v>2094</v>
      </c>
      <c r="I294" s="63">
        <v>31037</v>
      </c>
      <c r="J294" s="24" t="s">
        <v>1070</v>
      </c>
      <c r="K294" s="63">
        <f t="shared" si="86"/>
        <v>45818</v>
      </c>
      <c r="L294" s="55">
        <f t="shared" si="87"/>
        <v>0.04</v>
      </c>
      <c r="M294" s="76">
        <v>0.22500000000000001</v>
      </c>
      <c r="N294" s="62">
        <v>45818</v>
      </c>
      <c r="O294" s="62">
        <v>46182</v>
      </c>
      <c r="P294" s="63"/>
      <c r="Q294" s="63"/>
      <c r="R294" s="82">
        <v>40</v>
      </c>
      <c r="S294" s="63" t="str">
        <f>VLOOKUP(R294,SA!$B$5:$C$11,2,1)</f>
        <v>36-45</v>
      </c>
      <c r="T294" s="38" t="s">
        <v>97</v>
      </c>
      <c r="U294" s="24" t="s">
        <v>115</v>
      </c>
      <c r="V294" s="24">
        <v>300000</v>
      </c>
      <c r="W294" s="39">
        <f t="shared" si="88"/>
        <v>0</v>
      </c>
      <c r="X294" s="29">
        <f t="shared" si="89"/>
        <v>0</v>
      </c>
      <c r="Y294" s="40">
        <f t="shared" si="90"/>
        <v>365</v>
      </c>
      <c r="Z294" s="38">
        <f t="shared" si="85"/>
        <v>46081</v>
      </c>
      <c r="AA294" s="41">
        <f t="shared" si="91"/>
        <v>264</v>
      </c>
      <c r="AB294" s="24" t="s">
        <v>125</v>
      </c>
      <c r="AC294" s="41">
        <f t="shared" si="92"/>
        <v>5017.3245999999999</v>
      </c>
      <c r="AD294" s="41">
        <v>1</v>
      </c>
      <c r="AE294" s="72">
        <f>IFERROR(INDEX(SA!$C$4:$E$11,MATCH(Details!S294,SA!$C$4:$C$11,0),MATCH(Details!V294,SA!$C$4:$E$4,0)),0)*Y294/(F294-E294+1)</f>
        <v>4251.97</v>
      </c>
      <c r="AF294" s="41">
        <f t="shared" si="93"/>
        <v>0</v>
      </c>
      <c r="AG294" s="41">
        <f t="shared" si="94"/>
        <v>0</v>
      </c>
      <c r="AH294" s="41">
        <f t="shared" si="95"/>
        <v>765.3546</v>
      </c>
      <c r="AI294" s="60">
        <f t="shared" si="96"/>
        <v>170.0788</v>
      </c>
      <c r="AJ294" s="60">
        <f t="shared" si="97"/>
        <v>956.69325000000003</v>
      </c>
      <c r="AK294" s="60">
        <f t="shared" si="98"/>
        <v>3075.397479452055</v>
      </c>
      <c r="AL294" s="60">
        <f t="shared" si="99"/>
        <v>2260.4171473972606</v>
      </c>
      <c r="AM294" s="41">
        <f t="shared" si="100"/>
        <v>864.78080260273941</v>
      </c>
      <c r="AN294" s="42">
        <f t="shared" si="101"/>
        <v>45715</v>
      </c>
      <c r="AO294" s="43">
        <f t="shared" si="102"/>
        <v>4251.97</v>
      </c>
    </row>
    <row r="295" spans="1:41" s="24" customFormat="1" ht="15.75" customHeight="1" x14ac:dyDescent="0.35">
      <c r="A295" s="36" t="s">
        <v>27</v>
      </c>
      <c r="B295" s="36">
        <v>202506</v>
      </c>
      <c r="C295" s="24" t="s">
        <v>128</v>
      </c>
      <c r="D295" s="24" t="s">
        <v>129</v>
      </c>
      <c r="E295" s="62">
        <v>45818</v>
      </c>
      <c r="F295" s="62">
        <v>46182</v>
      </c>
      <c r="G295" s="37" t="s">
        <v>423</v>
      </c>
      <c r="H295" s="36">
        <v>2098</v>
      </c>
      <c r="I295" s="63">
        <v>27150</v>
      </c>
      <c r="J295" s="24" t="s">
        <v>1071</v>
      </c>
      <c r="K295" s="63">
        <f t="shared" si="86"/>
        <v>45818</v>
      </c>
      <c r="L295" s="55">
        <f t="shared" si="87"/>
        <v>0.04</v>
      </c>
      <c r="M295" s="76">
        <v>0.22500000000000001</v>
      </c>
      <c r="N295" s="62">
        <v>45818</v>
      </c>
      <c r="O295" s="62">
        <v>46182</v>
      </c>
      <c r="P295" s="63"/>
      <c r="Q295" s="63"/>
      <c r="R295" s="82">
        <v>51</v>
      </c>
      <c r="S295" s="63" t="str">
        <f>VLOOKUP(R295,SA!$B$5:$C$11,2,1)</f>
        <v>46-55</v>
      </c>
      <c r="T295" s="38" t="s">
        <v>96</v>
      </c>
      <c r="U295" s="24" t="s">
        <v>56</v>
      </c>
      <c r="V295" s="24">
        <v>300000</v>
      </c>
      <c r="W295" s="39">
        <f t="shared" si="88"/>
        <v>300000</v>
      </c>
      <c r="X295" s="29">
        <f t="shared" si="89"/>
        <v>1</v>
      </c>
      <c r="Y295" s="40">
        <f t="shared" si="90"/>
        <v>365</v>
      </c>
      <c r="Z295" s="38">
        <f t="shared" si="85"/>
        <v>46081</v>
      </c>
      <c r="AA295" s="41">
        <f t="shared" si="91"/>
        <v>264</v>
      </c>
      <c r="AB295" s="24" t="s">
        <v>125</v>
      </c>
      <c r="AC295" s="41">
        <f t="shared" si="92"/>
        <v>9586.9925999999996</v>
      </c>
      <c r="AD295" s="41">
        <v>1</v>
      </c>
      <c r="AE295" s="72">
        <f>IFERROR(INDEX(SA!$C$4:$E$11,MATCH(Details!S295,SA!$C$4:$C$11,0),MATCH(Details!V295,SA!$C$4:$E$4,0)),0)*Y295/(F295-E295+1)</f>
        <v>8124.57</v>
      </c>
      <c r="AF295" s="41">
        <f t="shared" si="93"/>
        <v>0</v>
      </c>
      <c r="AG295" s="41">
        <f t="shared" si="94"/>
        <v>0</v>
      </c>
      <c r="AH295" s="41">
        <f t="shared" si="95"/>
        <v>1462.4225999999999</v>
      </c>
      <c r="AI295" s="60">
        <f t="shared" si="96"/>
        <v>324.9828</v>
      </c>
      <c r="AJ295" s="60">
        <f t="shared" si="97"/>
        <v>1828.0282500000001</v>
      </c>
      <c r="AK295" s="60">
        <f t="shared" si="98"/>
        <v>5876.4013150684932</v>
      </c>
      <c r="AL295" s="60">
        <f t="shared" si="99"/>
        <v>4319.1549665753428</v>
      </c>
      <c r="AM295" s="41">
        <f t="shared" si="100"/>
        <v>1652.4039834246571</v>
      </c>
      <c r="AN295" s="42">
        <f t="shared" si="101"/>
        <v>45715</v>
      </c>
      <c r="AO295" s="43">
        <f t="shared" si="102"/>
        <v>8124.57</v>
      </c>
    </row>
    <row r="296" spans="1:41" s="24" customFormat="1" ht="15.75" customHeight="1" x14ac:dyDescent="0.35">
      <c r="A296" s="36" t="s">
        <v>27</v>
      </c>
      <c r="B296" s="36">
        <v>202506</v>
      </c>
      <c r="C296" s="24" t="s">
        <v>128</v>
      </c>
      <c r="D296" s="24" t="s">
        <v>129</v>
      </c>
      <c r="E296" s="62">
        <v>45818</v>
      </c>
      <c r="F296" s="62">
        <v>46182</v>
      </c>
      <c r="G296" s="37" t="s">
        <v>424</v>
      </c>
      <c r="H296" s="36">
        <v>2098</v>
      </c>
      <c r="I296" s="63">
        <v>38258</v>
      </c>
      <c r="J296" s="24" t="s">
        <v>1072</v>
      </c>
      <c r="K296" s="63">
        <f t="shared" si="86"/>
        <v>45818</v>
      </c>
      <c r="L296" s="55">
        <f t="shared" si="87"/>
        <v>0.04</v>
      </c>
      <c r="M296" s="76">
        <v>0.22500000000000001</v>
      </c>
      <c r="N296" s="62">
        <v>45818</v>
      </c>
      <c r="O296" s="62">
        <v>46182</v>
      </c>
      <c r="P296" s="63"/>
      <c r="Q296" s="63"/>
      <c r="R296" s="82">
        <v>20</v>
      </c>
      <c r="S296" s="63" t="str">
        <f>VLOOKUP(R296,SA!$B$5:$C$11,2,1)</f>
        <v>0-35</v>
      </c>
      <c r="T296" s="38" t="s">
        <v>96</v>
      </c>
      <c r="U296" s="24" t="s">
        <v>114</v>
      </c>
      <c r="V296" s="24">
        <v>300000</v>
      </c>
      <c r="W296" s="39">
        <f t="shared" si="88"/>
        <v>0</v>
      </c>
      <c r="X296" s="29">
        <f t="shared" si="89"/>
        <v>0</v>
      </c>
      <c r="Y296" s="40">
        <f t="shared" si="90"/>
        <v>365</v>
      </c>
      <c r="Z296" s="38">
        <f t="shared" si="85"/>
        <v>46081</v>
      </c>
      <c r="AA296" s="41">
        <f t="shared" si="91"/>
        <v>264</v>
      </c>
      <c r="AB296" s="24" t="s">
        <v>125</v>
      </c>
      <c r="AC296" s="41">
        <f t="shared" si="92"/>
        <v>3874.2114000000001</v>
      </c>
      <c r="AD296" s="41">
        <v>1</v>
      </c>
      <c r="AE296" s="72">
        <f>IFERROR(INDEX(SA!$C$4:$E$11,MATCH(Details!S296,SA!$C$4:$C$11,0),MATCH(Details!V296,SA!$C$4:$E$4,0)),0)*Y296/(F296-E296+1)</f>
        <v>3283.23</v>
      </c>
      <c r="AF296" s="41">
        <f t="shared" si="93"/>
        <v>0</v>
      </c>
      <c r="AG296" s="41">
        <f t="shared" si="94"/>
        <v>0</v>
      </c>
      <c r="AH296" s="41">
        <f t="shared" si="95"/>
        <v>590.98140000000001</v>
      </c>
      <c r="AI296" s="60">
        <f t="shared" si="96"/>
        <v>131.32920000000001</v>
      </c>
      <c r="AJ296" s="60">
        <f t="shared" si="97"/>
        <v>738.72675000000004</v>
      </c>
      <c r="AK296" s="60">
        <f t="shared" si="98"/>
        <v>2374.7197808219175</v>
      </c>
      <c r="AL296" s="60">
        <f t="shared" si="99"/>
        <v>1745.4190389041094</v>
      </c>
      <c r="AM296" s="41">
        <f t="shared" si="100"/>
        <v>667.7550110958905</v>
      </c>
      <c r="AN296" s="42">
        <f t="shared" si="101"/>
        <v>45715</v>
      </c>
      <c r="AO296" s="43">
        <f t="shared" si="102"/>
        <v>3283.23</v>
      </c>
    </row>
    <row r="297" spans="1:41" s="24" customFormat="1" ht="15.75" customHeight="1" x14ac:dyDescent="0.35">
      <c r="A297" s="36" t="s">
        <v>27</v>
      </c>
      <c r="B297" s="36">
        <v>202506</v>
      </c>
      <c r="C297" s="24" t="s">
        <v>128</v>
      </c>
      <c r="D297" s="24" t="s">
        <v>129</v>
      </c>
      <c r="E297" s="62">
        <v>45818</v>
      </c>
      <c r="F297" s="62">
        <v>46182</v>
      </c>
      <c r="G297" s="37" t="s">
        <v>425</v>
      </c>
      <c r="H297" s="36">
        <v>2098</v>
      </c>
      <c r="I297" s="63">
        <v>39739</v>
      </c>
      <c r="J297" s="24" t="s">
        <v>1073</v>
      </c>
      <c r="K297" s="63">
        <f t="shared" si="86"/>
        <v>45818</v>
      </c>
      <c r="L297" s="55">
        <f t="shared" si="87"/>
        <v>0.04</v>
      </c>
      <c r="M297" s="76">
        <v>0.22500000000000001</v>
      </c>
      <c r="N297" s="62">
        <v>45818</v>
      </c>
      <c r="O297" s="62">
        <v>46182</v>
      </c>
      <c r="P297" s="63"/>
      <c r="Q297" s="63"/>
      <c r="R297" s="82">
        <v>16</v>
      </c>
      <c r="S297" s="63" t="str">
        <f>VLOOKUP(R297,SA!$B$5:$C$11,2,1)</f>
        <v>0-35</v>
      </c>
      <c r="T297" s="38" t="s">
        <v>97</v>
      </c>
      <c r="U297" s="24" t="s">
        <v>113</v>
      </c>
      <c r="V297" s="24">
        <v>300000</v>
      </c>
      <c r="W297" s="39">
        <f t="shared" si="88"/>
        <v>0</v>
      </c>
      <c r="X297" s="29">
        <f t="shared" si="89"/>
        <v>0</v>
      </c>
      <c r="Y297" s="40">
        <f t="shared" si="90"/>
        <v>365</v>
      </c>
      <c r="Z297" s="38">
        <f t="shared" si="85"/>
        <v>46081</v>
      </c>
      <c r="AA297" s="41">
        <f t="shared" si="91"/>
        <v>264</v>
      </c>
      <c r="AB297" s="24" t="s">
        <v>125</v>
      </c>
      <c r="AC297" s="41">
        <f t="shared" si="92"/>
        <v>3874.2114000000001</v>
      </c>
      <c r="AD297" s="41">
        <v>1</v>
      </c>
      <c r="AE297" s="72">
        <f>IFERROR(INDEX(SA!$C$4:$E$11,MATCH(Details!S297,SA!$C$4:$C$11,0),MATCH(Details!V297,SA!$C$4:$E$4,0)),0)*Y297/(F297-E297+1)</f>
        <v>3283.23</v>
      </c>
      <c r="AF297" s="41">
        <f t="shared" si="93"/>
        <v>0</v>
      </c>
      <c r="AG297" s="41">
        <f t="shared" si="94"/>
        <v>0</v>
      </c>
      <c r="AH297" s="41">
        <f t="shared" si="95"/>
        <v>590.98140000000001</v>
      </c>
      <c r="AI297" s="60">
        <f t="shared" si="96"/>
        <v>131.32920000000001</v>
      </c>
      <c r="AJ297" s="60">
        <f t="shared" si="97"/>
        <v>738.72675000000004</v>
      </c>
      <c r="AK297" s="60">
        <f t="shared" si="98"/>
        <v>2374.7197808219175</v>
      </c>
      <c r="AL297" s="60">
        <f t="shared" si="99"/>
        <v>1745.4190389041094</v>
      </c>
      <c r="AM297" s="41">
        <f t="shared" si="100"/>
        <v>667.7550110958905</v>
      </c>
      <c r="AN297" s="42">
        <f t="shared" si="101"/>
        <v>45715</v>
      </c>
      <c r="AO297" s="43">
        <f t="shared" si="102"/>
        <v>3283.23</v>
      </c>
    </row>
    <row r="298" spans="1:41" s="24" customFormat="1" ht="15.75" customHeight="1" x14ac:dyDescent="0.35">
      <c r="A298" s="36" t="s">
        <v>27</v>
      </c>
      <c r="B298" s="36">
        <v>202506</v>
      </c>
      <c r="C298" s="24" t="s">
        <v>128</v>
      </c>
      <c r="D298" s="24" t="s">
        <v>129</v>
      </c>
      <c r="E298" s="62">
        <v>45818</v>
      </c>
      <c r="F298" s="62">
        <v>46182</v>
      </c>
      <c r="G298" s="37" t="s">
        <v>426</v>
      </c>
      <c r="H298" s="36">
        <v>2098</v>
      </c>
      <c r="I298" s="63">
        <v>27852</v>
      </c>
      <c r="J298" s="24" t="s">
        <v>1074</v>
      </c>
      <c r="K298" s="63">
        <f t="shared" si="86"/>
        <v>45818</v>
      </c>
      <c r="L298" s="55">
        <f t="shared" si="87"/>
        <v>0.04</v>
      </c>
      <c r="M298" s="76">
        <v>0.22500000000000001</v>
      </c>
      <c r="N298" s="62">
        <v>45818</v>
      </c>
      <c r="O298" s="62">
        <v>46182</v>
      </c>
      <c r="P298" s="63"/>
      <c r="Q298" s="63"/>
      <c r="R298" s="82">
        <v>49</v>
      </c>
      <c r="S298" s="63" t="str">
        <f>VLOOKUP(R298,SA!$B$5:$C$11,2,1)</f>
        <v>46-55</v>
      </c>
      <c r="T298" s="38" t="s">
        <v>97</v>
      </c>
      <c r="U298" s="24" t="s">
        <v>115</v>
      </c>
      <c r="V298" s="24">
        <v>300000</v>
      </c>
      <c r="W298" s="39">
        <f t="shared" si="88"/>
        <v>0</v>
      </c>
      <c r="X298" s="29">
        <f t="shared" si="89"/>
        <v>0</v>
      </c>
      <c r="Y298" s="40">
        <f t="shared" si="90"/>
        <v>365</v>
      </c>
      <c r="Z298" s="38">
        <f t="shared" si="85"/>
        <v>46081</v>
      </c>
      <c r="AA298" s="41">
        <f t="shared" si="91"/>
        <v>264</v>
      </c>
      <c r="AB298" s="24" t="s">
        <v>125</v>
      </c>
      <c r="AC298" s="41">
        <f t="shared" si="92"/>
        <v>9586.9925999999996</v>
      </c>
      <c r="AD298" s="41">
        <v>1</v>
      </c>
      <c r="AE298" s="72">
        <f>IFERROR(INDEX(SA!$C$4:$E$11,MATCH(Details!S298,SA!$C$4:$C$11,0),MATCH(Details!V298,SA!$C$4:$E$4,0)),0)*Y298/(F298-E298+1)</f>
        <v>8124.57</v>
      </c>
      <c r="AF298" s="41">
        <f t="shared" si="93"/>
        <v>0</v>
      </c>
      <c r="AG298" s="41">
        <f t="shared" si="94"/>
        <v>0</v>
      </c>
      <c r="AH298" s="41">
        <f t="shared" si="95"/>
        <v>1462.4225999999999</v>
      </c>
      <c r="AI298" s="60">
        <f t="shared" si="96"/>
        <v>324.9828</v>
      </c>
      <c r="AJ298" s="60">
        <f t="shared" si="97"/>
        <v>1828.0282500000001</v>
      </c>
      <c r="AK298" s="60">
        <f t="shared" si="98"/>
        <v>5876.4013150684932</v>
      </c>
      <c r="AL298" s="60">
        <f t="shared" si="99"/>
        <v>4319.1549665753428</v>
      </c>
      <c r="AM298" s="41">
        <f t="shared" si="100"/>
        <v>1652.4039834246571</v>
      </c>
      <c r="AN298" s="42">
        <f t="shared" si="101"/>
        <v>45715</v>
      </c>
      <c r="AO298" s="43">
        <f t="shared" si="102"/>
        <v>8124.57</v>
      </c>
    </row>
    <row r="299" spans="1:41" s="24" customFormat="1" ht="15.75" customHeight="1" x14ac:dyDescent="0.35">
      <c r="A299" s="36" t="s">
        <v>27</v>
      </c>
      <c r="B299" s="36">
        <v>202506</v>
      </c>
      <c r="C299" s="24" t="s">
        <v>128</v>
      </c>
      <c r="D299" s="24" t="s">
        <v>129</v>
      </c>
      <c r="E299" s="62">
        <v>45818</v>
      </c>
      <c r="F299" s="62">
        <v>46182</v>
      </c>
      <c r="G299" s="37" t="s">
        <v>427</v>
      </c>
      <c r="H299" s="36">
        <v>2100</v>
      </c>
      <c r="I299" s="63">
        <v>22815</v>
      </c>
      <c r="J299" s="24" t="s">
        <v>1075</v>
      </c>
      <c r="K299" s="63">
        <f t="shared" si="86"/>
        <v>45818</v>
      </c>
      <c r="L299" s="55">
        <f t="shared" si="87"/>
        <v>0.04</v>
      </c>
      <c r="M299" s="76">
        <v>0.22500000000000001</v>
      </c>
      <c r="N299" s="62">
        <v>45818</v>
      </c>
      <c r="O299" s="62">
        <v>46182</v>
      </c>
      <c r="P299" s="63"/>
      <c r="Q299" s="63"/>
      <c r="R299" s="82">
        <v>62</v>
      </c>
      <c r="S299" s="63" t="str">
        <f>VLOOKUP(R299,SA!$B$5:$C$11,2,1)</f>
        <v>56-65</v>
      </c>
      <c r="T299" s="38" t="s">
        <v>96</v>
      </c>
      <c r="U299" s="24" t="s">
        <v>56</v>
      </c>
      <c r="V299" s="24">
        <v>300000</v>
      </c>
      <c r="W299" s="39">
        <f t="shared" si="88"/>
        <v>300000</v>
      </c>
      <c r="X299" s="29">
        <f t="shared" si="89"/>
        <v>1</v>
      </c>
      <c r="Y299" s="40">
        <f t="shared" si="90"/>
        <v>365</v>
      </c>
      <c r="Z299" s="38">
        <f t="shared" si="85"/>
        <v>46081</v>
      </c>
      <c r="AA299" s="41">
        <f t="shared" si="91"/>
        <v>264</v>
      </c>
      <c r="AB299" s="24" t="s">
        <v>125</v>
      </c>
      <c r="AC299" s="41">
        <f t="shared" si="92"/>
        <v>16811.448199999999</v>
      </c>
      <c r="AD299" s="41">
        <v>1</v>
      </c>
      <c r="AE299" s="72">
        <f>IFERROR(INDEX(SA!$C$4:$E$11,MATCH(Details!S299,SA!$C$4:$C$11,0),MATCH(Details!V299,SA!$C$4:$E$4,0)),0)*Y299/(F299-E299+1)</f>
        <v>14246.99</v>
      </c>
      <c r="AF299" s="41">
        <f t="shared" si="93"/>
        <v>0</v>
      </c>
      <c r="AG299" s="41">
        <f t="shared" si="94"/>
        <v>0</v>
      </c>
      <c r="AH299" s="41">
        <f t="shared" si="95"/>
        <v>2564.4582</v>
      </c>
      <c r="AI299" s="60">
        <f t="shared" si="96"/>
        <v>569.87959999999998</v>
      </c>
      <c r="AJ299" s="60">
        <f t="shared" si="97"/>
        <v>3205.5727499999998</v>
      </c>
      <c r="AK299" s="60">
        <f t="shared" si="98"/>
        <v>10304.672219178083</v>
      </c>
      <c r="AL299" s="60">
        <f t="shared" si="99"/>
        <v>7573.9340810958911</v>
      </c>
      <c r="AM299" s="41">
        <f t="shared" si="100"/>
        <v>2897.6035689041087</v>
      </c>
      <c r="AN299" s="42">
        <f t="shared" si="101"/>
        <v>45715</v>
      </c>
      <c r="AO299" s="43">
        <f t="shared" si="102"/>
        <v>14246.99</v>
      </c>
    </row>
    <row r="300" spans="1:41" s="24" customFormat="1" ht="15.75" customHeight="1" x14ac:dyDescent="0.35">
      <c r="A300" s="36" t="s">
        <v>27</v>
      </c>
      <c r="B300" s="36">
        <v>202506</v>
      </c>
      <c r="C300" s="24" t="s">
        <v>128</v>
      </c>
      <c r="D300" s="24" t="s">
        <v>129</v>
      </c>
      <c r="E300" s="62">
        <v>45818</v>
      </c>
      <c r="F300" s="62">
        <v>46182</v>
      </c>
      <c r="G300" s="37" t="s">
        <v>428</v>
      </c>
      <c r="H300" s="36">
        <v>2100</v>
      </c>
      <c r="I300" s="63">
        <v>24630</v>
      </c>
      <c r="J300" s="24" t="s">
        <v>1076</v>
      </c>
      <c r="K300" s="63">
        <f t="shared" si="86"/>
        <v>45818</v>
      </c>
      <c r="L300" s="55">
        <f t="shared" si="87"/>
        <v>0.04</v>
      </c>
      <c r="M300" s="76">
        <v>0.22500000000000001</v>
      </c>
      <c r="N300" s="62">
        <v>45818</v>
      </c>
      <c r="O300" s="62">
        <v>46182</v>
      </c>
      <c r="P300" s="63"/>
      <c r="Q300" s="63"/>
      <c r="R300" s="82">
        <v>58</v>
      </c>
      <c r="S300" s="63" t="str">
        <f>VLOOKUP(R300,SA!$B$5:$C$11,2,1)</f>
        <v>56-65</v>
      </c>
      <c r="T300" s="38" t="s">
        <v>97</v>
      </c>
      <c r="U300" s="24" t="s">
        <v>115</v>
      </c>
      <c r="V300" s="24">
        <v>300000</v>
      </c>
      <c r="W300" s="39">
        <f t="shared" si="88"/>
        <v>0</v>
      </c>
      <c r="X300" s="29">
        <f t="shared" si="89"/>
        <v>0</v>
      </c>
      <c r="Y300" s="40">
        <f t="shared" si="90"/>
        <v>365</v>
      </c>
      <c r="Z300" s="38">
        <f t="shared" si="85"/>
        <v>46081</v>
      </c>
      <c r="AA300" s="41">
        <f t="shared" si="91"/>
        <v>264</v>
      </c>
      <c r="AB300" s="24" t="s">
        <v>125</v>
      </c>
      <c r="AC300" s="41">
        <f t="shared" si="92"/>
        <v>16811.448199999999</v>
      </c>
      <c r="AD300" s="41">
        <v>1</v>
      </c>
      <c r="AE300" s="72">
        <f>IFERROR(INDEX(SA!$C$4:$E$11,MATCH(Details!S300,SA!$C$4:$C$11,0),MATCH(Details!V300,SA!$C$4:$E$4,0)),0)*Y300/(F300-E300+1)</f>
        <v>14246.99</v>
      </c>
      <c r="AF300" s="41">
        <f t="shared" si="93"/>
        <v>0</v>
      </c>
      <c r="AG300" s="41">
        <f t="shared" si="94"/>
        <v>0</v>
      </c>
      <c r="AH300" s="41">
        <f t="shared" si="95"/>
        <v>2564.4582</v>
      </c>
      <c r="AI300" s="60">
        <f t="shared" si="96"/>
        <v>569.87959999999998</v>
      </c>
      <c r="AJ300" s="60">
        <f t="shared" si="97"/>
        <v>3205.5727499999998</v>
      </c>
      <c r="AK300" s="60">
        <f t="shared" si="98"/>
        <v>10304.672219178083</v>
      </c>
      <c r="AL300" s="60">
        <f t="shared" si="99"/>
        <v>7573.9340810958911</v>
      </c>
      <c r="AM300" s="41">
        <f t="shared" si="100"/>
        <v>2897.6035689041087</v>
      </c>
      <c r="AN300" s="42">
        <f t="shared" si="101"/>
        <v>45715</v>
      </c>
      <c r="AO300" s="43">
        <f t="shared" si="102"/>
        <v>14246.99</v>
      </c>
    </row>
    <row r="301" spans="1:41" s="24" customFormat="1" ht="15.75" customHeight="1" x14ac:dyDescent="0.35">
      <c r="A301" s="36" t="s">
        <v>27</v>
      </c>
      <c r="B301" s="36">
        <v>202506</v>
      </c>
      <c r="C301" s="24" t="s">
        <v>128</v>
      </c>
      <c r="D301" s="24" t="s">
        <v>129</v>
      </c>
      <c r="E301" s="62">
        <v>45818</v>
      </c>
      <c r="F301" s="62">
        <v>46182</v>
      </c>
      <c r="G301" s="37" t="s">
        <v>429</v>
      </c>
      <c r="H301" s="36">
        <v>2102</v>
      </c>
      <c r="I301" s="63">
        <v>30317</v>
      </c>
      <c r="J301" s="24" t="s">
        <v>1077</v>
      </c>
      <c r="K301" s="63">
        <f t="shared" si="86"/>
        <v>45818</v>
      </c>
      <c r="L301" s="55">
        <f t="shared" si="87"/>
        <v>0.04</v>
      </c>
      <c r="M301" s="76">
        <v>0.22500000000000001</v>
      </c>
      <c r="N301" s="62">
        <v>45818</v>
      </c>
      <c r="O301" s="62">
        <v>46182</v>
      </c>
      <c r="P301" s="63"/>
      <c r="Q301" s="63"/>
      <c r="R301" s="82">
        <v>42</v>
      </c>
      <c r="S301" s="63" t="str">
        <f>VLOOKUP(R301,SA!$B$5:$C$11,2,1)</f>
        <v>36-45</v>
      </c>
      <c r="T301" s="38" t="s">
        <v>96</v>
      </c>
      <c r="U301" s="24" t="s">
        <v>56</v>
      </c>
      <c r="V301" s="24">
        <v>300000</v>
      </c>
      <c r="W301" s="39">
        <f t="shared" si="88"/>
        <v>300000</v>
      </c>
      <c r="X301" s="29">
        <f t="shared" si="89"/>
        <v>1</v>
      </c>
      <c r="Y301" s="40">
        <f t="shared" si="90"/>
        <v>365</v>
      </c>
      <c r="Z301" s="38">
        <f t="shared" si="85"/>
        <v>46081</v>
      </c>
      <c r="AA301" s="41">
        <f t="shared" si="91"/>
        <v>264</v>
      </c>
      <c r="AB301" s="24" t="s">
        <v>125</v>
      </c>
      <c r="AC301" s="41">
        <f t="shared" si="92"/>
        <v>5017.3245999999999</v>
      </c>
      <c r="AD301" s="41">
        <v>1</v>
      </c>
      <c r="AE301" s="72">
        <f>IFERROR(INDEX(SA!$C$4:$E$11,MATCH(Details!S301,SA!$C$4:$C$11,0),MATCH(Details!V301,SA!$C$4:$E$4,0)),0)*Y301/(F301-E301+1)</f>
        <v>4251.97</v>
      </c>
      <c r="AF301" s="41">
        <f t="shared" si="93"/>
        <v>0</v>
      </c>
      <c r="AG301" s="41">
        <f t="shared" si="94"/>
        <v>0</v>
      </c>
      <c r="AH301" s="41">
        <f t="shared" si="95"/>
        <v>765.3546</v>
      </c>
      <c r="AI301" s="60">
        <f t="shared" si="96"/>
        <v>170.0788</v>
      </c>
      <c r="AJ301" s="60">
        <f t="shared" si="97"/>
        <v>956.69325000000003</v>
      </c>
      <c r="AK301" s="60">
        <f t="shared" si="98"/>
        <v>3075.397479452055</v>
      </c>
      <c r="AL301" s="60">
        <f t="shared" si="99"/>
        <v>2260.4171473972606</v>
      </c>
      <c r="AM301" s="41">
        <f t="shared" si="100"/>
        <v>864.78080260273941</v>
      </c>
      <c r="AN301" s="42">
        <f t="shared" si="101"/>
        <v>45715</v>
      </c>
      <c r="AO301" s="43">
        <f t="shared" si="102"/>
        <v>4251.97</v>
      </c>
    </row>
    <row r="302" spans="1:41" s="24" customFormat="1" ht="15.75" customHeight="1" x14ac:dyDescent="0.35">
      <c r="A302" s="36" t="s">
        <v>27</v>
      </c>
      <c r="B302" s="36">
        <v>202506</v>
      </c>
      <c r="C302" s="24" t="s">
        <v>128</v>
      </c>
      <c r="D302" s="24" t="s">
        <v>129</v>
      </c>
      <c r="E302" s="62">
        <v>45818</v>
      </c>
      <c r="F302" s="62">
        <v>46182</v>
      </c>
      <c r="G302" s="37" t="s">
        <v>430</v>
      </c>
      <c r="H302" s="36">
        <v>2102</v>
      </c>
      <c r="I302" s="63">
        <v>33838</v>
      </c>
      <c r="J302" s="24" t="s">
        <v>1078</v>
      </c>
      <c r="K302" s="63">
        <f t="shared" si="86"/>
        <v>45818</v>
      </c>
      <c r="L302" s="55">
        <f t="shared" si="87"/>
        <v>0.04</v>
      </c>
      <c r="M302" s="76">
        <v>0.22500000000000001</v>
      </c>
      <c r="N302" s="62">
        <v>45818</v>
      </c>
      <c r="O302" s="62">
        <v>46182</v>
      </c>
      <c r="P302" s="63"/>
      <c r="Q302" s="63"/>
      <c r="R302" s="82">
        <v>32</v>
      </c>
      <c r="S302" s="63" t="str">
        <f>VLOOKUP(R302,SA!$B$5:$C$11,2,1)</f>
        <v>0-35</v>
      </c>
      <c r="T302" s="38" t="s">
        <v>97</v>
      </c>
      <c r="U302" s="24" t="s">
        <v>115</v>
      </c>
      <c r="V302" s="24">
        <v>300000</v>
      </c>
      <c r="W302" s="39">
        <f t="shared" si="88"/>
        <v>0</v>
      </c>
      <c r="X302" s="29">
        <f t="shared" si="89"/>
        <v>0</v>
      </c>
      <c r="Y302" s="40">
        <f t="shared" si="90"/>
        <v>365</v>
      </c>
      <c r="Z302" s="38">
        <f t="shared" si="85"/>
        <v>46081</v>
      </c>
      <c r="AA302" s="41">
        <f t="shared" si="91"/>
        <v>264</v>
      </c>
      <c r="AB302" s="24" t="s">
        <v>125</v>
      </c>
      <c r="AC302" s="41">
        <f t="shared" si="92"/>
        <v>3874.2114000000001</v>
      </c>
      <c r="AD302" s="41">
        <v>1</v>
      </c>
      <c r="AE302" s="72">
        <f>IFERROR(INDEX(SA!$C$4:$E$11,MATCH(Details!S302,SA!$C$4:$C$11,0),MATCH(Details!V302,SA!$C$4:$E$4,0)),0)*Y302/(F302-E302+1)</f>
        <v>3283.23</v>
      </c>
      <c r="AF302" s="41">
        <f t="shared" si="93"/>
        <v>0</v>
      </c>
      <c r="AG302" s="41">
        <f t="shared" si="94"/>
        <v>0</v>
      </c>
      <c r="AH302" s="41">
        <f t="shared" si="95"/>
        <v>590.98140000000001</v>
      </c>
      <c r="AI302" s="60">
        <f t="shared" si="96"/>
        <v>131.32920000000001</v>
      </c>
      <c r="AJ302" s="60">
        <f t="shared" si="97"/>
        <v>738.72675000000004</v>
      </c>
      <c r="AK302" s="60">
        <f t="shared" si="98"/>
        <v>2374.7197808219175</v>
      </c>
      <c r="AL302" s="60">
        <f t="shared" si="99"/>
        <v>1745.4190389041094</v>
      </c>
      <c r="AM302" s="41">
        <f t="shared" si="100"/>
        <v>667.7550110958905</v>
      </c>
      <c r="AN302" s="42">
        <f t="shared" si="101"/>
        <v>45715</v>
      </c>
      <c r="AO302" s="43">
        <f t="shared" si="102"/>
        <v>3283.23</v>
      </c>
    </row>
    <row r="303" spans="1:41" s="24" customFormat="1" ht="15.75" customHeight="1" x14ac:dyDescent="0.35">
      <c r="A303" s="36" t="s">
        <v>27</v>
      </c>
      <c r="B303" s="36">
        <v>202506</v>
      </c>
      <c r="C303" s="24" t="s">
        <v>128</v>
      </c>
      <c r="D303" s="24" t="s">
        <v>129</v>
      </c>
      <c r="E303" s="62">
        <v>45818</v>
      </c>
      <c r="F303" s="62">
        <v>46182</v>
      </c>
      <c r="G303" s="37" t="s">
        <v>431</v>
      </c>
      <c r="H303" s="36">
        <v>2102</v>
      </c>
      <c r="I303" s="63">
        <v>44554</v>
      </c>
      <c r="J303" s="24" t="s">
        <v>1079</v>
      </c>
      <c r="K303" s="63">
        <f t="shared" si="86"/>
        <v>45818</v>
      </c>
      <c r="L303" s="55">
        <f t="shared" si="87"/>
        <v>0.04</v>
      </c>
      <c r="M303" s="76">
        <v>0.22500000000000001</v>
      </c>
      <c r="N303" s="62">
        <v>45818</v>
      </c>
      <c r="O303" s="62">
        <v>46182</v>
      </c>
      <c r="P303" s="63"/>
      <c r="Q303" s="63"/>
      <c r="R303" s="82">
        <v>3</v>
      </c>
      <c r="S303" s="63" t="str">
        <f>VLOOKUP(R303,SA!$B$5:$C$11,2,1)</f>
        <v>0-35</v>
      </c>
      <c r="T303" s="38" t="s">
        <v>96</v>
      </c>
      <c r="U303" s="24" t="s">
        <v>114</v>
      </c>
      <c r="V303" s="24">
        <v>300000</v>
      </c>
      <c r="W303" s="39">
        <f t="shared" si="88"/>
        <v>0</v>
      </c>
      <c r="X303" s="29">
        <f t="shared" si="89"/>
        <v>0</v>
      </c>
      <c r="Y303" s="40">
        <f t="shared" si="90"/>
        <v>365</v>
      </c>
      <c r="Z303" s="38">
        <f t="shared" si="85"/>
        <v>46081</v>
      </c>
      <c r="AA303" s="41">
        <f t="shared" si="91"/>
        <v>264</v>
      </c>
      <c r="AB303" s="24" t="s">
        <v>125</v>
      </c>
      <c r="AC303" s="41">
        <f t="shared" si="92"/>
        <v>3874.2114000000001</v>
      </c>
      <c r="AD303" s="41">
        <v>1</v>
      </c>
      <c r="AE303" s="72">
        <f>IFERROR(INDEX(SA!$C$4:$E$11,MATCH(Details!S303,SA!$C$4:$C$11,0),MATCH(Details!V303,SA!$C$4:$E$4,0)),0)*Y303/(F303-E303+1)</f>
        <v>3283.23</v>
      </c>
      <c r="AF303" s="41">
        <f t="shared" si="93"/>
        <v>0</v>
      </c>
      <c r="AG303" s="41">
        <f t="shared" si="94"/>
        <v>0</v>
      </c>
      <c r="AH303" s="41">
        <f t="shared" si="95"/>
        <v>590.98140000000001</v>
      </c>
      <c r="AI303" s="60">
        <f t="shared" si="96"/>
        <v>131.32920000000001</v>
      </c>
      <c r="AJ303" s="60">
        <f t="shared" si="97"/>
        <v>738.72675000000004</v>
      </c>
      <c r="AK303" s="60">
        <f t="shared" si="98"/>
        <v>2374.7197808219175</v>
      </c>
      <c r="AL303" s="60">
        <f t="shared" si="99"/>
        <v>1745.4190389041094</v>
      </c>
      <c r="AM303" s="41">
        <f t="shared" si="100"/>
        <v>667.7550110958905</v>
      </c>
      <c r="AN303" s="42">
        <f t="shared" si="101"/>
        <v>45715</v>
      </c>
      <c r="AO303" s="43">
        <f t="shared" si="102"/>
        <v>3283.23</v>
      </c>
    </row>
    <row r="304" spans="1:41" s="24" customFormat="1" ht="15.75" customHeight="1" x14ac:dyDescent="0.35">
      <c r="A304" s="36" t="s">
        <v>27</v>
      </c>
      <c r="B304" s="36">
        <v>202506</v>
      </c>
      <c r="C304" s="24" t="s">
        <v>128</v>
      </c>
      <c r="D304" s="24" t="s">
        <v>129</v>
      </c>
      <c r="E304" s="62">
        <v>45818</v>
      </c>
      <c r="F304" s="62">
        <v>46182</v>
      </c>
      <c r="G304" s="37" t="s">
        <v>432</v>
      </c>
      <c r="H304" s="36">
        <v>2107</v>
      </c>
      <c r="I304" s="63">
        <v>30466</v>
      </c>
      <c r="J304" s="24" t="s">
        <v>1080</v>
      </c>
      <c r="K304" s="63">
        <f t="shared" si="86"/>
        <v>45818</v>
      </c>
      <c r="L304" s="55">
        <f t="shared" si="87"/>
        <v>0.04</v>
      </c>
      <c r="M304" s="76">
        <v>0.22500000000000001</v>
      </c>
      <c r="N304" s="62">
        <v>45818</v>
      </c>
      <c r="O304" s="62">
        <v>46182</v>
      </c>
      <c r="P304" s="63"/>
      <c r="Q304" s="63"/>
      <c r="R304" s="82">
        <v>42</v>
      </c>
      <c r="S304" s="63" t="str">
        <f>VLOOKUP(R304,SA!$B$5:$C$11,2,1)</f>
        <v>36-45</v>
      </c>
      <c r="T304" s="38" t="s">
        <v>96</v>
      </c>
      <c r="U304" s="24" t="s">
        <v>56</v>
      </c>
      <c r="V304" s="24">
        <v>300000</v>
      </c>
      <c r="W304" s="39">
        <f t="shared" si="88"/>
        <v>300000</v>
      </c>
      <c r="X304" s="29">
        <f t="shared" si="89"/>
        <v>1</v>
      </c>
      <c r="Y304" s="40">
        <f t="shared" si="90"/>
        <v>365</v>
      </c>
      <c r="Z304" s="38">
        <f t="shared" si="85"/>
        <v>46081</v>
      </c>
      <c r="AA304" s="41">
        <f t="shared" si="91"/>
        <v>264</v>
      </c>
      <c r="AB304" s="24" t="s">
        <v>125</v>
      </c>
      <c r="AC304" s="41">
        <f t="shared" si="92"/>
        <v>5017.3245999999999</v>
      </c>
      <c r="AD304" s="41">
        <v>1</v>
      </c>
      <c r="AE304" s="72">
        <f>IFERROR(INDEX(SA!$C$4:$E$11,MATCH(Details!S304,SA!$C$4:$C$11,0),MATCH(Details!V304,SA!$C$4:$E$4,0)),0)*Y304/(F304-E304+1)</f>
        <v>4251.97</v>
      </c>
      <c r="AF304" s="41">
        <f t="shared" si="93"/>
        <v>0</v>
      </c>
      <c r="AG304" s="41">
        <f t="shared" si="94"/>
        <v>0</v>
      </c>
      <c r="AH304" s="41">
        <f t="shared" si="95"/>
        <v>765.3546</v>
      </c>
      <c r="AI304" s="60">
        <f t="shared" si="96"/>
        <v>170.0788</v>
      </c>
      <c r="AJ304" s="60">
        <f t="shared" si="97"/>
        <v>956.69325000000003</v>
      </c>
      <c r="AK304" s="60">
        <f t="shared" si="98"/>
        <v>3075.397479452055</v>
      </c>
      <c r="AL304" s="60">
        <f t="shared" si="99"/>
        <v>2260.4171473972606</v>
      </c>
      <c r="AM304" s="41">
        <f t="shared" si="100"/>
        <v>864.78080260273941</v>
      </c>
      <c r="AN304" s="42">
        <f t="shared" si="101"/>
        <v>45715</v>
      </c>
      <c r="AO304" s="43">
        <f t="shared" si="102"/>
        <v>4251.97</v>
      </c>
    </row>
    <row r="305" spans="1:41" s="24" customFormat="1" ht="15.75" customHeight="1" x14ac:dyDescent="0.35">
      <c r="A305" s="36" t="s">
        <v>27</v>
      </c>
      <c r="B305" s="36">
        <v>202506</v>
      </c>
      <c r="C305" s="24" t="s">
        <v>128</v>
      </c>
      <c r="D305" s="24" t="s">
        <v>129</v>
      </c>
      <c r="E305" s="62">
        <v>45818</v>
      </c>
      <c r="F305" s="62">
        <v>46182</v>
      </c>
      <c r="G305" s="37" t="s">
        <v>433</v>
      </c>
      <c r="H305" s="36">
        <v>2107</v>
      </c>
      <c r="I305" s="63">
        <v>40396</v>
      </c>
      <c r="J305" s="24" t="s">
        <v>1081</v>
      </c>
      <c r="K305" s="63">
        <f t="shared" si="86"/>
        <v>45818</v>
      </c>
      <c r="L305" s="55">
        <f t="shared" si="87"/>
        <v>0.04</v>
      </c>
      <c r="M305" s="76">
        <v>0.22500000000000001</v>
      </c>
      <c r="N305" s="62">
        <v>45818</v>
      </c>
      <c r="O305" s="62">
        <v>46182</v>
      </c>
      <c r="P305" s="63"/>
      <c r="Q305" s="63"/>
      <c r="R305" s="82">
        <v>14</v>
      </c>
      <c r="S305" s="63" t="str">
        <f>VLOOKUP(R305,SA!$B$5:$C$11,2,1)</f>
        <v>0-35</v>
      </c>
      <c r="T305" s="38" t="s">
        <v>96</v>
      </c>
      <c r="U305" s="24" t="s">
        <v>114</v>
      </c>
      <c r="V305" s="24">
        <v>300000</v>
      </c>
      <c r="W305" s="39">
        <f t="shared" si="88"/>
        <v>0</v>
      </c>
      <c r="X305" s="29">
        <f t="shared" si="89"/>
        <v>0</v>
      </c>
      <c r="Y305" s="40">
        <f t="shared" si="90"/>
        <v>365</v>
      </c>
      <c r="Z305" s="38">
        <f t="shared" si="85"/>
        <v>46081</v>
      </c>
      <c r="AA305" s="41">
        <f t="shared" si="91"/>
        <v>264</v>
      </c>
      <c r="AB305" s="24" t="s">
        <v>125</v>
      </c>
      <c r="AC305" s="41">
        <f t="shared" si="92"/>
        <v>3874.2114000000001</v>
      </c>
      <c r="AD305" s="41">
        <v>1</v>
      </c>
      <c r="AE305" s="72">
        <f>IFERROR(INDEX(SA!$C$4:$E$11,MATCH(Details!S305,SA!$C$4:$C$11,0),MATCH(Details!V305,SA!$C$4:$E$4,0)),0)*Y305/(F305-E305+1)</f>
        <v>3283.23</v>
      </c>
      <c r="AF305" s="41">
        <f t="shared" si="93"/>
        <v>0</v>
      </c>
      <c r="AG305" s="41">
        <f t="shared" si="94"/>
        <v>0</v>
      </c>
      <c r="AH305" s="41">
        <f t="shared" si="95"/>
        <v>590.98140000000001</v>
      </c>
      <c r="AI305" s="60">
        <f t="shared" si="96"/>
        <v>131.32920000000001</v>
      </c>
      <c r="AJ305" s="60">
        <f t="shared" si="97"/>
        <v>738.72675000000004</v>
      </c>
      <c r="AK305" s="60">
        <f t="shared" si="98"/>
        <v>2374.7197808219175</v>
      </c>
      <c r="AL305" s="60">
        <f t="shared" si="99"/>
        <v>1745.4190389041094</v>
      </c>
      <c r="AM305" s="41">
        <f t="shared" si="100"/>
        <v>667.7550110958905</v>
      </c>
      <c r="AN305" s="42">
        <f t="shared" si="101"/>
        <v>45715</v>
      </c>
      <c r="AO305" s="43">
        <f t="shared" si="102"/>
        <v>3283.23</v>
      </c>
    </row>
    <row r="306" spans="1:41" s="24" customFormat="1" ht="15.75" customHeight="1" x14ac:dyDescent="0.35">
      <c r="A306" s="36" t="s">
        <v>27</v>
      </c>
      <c r="B306" s="36">
        <v>202506</v>
      </c>
      <c r="C306" s="24" t="s">
        <v>128</v>
      </c>
      <c r="D306" s="24" t="s">
        <v>129</v>
      </c>
      <c r="E306" s="62">
        <v>45818</v>
      </c>
      <c r="F306" s="62">
        <v>46182</v>
      </c>
      <c r="G306" s="37" t="s">
        <v>434</v>
      </c>
      <c r="H306" s="36">
        <v>2107</v>
      </c>
      <c r="I306" s="63">
        <v>31951</v>
      </c>
      <c r="J306" s="24" t="s">
        <v>1082</v>
      </c>
      <c r="K306" s="63">
        <f t="shared" si="86"/>
        <v>45818</v>
      </c>
      <c r="L306" s="55">
        <f t="shared" si="87"/>
        <v>0.04</v>
      </c>
      <c r="M306" s="76">
        <v>0.22500000000000001</v>
      </c>
      <c r="N306" s="62">
        <v>45818</v>
      </c>
      <c r="O306" s="62">
        <v>46182</v>
      </c>
      <c r="P306" s="63"/>
      <c r="Q306" s="63"/>
      <c r="R306" s="82">
        <v>37</v>
      </c>
      <c r="S306" s="63" t="str">
        <f>VLOOKUP(R306,SA!$B$5:$C$11,2,1)</f>
        <v>36-45</v>
      </c>
      <c r="T306" s="38" t="s">
        <v>97</v>
      </c>
      <c r="U306" s="24" t="s">
        <v>115</v>
      </c>
      <c r="V306" s="24">
        <v>300000</v>
      </c>
      <c r="W306" s="39">
        <f t="shared" si="88"/>
        <v>0</v>
      </c>
      <c r="X306" s="29">
        <f t="shared" si="89"/>
        <v>0</v>
      </c>
      <c r="Y306" s="40">
        <f t="shared" si="90"/>
        <v>365</v>
      </c>
      <c r="Z306" s="38">
        <f t="shared" si="85"/>
        <v>46081</v>
      </c>
      <c r="AA306" s="41">
        <f t="shared" si="91"/>
        <v>264</v>
      </c>
      <c r="AB306" s="24" t="s">
        <v>125</v>
      </c>
      <c r="AC306" s="41">
        <f t="shared" si="92"/>
        <v>5017.3245999999999</v>
      </c>
      <c r="AD306" s="41">
        <v>1</v>
      </c>
      <c r="AE306" s="72">
        <f>IFERROR(INDEX(SA!$C$4:$E$11,MATCH(Details!S306,SA!$C$4:$C$11,0),MATCH(Details!V306,SA!$C$4:$E$4,0)),0)*Y306/(F306-E306+1)</f>
        <v>4251.97</v>
      </c>
      <c r="AF306" s="41">
        <f t="shared" si="93"/>
        <v>0</v>
      </c>
      <c r="AG306" s="41">
        <f t="shared" si="94"/>
        <v>0</v>
      </c>
      <c r="AH306" s="41">
        <f t="shared" si="95"/>
        <v>765.3546</v>
      </c>
      <c r="AI306" s="60">
        <f t="shared" si="96"/>
        <v>170.0788</v>
      </c>
      <c r="AJ306" s="60">
        <f t="shared" si="97"/>
        <v>956.69325000000003</v>
      </c>
      <c r="AK306" s="60">
        <f t="shared" si="98"/>
        <v>3075.397479452055</v>
      </c>
      <c r="AL306" s="60">
        <f t="shared" si="99"/>
        <v>2260.4171473972606</v>
      </c>
      <c r="AM306" s="41">
        <f t="shared" si="100"/>
        <v>864.78080260273941</v>
      </c>
      <c r="AN306" s="42">
        <f t="shared" si="101"/>
        <v>45715</v>
      </c>
      <c r="AO306" s="43">
        <f t="shared" si="102"/>
        <v>4251.97</v>
      </c>
    </row>
    <row r="307" spans="1:41" s="24" customFormat="1" ht="15.75" customHeight="1" x14ac:dyDescent="0.35">
      <c r="A307" s="36" t="s">
        <v>27</v>
      </c>
      <c r="B307" s="36">
        <v>202506</v>
      </c>
      <c r="C307" s="24" t="s">
        <v>128</v>
      </c>
      <c r="D307" s="24" t="s">
        <v>129</v>
      </c>
      <c r="E307" s="62">
        <v>45818</v>
      </c>
      <c r="F307" s="62">
        <v>46182</v>
      </c>
      <c r="G307" s="37" t="s">
        <v>435</v>
      </c>
      <c r="H307" s="36">
        <v>2107</v>
      </c>
      <c r="I307" s="63">
        <v>42378</v>
      </c>
      <c r="J307" s="24" t="s">
        <v>1083</v>
      </c>
      <c r="K307" s="63">
        <f t="shared" si="86"/>
        <v>45818</v>
      </c>
      <c r="L307" s="55">
        <f t="shared" si="87"/>
        <v>0.04</v>
      </c>
      <c r="M307" s="76">
        <v>0.22500000000000001</v>
      </c>
      <c r="N307" s="62">
        <v>45818</v>
      </c>
      <c r="O307" s="62">
        <v>46182</v>
      </c>
      <c r="P307" s="63"/>
      <c r="Q307" s="63"/>
      <c r="R307" s="82">
        <v>9</v>
      </c>
      <c r="S307" s="63" t="str">
        <f>VLOOKUP(R307,SA!$B$5:$C$11,2,1)</f>
        <v>0-35</v>
      </c>
      <c r="T307" s="38" t="s">
        <v>97</v>
      </c>
      <c r="U307" s="24" t="s">
        <v>113</v>
      </c>
      <c r="V307" s="24">
        <v>300000</v>
      </c>
      <c r="W307" s="39">
        <f t="shared" si="88"/>
        <v>0</v>
      </c>
      <c r="X307" s="29">
        <f t="shared" si="89"/>
        <v>0</v>
      </c>
      <c r="Y307" s="40">
        <f t="shared" si="90"/>
        <v>365</v>
      </c>
      <c r="Z307" s="38">
        <f t="shared" si="85"/>
        <v>46081</v>
      </c>
      <c r="AA307" s="41">
        <f t="shared" si="91"/>
        <v>264</v>
      </c>
      <c r="AB307" s="24" t="s">
        <v>125</v>
      </c>
      <c r="AC307" s="41">
        <f t="shared" si="92"/>
        <v>3874.2114000000001</v>
      </c>
      <c r="AD307" s="41">
        <v>1</v>
      </c>
      <c r="AE307" s="72">
        <f>IFERROR(INDEX(SA!$C$4:$E$11,MATCH(Details!S307,SA!$C$4:$C$11,0),MATCH(Details!V307,SA!$C$4:$E$4,0)),0)*Y307/(F307-E307+1)</f>
        <v>3283.23</v>
      </c>
      <c r="AF307" s="41">
        <f t="shared" si="93"/>
        <v>0</v>
      </c>
      <c r="AG307" s="41">
        <f t="shared" si="94"/>
        <v>0</v>
      </c>
      <c r="AH307" s="41">
        <f t="shared" si="95"/>
        <v>590.98140000000001</v>
      </c>
      <c r="AI307" s="60">
        <f t="shared" si="96"/>
        <v>131.32920000000001</v>
      </c>
      <c r="AJ307" s="60">
        <f t="shared" si="97"/>
        <v>738.72675000000004</v>
      </c>
      <c r="AK307" s="60">
        <f t="shared" si="98"/>
        <v>2374.7197808219175</v>
      </c>
      <c r="AL307" s="60">
        <f t="shared" si="99"/>
        <v>1745.4190389041094</v>
      </c>
      <c r="AM307" s="41">
        <f t="shared" si="100"/>
        <v>667.7550110958905</v>
      </c>
      <c r="AN307" s="42">
        <f t="shared" si="101"/>
        <v>45715</v>
      </c>
      <c r="AO307" s="43">
        <f t="shared" si="102"/>
        <v>3283.23</v>
      </c>
    </row>
    <row r="308" spans="1:41" s="24" customFormat="1" ht="15.75" customHeight="1" x14ac:dyDescent="0.35">
      <c r="A308" s="36" t="s">
        <v>27</v>
      </c>
      <c r="B308" s="36">
        <v>202506</v>
      </c>
      <c r="C308" s="24" t="s">
        <v>128</v>
      </c>
      <c r="D308" s="24" t="s">
        <v>129</v>
      </c>
      <c r="E308" s="62">
        <v>45818</v>
      </c>
      <c r="F308" s="62">
        <v>46182</v>
      </c>
      <c r="G308" s="37" t="s">
        <v>436</v>
      </c>
      <c r="H308" s="36">
        <v>2108</v>
      </c>
      <c r="I308" s="63">
        <v>32102</v>
      </c>
      <c r="J308" s="24" t="s">
        <v>1084</v>
      </c>
      <c r="K308" s="63">
        <f t="shared" si="86"/>
        <v>45818</v>
      </c>
      <c r="L308" s="55">
        <f t="shared" si="87"/>
        <v>0.04</v>
      </c>
      <c r="M308" s="76">
        <v>0.22500000000000001</v>
      </c>
      <c r="N308" s="62">
        <v>45818</v>
      </c>
      <c r="O308" s="62">
        <v>46182</v>
      </c>
      <c r="P308" s="63"/>
      <c r="Q308" s="63"/>
      <c r="R308" s="82">
        <v>37</v>
      </c>
      <c r="S308" s="63" t="str">
        <f>VLOOKUP(R308,SA!$B$5:$C$11,2,1)</f>
        <v>36-45</v>
      </c>
      <c r="T308" s="38" t="s">
        <v>96</v>
      </c>
      <c r="U308" s="24" t="s">
        <v>56</v>
      </c>
      <c r="V308" s="24">
        <v>300000</v>
      </c>
      <c r="W308" s="39">
        <f t="shared" si="88"/>
        <v>300000</v>
      </c>
      <c r="X308" s="29">
        <f t="shared" si="89"/>
        <v>1</v>
      </c>
      <c r="Y308" s="40">
        <f t="shared" si="90"/>
        <v>365</v>
      </c>
      <c r="Z308" s="38">
        <f t="shared" si="85"/>
        <v>46081</v>
      </c>
      <c r="AA308" s="41">
        <f t="shared" si="91"/>
        <v>264</v>
      </c>
      <c r="AB308" s="24" t="s">
        <v>125</v>
      </c>
      <c r="AC308" s="41">
        <f t="shared" si="92"/>
        <v>5017.3245999999999</v>
      </c>
      <c r="AD308" s="41">
        <v>1</v>
      </c>
      <c r="AE308" s="72">
        <f>IFERROR(INDEX(SA!$C$4:$E$11,MATCH(Details!S308,SA!$C$4:$C$11,0),MATCH(Details!V308,SA!$C$4:$E$4,0)),0)*Y308/(F308-E308+1)</f>
        <v>4251.97</v>
      </c>
      <c r="AF308" s="41">
        <f t="shared" si="93"/>
        <v>0</v>
      </c>
      <c r="AG308" s="41">
        <f t="shared" si="94"/>
        <v>0</v>
      </c>
      <c r="AH308" s="41">
        <f t="shared" si="95"/>
        <v>765.3546</v>
      </c>
      <c r="AI308" s="60">
        <f t="shared" si="96"/>
        <v>170.0788</v>
      </c>
      <c r="AJ308" s="60">
        <f t="shared" si="97"/>
        <v>956.69325000000003</v>
      </c>
      <c r="AK308" s="60">
        <f t="shared" si="98"/>
        <v>3075.397479452055</v>
      </c>
      <c r="AL308" s="60">
        <f t="shared" si="99"/>
        <v>2260.4171473972606</v>
      </c>
      <c r="AM308" s="41">
        <f t="shared" si="100"/>
        <v>864.78080260273941</v>
      </c>
      <c r="AN308" s="42">
        <f t="shared" si="101"/>
        <v>45715</v>
      </c>
      <c r="AO308" s="43">
        <f t="shared" si="102"/>
        <v>4251.97</v>
      </c>
    </row>
    <row r="309" spans="1:41" s="24" customFormat="1" ht="15.75" customHeight="1" x14ac:dyDescent="0.35">
      <c r="A309" s="36" t="s">
        <v>27</v>
      </c>
      <c r="B309" s="36">
        <v>202506</v>
      </c>
      <c r="C309" s="24" t="s">
        <v>128</v>
      </c>
      <c r="D309" s="24" t="s">
        <v>129</v>
      </c>
      <c r="E309" s="62">
        <v>45818</v>
      </c>
      <c r="F309" s="62">
        <v>46182</v>
      </c>
      <c r="G309" s="37" t="s">
        <v>437</v>
      </c>
      <c r="H309" s="36">
        <v>2108</v>
      </c>
      <c r="I309" s="63">
        <v>33086</v>
      </c>
      <c r="J309" s="24" t="s">
        <v>1085</v>
      </c>
      <c r="K309" s="63">
        <f t="shared" si="86"/>
        <v>45818</v>
      </c>
      <c r="L309" s="55">
        <f t="shared" si="87"/>
        <v>0.04</v>
      </c>
      <c r="M309" s="76">
        <v>0.22500000000000001</v>
      </c>
      <c r="N309" s="62">
        <v>45818</v>
      </c>
      <c r="O309" s="62">
        <v>46182</v>
      </c>
      <c r="P309" s="63"/>
      <c r="Q309" s="63"/>
      <c r="R309" s="82">
        <v>34</v>
      </c>
      <c r="S309" s="63" t="str">
        <f>VLOOKUP(R309,SA!$B$5:$C$11,2,1)</f>
        <v>0-35</v>
      </c>
      <c r="T309" s="38" t="s">
        <v>97</v>
      </c>
      <c r="U309" s="24" t="s">
        <v>115</v>
      </c>
      <c r="V309" s="24">
        <v>300000</v>
      </c>
      <c r="W309" s="39">
        <f t="shared" si="88"/>
        <v>0</v>
      </c>
      <c r="X309" s="29">
        <f t="shared" si="89"/>
        <v>0</v>
      </c>
      <c r="Y309" s="40">
        <f t="shared" si="90"/>
        <v>365</v>
      </c>
      <c r="Z309" s="38">
        <f t="shared" si="85"/>
        <v>46081</v>
      </c>
      <c r="AA309" s="41">
        <f t="shared" si="91"/>
        <v>264</v>
      </c>
      <c r="AB309" s="24" t="s">
        <v>125</v>
      </c>
      <c r="AC309" s="41">
        <f t="shared" si="92"/>
        <v>3874.2114000000001</v>
      </c>
      <c r="AD309" s="41">
        <v>1</v>
      </c>
      <c r="AE309" s="72">
        <f>IFERROR(INDEX(SA!$C$4:$E$11,MATCH(Details!S309,SA!$C$4:$C$11,0),MATCH(Details!V309,SA!$C$4:$E$4,0)),0)*Y309/(F309-E309+1)</f>
        <v>3283.23</v>
      </c>
      <c r="AF309" s="41">
        <f t="shared" si="93"/>
        <v>0</v>
      </c>
      <c r="AG309" s="41">
        <f t="shared" si="94"/>
        <v>0</v>
      </c>
      <c r="AH309" s="41">
        <f t="shared" si="95"/>
        <v>590.98140000000001</v>
      </c>
      <c r="AI309" s="60">
        <f t="shared" si="96"/>
        <v>131.32920000000001</v>
      </c>
      <c r="AJ309" s="60">
        <f t="shared" si="97"/>
        <v>738.72675000000004</v>
      </c>
      <c r="AK309" s="60">
        <f t="shared" si="98"/>
        <v>2374.7197808219175</v>
      </c>
      <c r="AL309" s="60">
        <f t="shared" si="99"/>
        <v>1745.4190389041094</v>
      </c>
      <c r="AM309" s="41">
        <f t="shared" si="100"/>
        <v>667.7550110958905</v>
      </c>
      <c r="AN309" s="42">
        <f t="shared" si="101"/>
        <v>45715</v>
      </c>
      <c r="AO309" s="43">
        <f t="shared" si="102"/>
        <v>3283.23</v>
      </c>
    </row>
    <row r="310" spans="1:41" s="24" customFormat="1" ht="15.75" customHeight="1" x14ac:dyDescent="0.35">
      <c r="A310" s="36" t="s">
        <v>27</v>
      </c>
      <c r="B310" s="36">
        <v>202506</v>
      </c>
      <c r="C310" s="24" t="s">
        <v>128</v>
      </c>
      <c r="D310" s="24" t="s">
        <v>129</v>
      </c>
      <c r="E310" s="62">
        <v>45818</v>
      </c>
      <c r="F310" s="62">
        <v>46182</v>
      </c>
      <c r="G310" s="37" t="s">
        <v>438</v>
      </c>
      <c r="H310" s="36">
        <v>2108</v>
      </c>
      <c r="I310" s="63">
        <v>42412</v>
      </c>
      <c r="J310" s="24" t="s">
        <v>1086</v>
      </c>
      <c r="K310" s="63">
        <f t="shared" si="86"/>
        <v>45818</v>
      </c>
      <c r="L310" s="55">
        <f t="shared" si="87"/>
        <v>0.04</v>
      </c>
      <c r="M310" s="76">
        <v>0.22500000000000001</v>
      </c>
      <c r="N310" s="62">
        <v>45818</v>
      </c>
      <c r="O310" s="62">
        <v>46182</v>
      </c>
      <c r="P310" s="63"/>
      <c r="Q310" s="63"/>
      <c r="R310" s="82">
        <v>9</v>
      </c>
      <c r="S310" s="63" t="str">
        <f>VLOOKUP(R310,SA!$B$5:$C$11,2,1)</f>
        <v>0-35</v>
      </c>
      <c r="T310" s="38" t="s">
        <v>97</v>
      </c>
      <c r="U310" s="24" t="s">
        <v>113</v>
      </c>
      <c r="V310" s="24">
        <v>300000</v>
      </c>
      <c r="W310" s="39">
        <f t="shared" si="88"/>
        <v>0</v>
      </c>
      <c r="X310" s="29">
        <f t="shared" si="89"/>
        <v>0</v>
      </c>
      <c r="Y310" s="40">
        <f t="shared" si="90"/>
        <v>365</v>
      </c>
      <c r="Z310" s="38">
        <f t="shared" si="85"/>
        <v>46081</v>
      </c>
      <c r="AA310" s="41">
        <f t="shared" si="91"/>
        <v>264</v>
      </c>
      <c r="AB310" s="24" t="s">
        <v>125</v>
      </c>
      <c r="AC310" s="41">
        <f t="shared" si="92"/>
        <v>3874.2114000000001</v>
      </c>
      <c r="AD310" s="41">
        <v>1</v>
      </c>
      <c r="AE310" s="72">
        <f>IFERROR(INDEX(SA!$C$4:$E$11,MATCH(Details!S310,SA!$C$4:$C$11,0),MATCH(Details!V310,SA!$C$4:$E$4,0)),0)*Y310/(F310-E310+1)</f>
        <v>3283.23</v>
      </c>
      <c r="AF310" s="41">
        <f t="shared" si="93"/>
        <v>0</v>
      </c>
      <c r="AG310" s="41">
        <f t="shared" si="94"/>
        <v>0</v>
      </c>
      <c r="AH310" s="41">
        <f t="shared" si="95"/>
        <v>590.98140000000001</v>
      </c>
      <c r="AI310" s="60">
        <f t="shared" si="96"/>
        <v>131.32920000000001</v>
      </c>
      <c r="AJ310" s="60">
        <f t="shared" si="97"/>
        <v>738.72675000000004</v>
      </c>
      <c r="AK310" s="60">
        <f t="shared" si="98"/>
        <v>2374.7197808219175</v>
      </c>
      <c r="AL310" s="60">
        <f t="shared" si="99"/>
        <v>1745.4190389041094</v>
      </c>
      <c r="AM310" s="41">
        <f t="shared" si="100"/>
        <v>667.7550110958905</v>
      </c>
      <c r="AN310" s="42">
        <f t="shared" si="101"/>
        <v>45715</v>
      </c>
      <c r="AO310" s="43">
        <f t="shared" si="102"/>
        <v>3283.23</v>
      </c>
    </row>
    <row r="311" spans="1:41" s="24" customFormat="1" ht="15.75" customHeight="1" x14ac:dyDescent="0.35">
      <c r="A311" s="36" t="s">
        <v>27</v>
      </c>
      <c r="B311" s="36">
        <v>202506</v>
      </c>
      <c r="C311" s="24" t="s">
        <v>128</v>
      </c>
      <c r="D311" s="24" t="s">
        <v>129</v>
      </c>
      <c r="E311" s="62">
        <v>45818</v>
      </c>
      <c r="F311" s="62">
        <v>46182</v>
      </c>
      <c r="G311" s="37" t="s">
        <v>439</v>
      </c>
      <c r="H311" s="36">
        <v>2108</v>
      </c>
      <c r="I311" s="63">
        <v>45500</v>
      </c>
      <c r="J311" s="24" t="s">
        <v>1087</v>
      </c>
      <c r="K311" s="63">
        <f t="shared" si="86"/>
        <v>45818</v>
      </c>
      <c r="L311" s="55">
        <f t="shared" si="87"/>
        <v>0.04</v>
      </c>
      <c r="M311" s="76">
        <v>0.22500000000000001</v>
      </c>
      <c r="N311" s="62">
        <v>45818</v>
      </c>
      <c r="O311" s="62">
        <v>46182</v>
      </c>
      <c r="P311" s="63"/>
      <c r="Q311" s="63"/>
      <c r="R311" s="82">
        <v>0</v>
      </c>
      <c r="S311" s="63" t="str">
        <f>VLOOKUP(R311,SA!$B$5:$C$11,2,1)</f>
        <v>0-35</v>
      </c>
      <c r="T311" s="38" t="s">
        <v>96</v>
      </c>
      <c r="U311" s="24" t="s">
        <v>114</v>
      </c>
      <c r="V311" s="24">
        <v>300000</v>
      </c>
      <c r="W311" s="39">
        <f t="shared" si="88"/>
        <v>0</v>
      </c>
      <c r="X311" s="29">
        <f t="shared" si="89"/>
        <v>0</v>
      </c>
      <c r="Y311" s="40">
        <f t="shared" si="90"/>
        <v>365</v>
      </c>
      <c r="Z311" s="38">
        <f t="shared" si="85"/>
        <v>46081</v>
      </c>
      <c r="AA311" s="41">
        <f t="shared" si="91"/>
        <v>264</v>
      </c>
      <c r="AB311" s="24" t="s">
        <v>125</v>
      </c>
      <c r="AC311" s="41">
        <f t="shared" si="92"/>
        <v>3874.2114000000001</v>
      </c>
      <c r="AD311" s="41">
        <v>1</v>
      </c>
      <c r="AE311" s="72">
        <f>IFERROR(INDEX(SA!$C$4:$E$11,MATCH(Details!S311,SA!$C$4:$C$11,0),MATCH(Details!V311,SA!$C$4:$E$4,0)),0)*Y311/(F311-E311+1)</f>
        <v>3283.23</v>
      </c>
      <c r="AF311" s="41">
        <f t="shared" si="93"/>
        <v>0</v>
      </c>
      <c r="AG311" s="41">
        <f t="shared" si="94"/>
        <v>0</v>
      </c>
      <c r="AH311" s="41">
        <f t="shared" si="95"/>
        <v>590.98140000000001</v>
      </c>
      <c r="AI311" s="60">
        <f t="shared" si="96"/>
        <v>131.32920000000001</v>
      </c>
      <c r="AJ311" s="60">
        <f t="shared" si="97"/>
        <v>738.72675000000004</v>
      </c>
      <c r="AK311" s="60">
        <f t="shared" si="98"/>
        <v>2374.7197808219175</v>
      </c>
      <c r="AL311" s="60">
        <f t="shared" si="99"/>
        <v>1745.4190389041094</v>
      </c>
      <c r="AM311" s="41">
        <f t="shared" si="100"/>
        <v>667.7550110958905</v>
      </c>
      <c r="AN311" s="42">
        <f t="shared" si="101"/>
        <v>45715</v>
      </c>
      <c r="AO311" s="43">
        <f t="shared" si="102"/>
        <v>3283.23</v>
      </c>
    </row>
    <row r="312" spans="1:41" s="24" customFormat="1" ht="15.75" customHeight="1" x14ac:dyDescent="0.35">
      <c r="A312" s="36" t="s">
        <v>27</v>
      </c>
      <c r="B312" s="36">
        <v>202506</v>
      </c>
      <c r="C312" s="24" t="s">
        <v>128</v>
      </c>
      <c r="D312" s="24" t="s">
        <v>129</v>
      </c>
      <c r="E312" s="62">
        <v>45818</v>
      </c>
      <c r="F312" s="62">
        <v>46182</v>
      </c>
      <c r="G312" s="37" t="s">
        <v>440</v>
      </c>
      <c r="H312" s="36">
        <v>2109</v>
      </c>
      <c r="I312" s="63">
        <v>29811</v>
      </c>
      <c r="J312" s="24" t="s">
        <v>1088</v>
      </c>
      <c r="K312" s="63">
        <f t="shared" si="86"/>
        <v>45818</v>
      </c>
      <c r="L312" s="55">
        <f t="shared" si="87"/>
        <v>0.04</v>
      </c>
      <c r="M312" s="76">
        <v>0.22500000000000001</v>
      </c>
      <c r="N312" s="62">
        <v>45818</v>
      </c>
      <c r="O312" s="62">
        <v>46182</v>
      </c>
      <c r="P312" s="63"/>
      <c r="Q312" s="63"/>
      <c r="R312" s="82">
        <v>43</v>
      </c>
      <c r="S312" s="63" t="str">
        <f>VLOOKUP(R312,SA!$B$5:$C$11,2,1)</f>
        <v>36-45</v>
      </c>
      <c r="T312" s="38" t="s">
        <v>96</v>
      </c>
      <c r="U312" s="24" t="s">
        <v>56</v>
      </c>
      <c r="V312" s="24">
        <v>300000</v>
      </c>
      <c r="W312" s="39">
        <f t="shared" si="88"/>
        <v>300000</v>
      </c>
      <c r="X312" s="29">
        <f t="shared" si="89"/>
        <v>1</v>
      </c>
      <c r="Y312" s="40">
        <f t="shared" si="90"/>
        <v>365</v>
      </c>
      <c r="Z312" s="38">
        <f t="shared" si="85"/>
        <v>46081</v>
      </c>
      <c r="AA312" s="41">
        <f t="shared" si="91"/>
        <v>264</v>
      </c>
      <c r="AB312" s="24" t="s">
        <v>125</v>
      </c>
      <c r="AC312" s="41">
        <f t="shared" si="92"/>
        <v>5017.3245999999999</v>
      </c>
      <c r="AD312" s="41">
        <v>1</v>
      </c>
      <c r="AE312" s="72">
        <f>IFERROR(INDEX(SA!$C$4:$E$11,MATCH(Details!S312,SA!$C$4:$C$11,0),MATCH(Details!V312,SA!$C$4:$E$4,0)),0)*Y312/(F312-E312+1)</f>
        <v>4251.97</v>
      </c>
      <c r="AF312" s="41">
        <f t="shared" si="93"/>
        <v>0</v>
      </c>
      <c r="AG312" s="41">
        <f t="shared" si="94"/>
        <v>0</v>
      </c>
      <c r="AH312" s="41">
        <f t="shared" si="95"/>
        <v>765.3546</v>
      </c>
      <c r="AI312" s="60">
        <f t="shared" si="96"/>
        <v>170.0788</v>
      </c>
      <c r="AJ312" s="60">
        <f t="shared" si="97"/>
        <v>956.69325000000003</v>
      </c>
      <c r="AK312" s="60">
        <f t="shared" si="98"/>
        <v>3075.397479452055</v>
      </c>
      <c r="AL312" s="60">
        <f t="shared" si="99"/>
        <v>2260.4171473972606</v>
      </c>
      <c r="AM312" s="41">
        <f t="shared" si="100"/>
        <v>864.78080260273941</v>
      </c>
      <c r="AN312" s="42">
        <f t="shared" si="101"/>
        <v>45715</v>
      </c>
      <c r="AO312" s="43">
        <f t="shared" si="102"/>
        <v>4251.97</v>
      </c>
    </row>
    <row r="313" spans="1:41" s="24" customFormat="1" ht="15.75" customHeight="1" x14ac:dyDescent="0.35">
      <c r="A313" s="36" t="s">
        <v>27</v>
      </c>
      <c r="B313" s="36">
        <v>202506</v>
      </c>
      <c r="C313" s="24" t="s">
        <v>128</v>
      </c>
      <c r="D313" s="24" t="s">
        <v>129</v>
      </c>
      <c r="E313" s="62">
        <v>45818</v>
      </c>
      <c r="F313" s="62">
        <v>46182</v>
      </c>
      <c r="G313" s="37" t="s">
        <v>441</v>
      </c>
      <c r="H313" s="36">
        <v>2109</v>
      </c>
      <c r="I313" s="63">
        <v>30474</v>
      </c>
      <c r="J313" s="24" t="s">
        <v>1089</v>
      </c>
      <c r="K313" s="63">
        <f t="shared" si="86"/>
        <v>45818</v>
      </c>
      <c r="L313" s="55">
        <f t="shared" si="87"/>
        <v>0.04</v>
      </c>
      <c r="M313" s="76">
        <v>0.22500000000000001</v>
      </c>
      <c r="N313" s="62">
        <v>45818</v>
      </c>
      <c r="O313" s="62">
        <v>46182</v>
      </c>
      <c r="P313" s="63"/>
      <c r="Q313" s="63"/>
      <c r="R313" s="82">
        <v>42</v>
      </c>
      <c r="S313" s="63" t="str">
        <f>VLOOKUP(R313,SA!$B$5:$C$11,2,1)</f>
        <v>36-45</v>
      </c>
      <c r="T313" s="38" t="s">
        <v>97</v>
      </c>
      <c r="U313" s="24" t="s">
        <v>115</v>
      </c>
      <c r="V313" s="24">
        <v>300000</v>
      </c>
      <c r="W313" s="39">
        <f t="shared" si="88"/>
        <v>0</v>
      </c>
      <c r="X313" s="29">
        <f t="shared" si="89"/>
        <v>0</v>
      </c>
      <c r="Y313" s="40">
        <f t="shared" si="90"/>
        <v>365</v>
      </c>
      <c r="Z313" s="38">
        <f t="shared" si="85"/>
        <v>46081</v>
      </c>
      <c r="AA313" s="41">
        <f t="shared" si="91"/>
        <v>264</v>
      </c>
      <c r="AB313" s="24" t="s">
        <v>125</v>
      </c>
      <c r="AC313" s="41">
        <f t="shared" si="92"/>
        <v>5017.3245999999999</v>
      </c>
      <c r="AD313" s="41">
        <v>1</v>
      </c>
      <c r="AE313" s="72">
        <f>IFERROR(INDEX(SA!$C$4:$E$11,MATCH(Details!S313,SA!$C$4:$C$11,0),MATCH(Details!V313,SA!$C$4:$E$4,0)),0)*Y313/(F313-E313+1)</f>
        <v>4251.97</v>
      </c>
      <c r="AF313" s="41">
        <f t="shared" si="93"/>
        <v>0</v>
      </c>
      <c r="AG313" s="41">
        <f t="shared" si="94"/>
        <v>0</v>
      </c>
      <c r="AH313" s="41">
        <f t="shared" si="95"/>
        <v>765.3546</v>
      </c>
      <c r="AI313" s="60">
        <f t="shared" si="96"/>
        <v>170.0788</v>
      </c>
      <c r="AJ313" s="60">
        <f t="shared" si="97"/>
        <v>956.69325000000003</v>
      </c>
      <c r="AK313" s="60">
        <f t="shared" si="98"/>
        <v>3075.397479452055</v>
      </c>
      <c r="AL313" s="60">
        <f t="shared" si="99"/>
        <v>2260.4171473972606</v>
      </c>
      <c r="AM313" s="41">
        <f t="shared" si="100"/>
        <v>864.78080260273941</v>
      </c>
      <c r="AN313" s="42">
        <f t="shared" si="101"/>
        <v>45715</v>
      </c>
      <c r="AO313" s="43">
        <f t="shared" si="102"/>
        <v>4251.97</v>
      </c>
    </row>
    <row r="314" spans="1:41" s="24" customFormat="1" ht="15.75" customHeight="1" x14ac:dyDescent="0.35">
      <c r="A314" s="36" t="s">
        <v>27</v>
      </c>
      <c r="B314" s="36">
        <v>202506</v>
      </c>
      <c r="C314" s="24" t="s">
        <v>128</v>
      </c>
      <c r="D314" s="24" t="s">
        <v>129</v>
      </c>
      <c r="E314" s="62">
        <v>45818</v>
      </c>
      <c r="F314" s="62">
        <v>46182</v>
      </c>
      <c r="G314" s="37" t="s">
        <v>442</v>
      </c>
      <c r="H314" s="36">
        <v>2109</v>
      </c>
      <c r="I314" s="63">
        <v>42108</v>
      </c>
      <c r="J314" s="24" t="s">
        <v>1090</v>
      </c>
      <c r="K314" s="63">
        <f t="shared" si="86"/>
        <v>45818</v>
      </c>
      <c r="L314" s="55">
        <f t="shared" si="87"/>
        <v>0.04</v>
      </c>
      <c r="M314" s="76">
        <v>0.22500000000000001</v>
      </c>
      <c r="N314" s="62">
        <v>45818</v>
      </c>
      <c r="O314" s="62">
        <v>46182</v>
      </c>
      <c r="P314" s="63"/>
      <c r="Q314" s="63"/>
      <c r="R314" s="82">
        <v>10</v>
      </c>
      <c r="S314" s="63" t="str">
        <f>VLOOKUP(R314,SA!$B$5:$C$11,2,1)</f>
        <v>0-35</v>
      </c>
      <c r="T314" s="38" t="s">
        <v>97</v>
      </c>
      <c r="U314" s="24" t="s">
        <v>113</v>
      </c>
      <c r="V314" s="24">
        <v>300000</v>
      </c>
      <c r="W314" s="39">
        <f t="shared" si="88"/>
        <v>0</v>
      </c>
      <c r="X314" s="29">
        <f t="shared" si="89"/>
        <v>0</v>
      </c>
      <c r="Y314" s="40">
        <f t="shared" si="90"/>
        <v>365</v>
      </c>
      <c r="Z314" s="38">
        <f t="shared" si="85"/>
        <v>46081</v>
      </c>
      <c r="AA314" s="41">
        <f t="shared" si="91"/>
        <v>264</v>
      </c>
      <c r="AB314" s="24" t="s">
        <v>125</v>
      </c>
      <c r="AC314" s="41">
        <f t="shared" si="92"/>
        <v>3874.2114000000001</v>
      </c>
      <c r="AD314" s="41">
        <v>1</v>
      </c>
      <c r="AE314" s="72">
        <f>IFERROR(INDEX(SA!$C$4:$E$11,MATCH(Details!S314,SA!$C$4:$C$11,0),MATCH(Details!V314,SA!$C$4:$E$4,0)),0)*Y314/(F314-E314+1)</f>
        <v>3283.23</v>
      </c>
      <c r="AF314" s="41">
        <f t="shared" si="93"/>
        <v>0</v>
      </c>
      <c r="AG314" s="41">
        <f t="shared" si="94"/>
        <v>0</v>
      </c>
      <c r="AH314" s="41">
        <f t="shared" si="95"/>
        <v>590.98140000000001</v>
      </c>
      <c r="AI314" s="60">
        <f t="shared" si="96"/>
        <v>131.32920000000001</v>
      </c>
      <c r="AJ314" s="60">
        <f t="shared" si="97"/>
        <v>738.72675000000004</v>
      </c>
      <c r="AK314" s="60">
        <f t="shared" si="98"/>
        <v>2374.7197808219175</v>
      </c>
      <c r="AL314" s="60">
        <f t="shared" si="99"/>
        <v>1745.4190389041094</v>
      </c>
      <c r="AM314" s="41">
        <f t="shared" si="100"/>
        <v>667.7550110958905</v>
      </c>
      <c r="AN314" s="42">
        <f t="shared" si="101"/>
        <v>45715</v>
      </c>
      <c r="AO314" s="43">
        <f t="shared" si="102"/>
        <v>3283.23</v>
      </c>
    </row>
    <row r="315" spans="1:41" s="24" customFormat="1" ht="15.75" customHeight="1" x14ac:dyDescent="0.35">
      <c r="A315" s="36" t="s">
        <v>27</v>
      </c>
      <c r="B315" s="36">
        <v>202506</v>
      </c>
      <c r="C315" s="24" t="s">
        <v>128</v>
      </c>
      <c r="D315" s="24" t="s">
        <v>129</v>
      </c>
      <c r="E315" s="62">
        <v>45818</v>
      </c>
      <c r="F315" s="62">
        <v>46182</v>
      </c>
      <c r="G315" s="37" t="s">
        <v>443</v>
      </c>
      <c r="H315" s="36">
        <v>2110</v>
      </c>
      <c r="I315" s="63">
        <v>32334</v>
      </c>
      <c r="J315" s="24" t="s">
        <v>1091</v>
      </c>
      <c r="K315" s="63">
        <f t="shared" si="86"/>
        <v>45818</v>
      </c>
      <c r="L315" s="55">
        <f t="shared" si="87"/>
        <v>0.04</v>
      </c>
      <c r="M315" s="76">
        <v>0.22500000000000001</v>
      </c>
      <c r="N315" s="62">
        <v>45818</v>
      </c>
      <c r="O315" s="62">
        <v>46182</v>
      </c>
      <c r="P315" s="63"/>
      <c r="Q315" s="63"/>
      <c r="R315" s="82">
        <v>36</v>
      </c>
      <c r="S315" s="63" t="str">
        <f>VLOOKUP(R315,SA!$B$5:$C$11,2,1)</f>
        <v>36-45</v>
      </c>
      <c r="T315" s="38" t="s">
        <v>96</v>
      </c>
      <c r="U315" s="24" t="s">
        <v>56</v>
      </c>
      <c r="V315" s="24">
        <v>300000</v>
      </c>
      <c r="W315" s="39">
        <f t="shared" si="88"/>
        <v>300000</v>
      </c>
      <c r="X315" s="29">
        <f t="shared" si="89"/>
        <v>1</v>
      </c>
      <c r="Y315" s="40">
        <f t="shared" si="90"/>
        <v>365</v>
      </c>
      <c r="Z315" s="38">
        <f t="shared" si="85"/>
        <v>46081</v>
      </c>
      <c r="AA315" s="41">
        <f t="shared" si="91"/>
        <v>264</v>
      </c>
      <c r="AB315" s="24" t="s">
        <v>125</v>
      </c>
      <c r="AC315" s="41">
        <f t="shared" si="92"/>
        <v>5017.3245999999999</v>
      </c>
      <c r="AD315" s="41">
        <v>1</v>
      </c>
      <c r="AE315" s="72">
        <f>IFERROR(INDEX(SA!$C$4:$E$11,MATCH(Details!S315,SA!$C$4:$C$11,0),MATCH(Details!V315,SA!$C$4:$E$4,0)),0)*Y315/(F315-E315+1)</f>
        <v>4251.97</v>
      </c>
      <c r="AF315" s="41">
        <f t="shared" si="93"/>
        <v>0</v>
      </c>
      <c r="AG315" s="41">
        <f t="shared" si="94"/>
        <v>0</v>
      </c>
      <c r="AH315" s="41">
        <f t="shared" si="95"/>
        <v>765.3546</v>
      </c>
      <c r="AI315" s="60">
        <f t="shared" si="96"/>
        <v>170.0788</v>
      </c>
      <c r="AJ315" s="60">
        <f t="shared" si="97"/>
        <v>956.69325000000003</v>
      </c>
      <c r="AK315" s="60">
        <f t="shared" si="98"/>
        <v>3075.397479452055</v>
      </c>
      <c r="AL315" s="60">
        <f t="shared" si="99"/>
        <v>2260.4171473972606</v>
      </c>
      <c r="AM315" s="41">
        <f t="shared" si="100"/>
        <v>864.78080260273941</v>
      </c>
      <c r="AN315" s="42">
        <f t="shared" si="101"/>
        <v>45715</v>
      </c>
      <c r="AO315" s="43">
        <f t="shared" si="102"/>
        <v>4251.97</v>
      </c>
    </row>
    <row r="316" spans="1:41" s="24" customFormat="1" ht="15.75" customHeight="1" x14ac:dyDescent="0.35">
      <c r="A316" s="36" t="s">
        <v>27</v>
      </c>
      <c r="B316" s="36">
        <v>202506</v>
      </c>
      <c r="C316" s="24" t="s">
        <v>128</v>
      </c>
      <c r="D316" s="24" t="s">
        <v>129</v>
      </c>
      <c r="E316" s="62">
        <v>45818</v>
      </c>
      <c r="F316" s="62">
        <v>46182</v>
      </c>
      <c r="G316" s="37" t="s">
        <v>444</v>
      </c>
      <c r="H316" s="36">
        <v>2111</v>
      </c>
      <c r="I316" s="63">
        <v>33649</v>
      </c>
      <c r="J316" s="24" t="s">
        <v>1092</v>
      </c>
      <c r="K316" s="63">
        <f t="shared" si="86"/>
        <v>45818</v>
      </c>
      <c r="L316" s="55">
        <f t="shared" si="87"/>
        <v>0.04</v>
      </c>
      <c r="M316" s="76">
        <v>0.22500000000000001</v>
      </c>
      <c r="N316" s="62">
        <v>45818</v>
      </c>
      <c r="O316" s="62">
        <v>46182</v>
      </c>
      <c r="P316" s="63"/>
      <c r="Q316" s="63"/>
      <c r="R316" s="82">
        <v>33</v>
      </c>
      <c r="S316" s="63" t="str">
        <f>VLOOKUP(R316,SA!$B$5:$C$11,2,1)</f>
        <v>0-35</v>
      </c>
      <c r="T316" s="38" t="s">
        <v>96</v>
      </c>
      <c r="U316" s="24" t="s">
        <v>56</v>
      </c>
      <c r="V316" s="24">
        <v>300000</v>
      </c>
      <c r="W316" s="39">
        <f t="shared" si="88"/>
        <v>300000</v>
      </c>
      <c r="X316" s="29">
        <f t="shared" si="89"/>
        <v>1</v>
      </c>
      <c r="Y316" s="40">
        <f t="shared" si="90"/>
        <v>365</v>
      </c>
      <c r="Z316" s="38">
        <f t="shared" si="85"/>
        <v>46081</v>
      </c>
      <c r="AA316" s="41">
        <f t="shared" si="91"/>
        <v>264</v>
      </c>
      <c r="AB316" s="24" t="s">
        <v>125</v>
      </c>
      <c r="AC316" s="41">
        <f t="shared" si="92"/>
        <v>3874.2114000000001</v>
      </c>
      <c r="AD316" s="41">
        <v>1</v>
      </c>
      <c r="AE316" s="72">
        <f>IFERROR(INDEX(SA!$C$4:$E$11,MATCH(Details!S316,SA!$C$4:$C$11,0),MATCH(Details!V316,SA!$C$4:$E$4,0)),0)*Y316/(F316-E316+1)</f>
        <v>3283.23</v>
      </c>
      <c r="AF316" s="41">
        <f t="shared" si="93"/>
        <v>0</v>
      </c>
      <c r="AG316" s="41">
        <f t="shared" si="94"/>
        <v>0</v>
      </c>
      <c r="AH316" s="41">
        <f t="shared" si="95"/>
        <v>590.98140000000001</v>
      </c>
      <c r="AI316" s="60">
        <f t="shared" si="96"/>
        <v>131.32920000000001</v>
      </c>
      <c r="AJ316" s="60">
        <f t="shared" si="97"/>
        <v>738.72675000000004</v>
      </c>
      <c r="AK316" s="60">
        <f t="shared" si="98"/>
        <v>2374.7197808219175</v>
      </c>
      <c r="AL316" s="60">
        <f t="shared" si="99"/>
        <v>1745.4190389041094</v>
      </c>
      <c r="AM316" s="41">
        <f t="shared" si="100"/>
        <v>667.7550110958905</v>
      </c>
      <c r="AN316" s="42">
        <f t="shared" si="101"/>
        <v>45715</v>
      </c>
      <c r="AO316" s="43">
        <f t="shared" si="102"/>
        <v>3283.23</v>
      </c>
    </row>
    <row r="317" spans="1:41" s="24" customFormat="1" ht="15.75" customHeight="1" x14ac:dyDescent="0.35">
      <c r="A317" s="36" t="s">
        <v>27</v>
      </c>
      <c r="B317" s="36">
        <v>202506</v>
      </c>
      <c r="C317" s="24" t="s">
        <v>128</v>
      </c>
      <c r="D317" s="24" t="s">
        <v>129</v>
      </c>
      <c r="E317" s="62">
        <v>45818</v>
      </c>
      <c r="F317" s="62">
        <v>46182</v>
      </c>
      <c r="G317" s="37" t="s">
        <v>445</v>
      </c>
      <c r="H317" s="36">
        <v>2111</v>
      </c>
      <c r="I317" s="63">
        <v>36305</v>
      </c>
      <c r="J317" s="24" t="s">
        <v>1093</v>
      </c>
      <c r="K317" s="63">
        <f t="shared" si="86"/>
        <v>45818</v>
      </c>
      <c r="L317" s="55">
        <f t="shared" si="87"/>
        <v>0.04</v>
      </c>
      <c r="M317" s="76">
        <v>0.22500000000000001</v>
      </c>
      <c r="N317" s="62">
        <v>45818</v>
      </c>
      <c r="O317" s="62">
        <v>46182</v>
      </c>
      <c r="P317" s="63"/>
      <c r="Q317" s="63"/>
      <c r="R317" s="82">
        <v>26</v>
      </c>
      <c r="S317" s="63" t="str">
        <f>VLOOKUP(R317,SA!$B$5:$C$11,2,1)</f>
        <v>0-35</v>
      </c>
      <c r="T317" s="38" t="s">
        <v>97</v>
      </c>
      <c r="U317" s="24" t="s">
        <v>115</v>
      </c>
      <c r="V317" s="24">
        <v>300000</v>
      </c>
      <c r="W317" s="39">
        <f t="shared" si="88"/>
        <v>0</v>
      </c>
      <c r="X317" s="29">
        <f t="shared" si="89"/>
        <v>0</v>
      </c>
      <c r="Y317" s="40">
        <f t="shared" si="90"/>
        <v>365</v>
      </c>
      <c r="Z317" s="38">
        <f t="shared" si="85"/>
        <v>46081</v>
      </c>
      <c r="AA317" s="41">
        <f t="shared" si="91"/>
        <v>264</v>
      </c>
      <c r="AB317" s="24" t="s">
        <v>125</v>
      </c>
      <c r="AC317" s="41">
        <f t="shared" si="92"/>
        <v>3874.2114000000001</v>
      </c>
      <c r="AD317" s="41">
        <v>1</v>
      </c>
      <c r="AE317" s="72">
        <f>IFERROR(INDEX(SA!$C$4:$E$11,MATCH(Details!S317,SA!$C$4:$C$11,0),MATCH(Details!V317,SA!$C$4:$E$4,0)),0)*Y317/(F317-E317+1)</f>
        <v>3283.23</v>
      </c>
      <c r="AF317" s="41">
        <f t="shared" si="93"/>
        <v>0</v>
      </c>
      <c r="AG317" s="41">
        <f t="shared" si="94"/>
        <v>0</v>
      </c>
      <c r="AH317" s="41">
        <f t="shared" si="95"/>
        <v>590.98140000000001</v>
      </c>
      <c r="AI317" s="60">
        <f t="shared" si="96"/>
        <v>131.32920000000001</v>
      </c>
      <c r="AJ317" s="60">
        <f t="shared" si="97"/>
        <v>738.72675000000004</v>
      </c>
      <c r="AK317" s="60">
        <f t="shared" si="98"/>
        <v>2374.7197808219175</v>
      </c>
      <c r="AL317" s="60">
        <f t="shared" si="99"/>
        <v>1745.4190389041094</v>
      </c>
      <c r="AM317" s="41">
        <f t="shared" si="100"/>
        <v>667.7550110958905</v>
      </c>
      <c r="AN317" s="42">
        <f t="shared" si="101"/>
        <v>45715</v>
      </c>
      <c r="AO317" s="43">
        <f t="shared" si="102"/>
        <v>3283.23</v>
      </c>
    </row>
    <row r="318" spans="1:41" s="24" customFormat="1" ht="15.75" customHeight="1" x14ac:dyDescent="0.35">
      <c r="A318" s="36" t="s">
        <v>27</v>
      </c>
      <c r="B318" s="36">
        <v>202506</v>
      </c>
      <c r="C318" s="24" t="s">
        <v>128</v>
      </c>
      <c r="D318" s="24" t="s">
        <v>129</v>
      </c>
      <c r="E318" s="62">
        <v>45818</v>
      </c>
      <c r="F318" s="62">
        <v>46182</v>
      </c>
      <c r="G318" s="37" t="s">
        <v>446</v>
      </c>
      <c r="H318" s="36">
        <v>2111</v>
      </c>
      <c r="I318" s="63">
        <v>44343</v>
      </c>
      <c r="J318" s="24" t="s">
        <v>1094</v>
      </c>
      <c r="K318" s="63">
        <f t="shared" si="86"/>
        <v>45818</v>
      </c>
      <c r="L318" s="55">
        <f t="shared" si="87"/>
        <v>0.04</v>
      </c>
      <c r="M318" s="76">
        <v>0.22500000000000001</v>
      </c>
      <c r="N318" s="62">
        <v>45818</v>
      </c>
      <c r="O318" s="62">
        <v>46182</v>
      </c>
      <c r="P318" s="63"/>
      <c r="Q318" s="63"/>
      <c r="R318" s="82">
        <v>4</v>
      </c>
      <c r="S318" s="63" t="str">
        <f>VLOOKUP(R318,SA!$B$5:$C$11,2,1)</f>
        <v>0-35</v>
      </c>
      <c r="T318" s="38" t="s">
        <v>97</v>
      </c>
      <c r="U318" s="24" t="s">
        <v>113</v>
      </c>
      <c r="V318" s="24">
        <v>300000</v>
      </c>
      <c r="W318" s="39">
        <f t="shared" si="88"/>
        <v>0</v>
      </c>
      <c r="X318" s="29">
        <f t="shared" si="89"/>
        <v>0</v>
      </c>
      <c r="Y318" s="40">
        <f t="shared" si="90"/>
        <v>365</v>
      </c>
      <c r="Z318" s="38">
        <f t="shared" si="85"/>
        <v>46081</v>
      </c>
      <c r="AA318" s="41">
        <f t="shared" si="91"/>
        <v>264</v>
      </c>
      <c r="AB318" s="24" t="s">
        <v>125</v>
      </c>
      <c r="AC318" s="41">
        <f t="shared" si="92"/>
        <v>3874.2114000000001</v>
      </c>
      <c r="AD318" s="41">
        <v>1</v>
      </c>
      <c r="AE318" s="72">
        <f>IFERROR(INDEX(SA!$C$4:$E$11,MATCH(Details!S318,SA!$C$4:$C$11,0),MATCH(Details!V318,SA!$C$4:$E$4,0)),0)*Y318/(F318-E318+1)</f>
        <v>3283.23</v>
      </c>
      <c r="AF318" s="41">
        <f t="shared" si="93"/>
        <v>0</v>
      </c>
      <c r="AG318" s="41">
        <f t="shared" si="94"/>
        <v>0</v>
      </c>
      <c r="AH318" s="41">
        <f t="shared" si="95"/>
        <v>590.98140000000001</v>
      </c>
      <c r="AI318" s="60">
        <f t="shared" si="96"/>
        <v>131.32920000000001</v>
      </c>
      <c r="AJ318" s="60">
        <f t="shared" si="97"/>
        <v>738.72675000000004</v>
      </c>
      <c r="AK318" s="60">
        <f t="shared" si="98"/>
        <v>2374.7197808219175</v>
      </c>
      <c r="AL318" s="60">
        <f t="shared" si="99"/>
        <v>1745.4190389041094</v>
      </c>
      <c r="AM318" s="41">
        <f t="shared" si="100"/>
        <v>667.7550110958905</v>
      </c>
      <c r="AN318" s="42">
        <f t="shared" si="101"/>
        <v>45715</v>
      </c>
      <c r="AO318" s="43">
        <f t="shared" si="102"/>
        <v>3283.23</v>
      </c>
    </row>
    <row r="319" spans="1:41" s="24" customFormat="1" ht="15.75" customHeight="1" x14ac:dyDescent="0.35">
      <c r="A319" s="36" t="s">
        <v>27</v>
      </c>
      <c r="B319" s="36">
        <v>202506</v>
      </c>
      <c r="C319" s="24" t="s">
        <v>128</v>
      </c>
      <c r="D319" s="24" t="s">
        <v>129</v>
      </c>
      <c r="E319" s="62">
        <v>45818</v>
      </c>
      <c r="F319" s="62">
        <v>46182</v>
      </c>
      <c r="G319" s="37" t="s">
        <v>131</v>
      </c>
      <c r="H319" s="36">
        <v>2112</v>
      </c>
      <c r="I319" s="63">
        <v>33674</v>
      </c>
      <c r="J319" s="24" t="s">
        <v>1095</v>
      </c>
      <c r="K319" s="63">
        <f t="shared" si="86"/>
        <v>45818</v>
      </c>
      <c r="L319" s="55">
        <f t="shared" si="87"/>
        <v>0.04</v>
      </c>
      <c r="M319" s="76">
        <v>0.22500000000000001</v>
      </c>
      <c r="N319" s="62">
        <v>45818</v>
      </c>
      <c r="O319" s="62">
        <v>46182</v>
      </c>
      <c r="P319" s="63"/>
      <c r="Q319" s="63"/>
      <c r="R319" s="82">
        <v>33</v>
      </c>
      <c r="S319" s="63" t="str">
        <f>VLOOKUP(R319,SA!$B$5:$C$11,2,1)</f>
        <v>0-35</v>
      </c>
      <c r="T319" s="38" t="s">
        <v>96</v>
      </c>
      <c r="U319" s="24" t="s">
        <v>56</v>
      </c>
      <c r="V319" s="24">
        <v>1000000</v>
      </c>
      <c r="W319" s="39">
        <f t="shared" si="88"/>
        <v>1000000</v>
      </c>
      <c r="X319" s="29">
        <f t="shared" si="89"/>
        <v>1</v>
      </c>
      <c r="Y319" s="40">
        <f t="shared" si="90"/>
        <v>365</v>
      </c>
      <c r="Z319" s="38">
        <f t="shared" si="85"/>
        <v>46081</v>
      </c>
      <c r="AA319" s="41">
        <f t="shared" si="91"/>
        <v>264</v>
      </c>
      <c r="AB319" s="24" t="s">
        <v>125</v>
      </c>
      <c r="AC319" s="41">
        <f t="shared" si="92"/>
        <v>6363.9287999999997</v>
      </c>
      <c r="AD319" s="41">
        <v>1</v>
      </c>
      <c r="AE319" s="72">
        <f>IFERROR(INDEX(SA!$C$4:$E$11,MATCH(Details!S319,SA!$C$4:$C$11,0),MATCH(Details!V319,SA!$C$4:$E$4,0)),0)*Y319/(F319-E319+1)</f>
        <v>5393.16</v>
      </c>
      <c r="AF319" s="41">
        <f t="shared" si="93"/>
        <v>0</v>
      </c>
      <c r="AG319" s="41">
        <f t="shared" si="94"/>
        <v>0</v>
      </c>
      <c r="AH319" s="41">
        <f t="shared" si="95"/>
        <v>970.76879999999994</v>
      </c>
      <c r="AI319" s="60">
        <f t="shared" si="96"/>
        <v>215.72640000000001</v>
      </c>
      <c r="AJ319" s="60">
        <f t="shared" si="97"/>
        <v>1213.461</v>
      </c>
      <c r="AK319" s="60">
        <f t="shared" si="98"/>
        <v>3900.8061369863012</v>
      </c>
      <c r="AL319" s="60">
        <f t="shared" si="99"/>
        <v>2867.0925106849313</v>
      </c>
      <c r="AM319" s="41">
        <f t="shared" si="100"/>
        <v>1096.880089315069</v>
      </c>
      <c r="AN319" s="42">
        <f t="shared" si="101"/>
        <v>45715</v>
      </c>
      <c r="AO319" s="43">
        <f t="shared" si="102"/>
        <v>5393.16</v>
      </c>
    </row>
    <row r="320" spans="1:41" s="24" customFormat="1" ht="15.75" customHeight="1" x14ac:dyDescent="0.35">
      <c r="A320" s="36" t="s">
        <v>27</v>
      </c>
      <c r="B320" s="36">
        <v>202506</v>
      </c>
      <c r="C320" s="24" t="s">
        <v>128</v>
      </c>
      <c r="D320" s="24" t="s">
        <v>129</v>
      </c>
      <c r="E320" s="62">
        <v>45818</v>
      </c>
      <c r="F320" s="62">
        <v>46182</v>
      </c>
      <c r="G320" s="37" t="s">
        <v>447</v>
      </c>
      <c r="H320" s="36">
        <v>2112</v>
      </c>
      <c r="I320" s="63">
        <v>33987</v>
      </c>
      <c r="J320" s="24" t="s">
        <v>1096</v>
      </c>
      <c r="K320" s="63">
        <f t="shared" si="86"/>
        <v>45818</v>
      </c>
      <c r="L320" s="55">
        <f t="shared" si="87"/>
        <v>0.04</v>
      </c>
      <c r="M320" s="76">
        <v>0.22500000000000001</v>
      </c>
      <c r="N320" s="62">
        <v>45818</v>
      </c>
      <c r="O320" s="62">
        <v>46182</v>
      </c>
      <c r="P320" s="63"/>
      <c r="Q320" s="63"/>
      <c r="R320" s="82">
        <v>32</v>
      </c>
      <c r="S320" s="63" t="str">
        <f>VLOOKUP(R320,SA!$B$5:$C$11,2,1)</f>
        <v>0-35</v>
      </c>
      <c r="T320" s="38" t="s">
        <v>97</v>
      </c>
      <c r="U320" s="24" t="s">
        <v>115</v>
      </c>
      <c r="V320" s="24">
        <v>1000000</v>
      </c>
      <c r="W320" s="39">
        <f t="shared" si="88"/>
        <v>0</v>
      </c>
      <c r="X320" s="29">
        <f t="shared" si="89"/>
        <v>0</v>
      </c>
      <c r="Y320" s="40">
        <f t="shared" si="90"/>
        <v>365</v>
      </c>
      <c r="Z320" s="38">
        <f t="shared" si="85"/>
        <v>46081</v>
      </c>
      <c r="AA320" s="41">
        <f t="shared" si="91"/>
        <v>264</v>
      </c>
      <c r="AB320" s="24" t="s">
        <v>125</v>
      </c>
      <c r="AC320" s="41">
        <f t="shared" si="92"/>
        <v>6363.9287999999997</v>
      </c>
      <c r="AD320" s="41">
        <v>1</v>
      </c>
      <c r="AE320" s="72">
        <f>IFERROR(INDEX(SA!$C$4:$E$11,MATCH(Details!S320,SA!$C$4:$C$11,0),MATCH(Details!V320,SA!$C$4:$E$4,0)),0)*Y320/(F320-E320+1)</f>
        <v>5393.16</v>
      </c>
      <c r="AF320" s="41">
        <f t="shared" si="93"/>
        <v>0</v>
      </c>
      <c r="AG320" s="41">
        <f t="shared" si="94"/>
        <v>0</v>
      </c>
      <c r="AH320" s="41">
        <f t="shared" si="95"/>
        <v>970.76879999999994</v>
      </c>
      <c r="AI320" s="60">
        <f t="shared" si="96"/>
        <v>215.72640000000001</v>
      </c>
      <c r="AJ320" s="60">
        <f t="shared" si="97"/>
        <v>1213.461</v>
      </c>
      <c r="AK320" s="60">
        <f t="shared" si="98"/>
        <v>3900.8061369863012</v>
      </c>
      <c r="AL320" s="60">
        <f t="shared" si="99"/>
        <v>2867.0925106849313</v>
      </c>
      <c r="AM320" s="41">
        <f t="shared" si="100"/>
        <v>1096.880089315069</v>
      </c>
      <c r="AN320" s="42">
        <f t="shared" si="101"/>
        <v>45715</v>
      </c>
      <c r="AO320" s="43">
        <f t="shared" si="102"/>
        <v>5393.16</v>
      </c>
    </row>
    <row r="321" spans="1:41" s="24" customFormat="1" ht="15.75" customHeight="1" x14ac:dyDescent="0.35">
      <c r="A321" s="36" t="s">
        <v>27</v>
      </c>
      <c r="B321" s="36">
        <v>202506</v>
      </c>
      <c r="C321" s="24" t="s">
        <v>128</v>
      </c>
      <c r="D321" s="24" t="s">
        <v>129</v>
      </c>
      <c r="E321" s="62">
        <v>45818</v>
      </c>
      <c r="F321" s="62">
        <v>46182</v>
      </c>
      <c r="G321" s="37" t="s">
        <v>448</v>
      </c>
      <c r="H321" s="36">
        <v>2117</v>
      </c>
      <c r="I321" s="63">
        <v>23625</v>
      </c>
      <c r="J321" s="24" t="s">
        <v>1097</v>
      </c>
      <c r="K321" s="63">
        <f t="shared" si="86"/>
        <v>45818</v>
      </c>
      <c r="L321" s="55">
        <f t="shared" si="87"/>
        <v>0.04</v>
      </c>
      <c r="M321" s="76">
        <v>0.22500000000000001</v>
      </c>
      <c r="N321" s="62">
        <v>45818</v>
      </c>
      <c r="O321" s="62">
        <v>46182</v>
      </c>
      <c r="P321" s="63"/>
      <c r="Q321" s="63"/>
      <c r="R321" s="82">
        <v>60</v>
      </c>
      <c r="S321" s="63" t="str">
        <f>VLOOKUP(R321,SA!$B$5:$C$11,2,1)</f>
        <v>56-65</v>
      </c>
      <c r="T321" s="38" t="s">
        <v>96</v>
      </c>
      <c r="U321" s="24" t="s">
        <v>56</v>
      </c>
      <c r="V321" s="24">
        <v>300000</v>
      </c>
      <c r="W321" s="39">
        <f t="shared" si="88"/>
        <v>300000</v>
      </c>
      <c r="X321" s="29">
        <f t="shared" si="89"/>
        <v>1</v>
      </c>
      <c r="Y321" s="40">
        <f t="shared" si="90"/>
        <v>365</v>
      </c>
      <c r="Z321" s="38">
        <f t="shared" si="85"/>
        <v>46081</v>
      </c>
      <c r="AA321" s="41">
        <f t="shared" si="91"/>
        <v>264</v>
      </c>
      <c r="AB321" s="24" t="s">
        <v>125</v>
      </c>
      <c r="AC321" s="41">
        <f t="shared" si="92"/>
        <v>16811.448199999999</v>
      </c>
      <c r="AD321" s="41">
        <v>1</v>
      </c>
      <c r="AE321" s="72">
        <f>IFERROR(INDEX(SA!$C$4:$E$11,MATCH(Details!S321,SA!$C$4:$C$11,0),MATCH(Details!V321,SA!$C$4:$E$4,0)),0)*Y321/(F321-E321+1)</f>
        <v>14246.99</v>
      </c>
      <c r="AF321" s="41">
        <f t="shared" si="93"/>
        <v>0</v>
      </c>
      <c r="AG321" s="41">
        <f t="shared" si="94"/>
        <v>0</v>
      </c>
      <c r="AH321" s="41">
        <f t="shared" si="95"/>
        <v>2564.4582</v>
      </c>
      <c r="AI321" s="60">
        <f t="shared" si="96"/>
        <v>569.87959999999998</v>
      </c>
      <c r="AJ321" s="60">
        <f t="shared" si="97"/>
        <v>3205.5727499999998</v>
      </c>
      <c r="AK321" s="60">
        <f t="shared" si="98"/>
        <v>10304.672219178083</v>
      </c>
      <c r="AL321" s="60">
        <f t="shared" si="99"/>
        <v>7573.9340810958911</v>
      </c>
      <c r="AM321" s="41">
        <f t="shared" si="100"/>
        <v>2897.6035689041087</v>
      </c>
      <c r="AN321" s="42">
        <f t="shared" si="101"/>
        <v>45715</v>
      </c>
      <c r="AO321" s="43">
        <f t="shared" si="102"/>
        <v>14246.99</v>
      </c>
    </row>
    <row r="322" spans="1:41" s="24" customFormat="1" ht="15.75" customHeight="1" x14ac:dyDescent="0.35">
      <c r="A322" s="36" t="s">
        <v>27</v>
      </c>
      <c r="B322" s="36">
        <v>202506</v>
      </c>
      <c r="C322" s="24" t="s">
        <v>128</v>
      </c>
      <c r="D322" s="24" t="s">
        <v>129</v>
      </c>
      <c r="E322" s="62">
        <v>45818</v>
      </c>
      <c r="F322" s="62">
        <v>46182</v>
      </c>
      <c r="G322" s="37" t="s">
        <v>449</v>
      </c>
      <c r="H322" s="36">
        <v>2117</v>
      </c>
      <c r="I322" s="63">
        <v>25134</v>
      </c>
      <c r="J322" s="24" t="s">
        <v>1098</v>
      </c>
      <c r="K322" s="63">
        <f t="shared" si="86"/>
        <v>45818</v>
      </c>
      <c r="L322" s="55">
        <f t="shared" si="87"/>
        <v>0.04</v>
      </c>
      <c r="M322" s="76">
        <v>0.22500000000000001</v>
      </c>
      <c r="N322" s="62">
        <v>45818</v>
      </c>
      <c r="O322" s="62">
        <v>46182</v>
      </c>
      <c r="P322" s="63"/>
      <c r="Q322" s="63"/>
      <c r="R322" s="82">
        <v>56</v>
      </c>
      <c r="S322" s="63" t="str">
        <f>VLOOKUP(R322,SA!$B$5:$C$11,2,1)</f>
        <v>56-65</v>
      </c>
      <c r="T322" s="38" t="s">
        <v>97</v>
      </c>
      <c r="U322" s="24" t="s">
        <v>115</v>
      </c>
      <c r="V322" s="24">
        <v>300000</v>
      </c>
      <c r="W322" s="39">
        <f t="shared" si="88"/>
        <v>0</v>
      </c>
      <c r="X322" s="29">
        <f t="shared" si="89"/>
        <v>0</v>
      </c>
      <c r="Y322" s="40">
        <f t="shared" si="90"/>
        <v>365</v>
      </c>
      <c r="Z322" s="38">
        <f t="shared" si="85"/>
        <v>46081</v>
      </c>
      <c r="AA322" s="41">
        <f t="shared" si="91"/>
        <v>264</v>
      </c>
      <c r="AB322" s="24" t="s">
        <v>125</v>
      </c>
      <c r="AC322" s="41">
        <f t="shared" si="92"/>
        <v>16811.448199999999</v>
      </c>
      <c r="AD322" s="41">
        <v>1</v>
      </c>
      <c r="AE322" s="72">
        <f>IFERROR(INDEX(SA!$C$4:$E$11,MATCH(Details!S322,SA!$C$4:$C$11,0),MATCH(Details!V322,SA!$C$4:$E$4,0)),0)*Y322/(F322-E322+1)</f>
        <v>14246.99</v>
      </c>
      <c r="AF322" s="41">
        <f t="shared" si="93"/>
        <v>0</v>
      </c>
      <c r="AG322" s="41">
        <f t="shared" si="94"/>
        <v>0</v>
      </c>
      <c r="AH322" s="41">
        <f t="shared" si="95"/>
        <v>2564.4582</v>
      </c>
      <c r="AI322" s="60">
        <f t="shared" si="96"/>
        <v>569.87959999999998</v>
      </c>
      <c r="AJ322" s="60">
        <f t="shared" si="97"/>
        <v>3205.5727499999998</v>
      </c>
      <c r="AK322" s="60">
        <f t="shared" si="98"/>
        <v>10304.672219178083</v>
      </c>
      <c r="AL322" s="60">
        <f t="shared" si="99"/>
        <v>7573.9340810958911</v>
      </c>
      <c r="AM322" s="41">
        <f t="shared" si="100"/>
        <v>2897.6035689041087</v>
      </c>
      <c r="AN322" s="42">
        <f t="shared" si="101"/>
        <v>45715</v>
      </c>
      <c r="AO322" s="43">
        <f t="shared" si="102"/>
        <v>14246.99</v>
      </c>
    </row>
    <row r="323" spans="1:41" s="24" customFormat="1" ht="15.75" customHeight="1" x14ac:dyDescent="0.35">
      <c r="A323" s="36" t="s">
        <v>27</v>
      </c>
      <c r="B323" s="36">
        <v>202506</v>
      </c>
      <c r="C323" s="24" t="s">
        <v>128</v>
      </c>
      <c r="D323" s="24" t="s">
        <v>129</v>
      </c>
      <c r="E323" s="62">
        <v>45818</v>
      </c>
      <c r="F323" s="62">
        <v>46182</v>
      </c>
      <c r="G323" s="37" t="s">
        <v>450</v>
      </c>
      <c r="H323" s="36">
        <v>2119</v>
      </c>
      <c r="I323" s="63">
        <v>26115</v>
      </c>
      <c r="J323" s="24" t="s">
        <v>1099</v>
      </c>
      <c r="K323" s="63">
        <f t="shared" si="86"/>
        <v>45818</v>
      </c>
      <c r="L323" s="55">
        <f t="shared" si="87"/>
        <v>0.04</v>
      </c>
      <c r="M323" s="76">
        <v>0.22500000000000001</v>
      </c>
      <c r="N323" s="62">
        <v>45818</v>
      </c>
      <c r="O323" s="62">
        <v>46182</v>
      </c>
      <c r="P323" s="63"/>
      <c r="Q323" s="63"/>
      <c r="R323" s="82">
        <v>53</v>
      </c>
      <c r="S323" s="63" t="str">
        <f>VLOOKUP(R323,SA!$B$5:$C$11,2,1)</f>
        <v>46-55</v>
      </c>
      <c r="T323" s="38" t="s">
        <v>96</v>
      </c>
      <c r="U323" s="24" t="s">
        <v>56</v>
      </c>
      <c r="V323" s="24">
        <v>300000</v>
      </c>
      <c r="W323" s="39">
        <f t="shared" si="88"/>
        <v>300000</v>
      </c>
      <c r="X323" s="29">
        <f t="shared" si="89"/>
        <v>1</v>
      </c>
      <c r="Y323" s="40">
        <f t="shared" si="90"/>
        <v>365</v>
      </c>
      <c r="Z323" s="38">
        <f t="shared" ref="Z323:Z386" si="103">$Z$1</f>
        <v>46081</v>
      </c>
      <c r="AA323" s="41">
        <f t="shared" si="91"/>
        <v>264</v>
      </c>
      <c r="AB323" s="24" t="s">
        <v>125</v>
      </c>
      <c r="AC323" s="41">
        <f t="shared" si="92"/>
        <v>9586.9925999999996</v>
      </c>
      <c r="AD323" s="41">
        <v>1</v>
      </c>
      <c r="AE323" s="72">
        <f>IFERROR(INDEX(SA!$C$4:$E$11,MATCH(Details!S323,SA!$C$4:$C$11,0),MATCH(Details!V323,SA!$C$4:$E$4,0)),0)*Y323/(F323-E323+1)</f>
        <v>8124.57</v>
      </c>
      <c r="AF323" s="41">
        <f t="shared" si="93"/>
        <v>0</v>
      </c>
      <c r="AG323" s="41">
        <f t="shared" si="94"/>
        <v>0</v>
      </c>
      <c r="AH323" s="41">
        <f t="shared" si="95"/>
        <v>1462.4225999999999</v>
      </c>
      <c r="AI323" s="60">
        <f t="shared" si="96"/>
        <v>324.9828</v>
      </c>
      <c r="AJ323" s="60">
        <f t="shared" si="97"/>
        <v>1828.0282500000001</v>
      </c>
      <c r="AK323" s="60">
        <f t="shared" si="98"/>
        <v>5876.4013150684932</v>
      </c>
      <c r="AL323" s="60">
        <f t="shared" si="99"/>
        <v>4319.1549665753428</v>
      </c>
      <c r="AM323" s="41">
        <f t="shared" si="100"/>
        <v>1652.4039834246571</v>
      </c>
      <c r="AN323" s="42">
        <f t="shared" si="101"/>
        <v>45715</v>
      </c>
      <c r="AO323" s="43">
        <f t="shared" si="102"/>
        <v>8124.57</v>
      </c>
    </row>
    <row r="324" spans="1:41" s="24" customFormat="1" ht="15.75" customHeight="1" x14ac:dyDescent="0.35">
      <c r="A324" s="36" t="s">
        <v>27</v>
      </c>
      <c r="B324" s="36">
        <v>202506</v>
      </c>
      <c r="C324" s="24" t="s">
        <v>128</v>
      </c>
      <c r="D324" s="24" t="s">
        <v>129</v>
      </c>
      <c r="E324" s="62">
        <v>45818</v>
      </c>
      <c r="F324" s="62">
        <v>46182</v>
      </c>
      <c r="G324" s="37" t="s">
        <v>451</v>
      </c>
      <c r="H324" s="36">
        <v>2119</v>
      </c>
      <c r="I324" s="63">
        <v>38764</v>
      </c>
      <c r="J324" s="24" t="s">
        <v>1100</v>
      </c>
      <c r="K324" s="63">
        <f t="shared" ref="K324:K387" si="104">N324</f>
        <v>45818</v>
      </c>
      <c r="L324" s="55">
        <f t="shared" ref="L324:L387" si="105">IF(K324&gt;=DATE(2022,4,1),4%,5%)</f>
        <v>0.04</v>
      </c>
      <c r="M324" s="76">
        <v>0.22500000000000001</v>
      </c>
      <c r="N324" s="62">
        <v>45818</v>
      </c>
      <c r="O324" s="62">
        <v>46182</v>
      </c>
      <c r="P324" s="63"/>
      <c r="Q324" s="63"/>
      <c r="R324" s="82">
        <v>19</v>
      </c>
      <c r="S324" s="63" t="str">
        <f>VLOOKUP(R324,SA!$B$5:$C$11,2,1)</f>
        <v>0-35</v>
      </c>
      <c r="T324" s="38" t="s">
        <v>96</v>
      </c>
      <c r="U324" s="24" t="s">
        <v>114</v>
      </c>
      <c r="V324" s="24">
        <v>300000</v>
      </c>
      <c r="W324" s="39">
        <f t="shared" ref="W324:W387" si="106">IF(U324="self",V324,0)</f>
        <v>0</v>
      </c>
      <c r="X324" s="29">
        <f t="shared" ref="X324:X387" si="107">IF(U324="self",1,0)</f>
        <v>0</v>
      </c>
      <c r="Y324" s="40">
        <f t="shared" ref="Y324:Y387" si="108">O324-N324+1</f>
        <v>365</v>
      </c>
      <c r="Z324" s="38">
        <f t="shared" si="103"/>
        <v>46081</v>
      </c>
      <c r="AA324" s="41">
        <f t="shared" ref="AA324:AA387" si="109">IF(MIN((Z324-N324)+1,Y324)&lt;0,0,MIN((Z324-N324)+1,Y324))</f>
        <v>264</v>
      </c>
      <c r="AB324" s="24" t="s">
        <v>125</v>
      </c>
      <c r="AC324" s="41">
        <f t="shared" ref="AC324:AC387" si="110">AE324+AF324+AG324+AH324</f>
        <v>3874.2114000000001</v>
      </c>
      <c r="AD324" s="41">
        <v>1</v>
      </c>
      <c r="AE324" s="72">
        <f>IFERROR(INDEX(SA!$C$4:$E$11,MATCH(Details!S324,SA!$C$4:$C$11,0),MATCH(Details!V324,SA!$C$4:$E$4,0)),0)*Y324/(F324-E324+1)</f>
        <v>3283.23</v>
      </c>
      <c r="AF324" s="41">
        <f t="shared" ref="AF324:AF387" si="111">IF(AB324="Karnataka",AE324*9%,0)</f>
        <v>0</v>
      </c>
      <c r="AG324" s="41">
        <f t="shared" ref="AG324:AG387" si="112">IF(AB324="Karnataka",AE324*9%,0)</f>
        <v>0</v>
      </c>
      <c r="AH324" s="41">
        <f t="shared" ref="AH324:AH387" si="113">IF(AF324+AG324&gt;0,0,AE324*18%)</f>
        <v>590.98140000000001</v>
      </c>
      <c r="AI324" s="60">
        <f t="shared" ref="AI324:AI387" si="114">AE324*L324</f>
        <v>131.32920000000001</v>
      </c>
      <c r="AJ324" s="60">
        <f t="shared" ref="AJ324:AJ387" si="115">$AE324*M324</f>
        <v>738.72675000000004</v>
      </c>
      <c r="AK324" s="60">
        <f t="shared" ref="AK324:AK387" si="116">(AE324)*AA324/Y324</f>
        <v>2374.7197808219175</v>
      </c>
      <c r="AL324" s="60">
        <f t="shared" ref="AL324:AL387" si="117">AK324*(1-L324-M324)</f>
        <v>1745.4190389041094</v>
      </c>
      <c r="AM324" s="41">
        <f t="shared" ref="AM324:AM387" si="118">AE324-AI324-AL324-AJ324</f>
        <v>667.7550110958905</v>
      </c>
      <c r="AN324" s="42">
        <f t="shared" ref="AN324:AN387" si="119">Z324-366</f>
        <v>45715</v>
      </c>
      <c r="AO324" s="43">
        <f t="shared" ref="AO324:AO387" si="120">IF(AND(O324&gt;Z324,N324&gt;AN324),AE324,0)</f>
        <v>3283.23</v>
      </c>
    </row>
    <row r="325" spans="1:41" s="24" customFormat="1" ht="15.75" customHeight="1" x14ac:dyDescent="0.35">
      <c r="A325" s="36" t="s">
        <v>27</v>
      </c>
      <c r="B325" s="36">
        <v>202506</v>
      </c>
      <c r="C325" s="24" t="s">
        <v>128</v>
      </c>
      <c r="D325" s="24" t="s">
        <v>129</v>
      </c>
      <c r="E325" s="62">
        <v>45818</v>
      </c>
      <c r="F325" s="62">
        <v>46182</v>
      </c>
      <c r="G325" s="37" t="s">
        <v>452</v>
      </c>
      <c r="H325" s="36">
        <v>2119</v>
      </c>
      <c r="I325" s="63">
        <v>26994</v>
      </c>
      <c r="J325" s="24" t="s">
        <v>1101</v>
      </c>
      <c r="K325" s="63">
        <f t="shared" si="104"/>
        <v>45818</v>
      </c>
      <c r="L325" s="55">
        <f t="shared" si="105"/>
        <v>0.04</v>
      </c>
      <c r="M325" s="76">
        <v>0.22500000000000001</v>
      </c>
      <c r="N325" s="62">
        <v>45818</v>
      </c>
      <c r="O325" s="62">
        <v>46182</v>
      </c>
      <c r="P325" s="63"/>
      <c r="Q325" s="63"/>
      <c r="R325" s="82">
        <v>51</v>
      </c>
      <c r="S325" s="63" t="str">
        <f>VLOOKUP(R325,SA!$B$5:$C$11,2,1)</f>
        <v>46-55</v>
      </c>
      <c r="T325" s="38" t="s">
        <v>97</v>
      </c>
      <c r="U325" s="24" t="s">
        <v>115</v>
      </c>
      <c r="V325" s="24">
        <v>300000</v>
      </c>
      <c r="W325" s="39">
        <f t="shared" si="106"/>
        <v>0</v>
      </c>
      <c r="X325" s="29">
        <f t="shared" si="107"/>
        <v>0</v>
      </c>
      <c r="Y325" s="40">
        <f t="shared" si="108"/>
        <v>365</v>
      </c>
      <c r="Z325" s="38">
        <f t="shared" si="103"/>
        <v>46081</v>
      </c>
      <c r="AA325" s="41">
        <f t="shared" si="109"/>
        <v>264</v>
      </c>
      <c r="AB325" s="24" t="s">
        <v>125</v>
      </c>
      <c r="AC325" s="41">
        <f t="shared" si="110"/>
        <v>9586.9925999999996</v>
      </c>
      <c r="AD325" s="41">
        <v>1</v>
      </c>
      <c r="AE325" s="72">
        <f>IFERROR(INDEX(SA!$C$4:$E$11,MATCH(Details!S325,SA!$C$4:$C$11,0),MATCH(Details!V325,SA!$C$4:$E$4,0)),0)*Y325/(F325-E325+1)</f>
        <v>8124.57</v>
      </c>
      <c r="AF325" s="41">
        <f t="shared" si="111"/>
        <v>0</v>
      </c>
      <c r="AG325" s="41">
        <f t="shared" si="112"/>
        <v>0</v>
      </c>
      <c r="AH325" s="41">
        <f t="shared" si="113"/>
        <v>1462.4225999999999</v>
      </c>
      <c r="AI325" s="60">
        <f t="shared" si="114"/>
        <v>324.9828</v>
      </c>
      <c r="AJ325" s="60">
        <f t="shared" si="115"/>
        <v>1828.0282500000001</v>
      </c>
      <c r="AK325" s="60">
        <f t="shared" si="116"/>
        <v>5876.4013150684932</v>
      </c>
      <c r="AL325" s="60">
        <f t="shared" si="117"/>
        <v>4319.1549665753428</v>
      </c>
      <c r="AM325" s="41">
        <f t="shared" si="118"/>
        <v>1652.4039834246571</v>
      </c>
      <c r="AN325" s="42">
        <f t="shared" si="119"/>
        <v>45715</v>
      </c>
      <c r="AO325" s="43">
        <f t="shared" si="120"/>
        <v>8124.57</v>
      </c>
    </row>
    <row r="326" spans="1:41" s="24" customFormat="1" ht="15.75" customHeight="1" x14ac:dyDescent="0.35">
      <c r="A326" s="36" t="s">
        <v>27</v>
      </c>
      <c r="B326" s="36">
        <v>202506</v>
      </c>
      <c r="C326" s="24" t="s">
        <v>128</v>
      </c>
      <c r="D326" s="24" t="s">
        <v>129</v>
      </c>
      <c r="E326" s="62">
        <v>45818</v>
      </c>
      <c r="F326" s="62">
        <v>46182</v>
      </c>
      <c r="G326" s="37" t="s">
        <v>453</v>
      </c>
      <c r="H326" s="36">
        <v>2120</v>
      </c>
      <c r="I326" s="63">
        <v>28185</v>
      </c>
      <c r="J326" s="24" t="s">
        <v>1102</v>
      </c>
      <c r="K326" s="63">
        <f t="shared" si="104"/>
        <v>45818</v>
      </c>
      <c r="L326" s="55">
        <f t="shared" si="105"/>
        <v>0.04</v>
      </c>
      <c r="M326" s="76">
        <v>0.22500000000000001</v>
      </c>
      <c r="N326" s="62">
        <v>45818</v>
      </c>
      <c r="O326" s="62">
        <v>46182</v>
      </c>
      <c r="P326" s="63"/>
      <c r="Q326" s="63"/>
      <c r="R326" s="82">
        <v>48</v>
      </c>
      <c r="S326" s="63" t="str">
        <f>VLOOKUP(R326,SA!$B$5:$C$11,2,1)</f>
        <v>46-55</v>
      </c>
      <c r="T326" s="38" t="s">
        <v>96</v>
      </c>
      <c r="U326" s="24" t="s">
        <v>56</v>
      </c>
      <c r="V326" s="24">
        <v>300000</v>
      </c>
      <c r="W326" s="39">
        <f t="shared" si="106"/>
        <v>300000</v>
      </c>
      <c r="X326" s="29">
        <f t="shared" si="107"/>
        <v>1</v>
      </c>
      <c r="Y326" s="40">
        <f t="shared" si="108"/>
        <v>365</v>
      </c>
      <c r="Z326" s="38">
        <f t="shared" si="103"/>
        <v>46081</v>
      </c>
      <c r="AA326" s="41">
        <f t="shared" si="109"/>
        <v>264</v>
      </c>
      <c r="AB326" s="24" t="s">
        <v>125</v>
      </c>
      <c r="AC326" s="41">
        <f t="shared" si="110"/>
        <v>9586.9925999999996</v>
      </c>
      <c r="AD326" s="41">
        <v>1</v>
      </c>
      <c r="AE326" s="72">
        <f>IFERROR(INDEX(SA!$C$4:$E$11,MATCH(Details!S326,SA!$C$4:$C$11,0),MATCH(Details!V326,SA!$C$4:$E$4,0)),0)*Y326/(F326-E326+1)</f>
        <v>8124.57</v>
      </c>
      <c r="AF326" s="41">
        <f t="shared" si="111"/>
        <v>0</v>
      </c>
      <c r="AG326" s="41">
        <f t="shared" si="112"/>
        <v>0</v>
      </c>
      <c r="AH326" s="41">
        <f t="shared" si="113"/>
        <v>1462.4225999999999</v>
      </c>
      <c r="AI326" s="60">
        <f t="shared" si="114"/>
        <v>324.9828</v>
      </c>
      <c r="AJ326" s="60">
        <f t="shared" si="115"/>
        <v>1828.0282500000001</v>
      </c>
      <c r="AK326" s="60">
        <f t="shared" si="116"/>
        <v>5876.4013150684932</v>
      </c>
      <c r="AL326" s="60">
        <f t="shared" si="117"/>
        <v>4319.1549665753428</v>
      </c>
      <c r="AM326" s="41">
        <f t="shared" si="118"/>
        <v>1652.4039834246571</v>
      </c>
      <c r="AN326" s="42">
        <f t="shared" si="119"/>
        <v>45715</v>
      </c>
      <c r="AO326" s="43">
        <f t="shared" si="120"/>
        <v>8124.57</v>
      </c>
    </row>
    <row r="327" spans="1:41" s="24" customFormat="1" ht="15.75" customHeight="1" x14ac:dyDescent="0.35">
      <c r="A327" s="36" t="s">
        <v>27</v>
      </c>
      <c r="B327" s="36">
        <v>202506</v>
      </c>
      <c r="C327" s="24" t="s">
        <v>128</v>
      </c>
      <c r="D327" s="24" t="s">
        <v>129</v>
      </c>
      <c r="E327" s="62">
        <v>45818</v>
      </c>
      <c r="F327" s="62">
        <v>46182</v>
      </c>
      <c r="G327" s="37" t="s">
        <v>454</v>
      </c>
      <c r="H327" s="36">
        <v>2120</v>
      </c>
      <c r="I327" s="63">
        <v>37824</v>
      </c>
      <c r="J327" s="24" t="s">
        <v>1103</v>
      </c>
      <c r="K327" s="63">
        <f t="shared" si="104"/>
        <v>45818</v>
      </c>
      <c r="L327" s="55">
        <f t="shared" si="105"/>
        <v>0.04</v>
      </c>
      <c r="M327" s="76">
        <v>0.22500000000000001</v>
      </c>
      <c r="N327" s="62">
        <v>45818</v>
      </c>
      <c r="O327" s="62">
        <v>46182</v>
      </c>
      <c r="P327" s="63"/>
      <c r="Q327" s="63"/>
      <c r="R327" s="82">
        <v>21</v>
      </c>
      <c r="S327" s="63" t="str">
        <f>VLOOKUP(R327,SA!$B$5:$C$11,2,1)</f>
        <v>0-35</v>
      </c>
      <c r="T327" s="38" t="s">
        <v>97</v>
      </c>
      <c r="U327" s="24" t="s">
        <v>113</v>
      </c>
      <c r="V327" s="24">
        <v>300000</v>
      </c>
      <c r="W327" s="39">
        <f t="shared" si="106"/>
        <v>0</v>
      </c>
      <c r="X327" s="29">
        <f t="shared" si="107"/>
        <v>0</v>
      </c>
      <c r="Y327" s="40">
        <f t="shared" si="108"/>
        <v>365</v>
      </c>
      <c r="Z327" s="38">
        <f t="shared" si="103"/>
        <v>46081</v>
      </c>
      <c r="AA327" s="41">
        <f t="shared" si="109"/>
        <v>264</v>
      </c>
      <c r="AB327" s="24" t="s">
        <v>125</v>
      </c>
      <c r="AC327" s="41">
        <f t="shared" si="110"/>
        <v>3874.2114000000001</v>
      </c>
      <c r="AD327" s="41">
        <v>1</v>
      </c>
      <c r="AE327" s="72">
        <f>IFERROR(INDEX(SA!$C$4:$E$11,MATCH(Details!S327,SA!$C$4:$C$11,0),MATCH(Details!V327,SA!$C$4:$E$4,0)),0)*Y327/(F327-E327+1)</f>
        <v>3283.23</v>
      </c>
      <c r="AF327" s="41">
        <f t="shared" si="111"/>
        <v>0</v>
      </c>
      <c r="AG327" s="41">
        <f t="shared" si="112"/>
        <v>0</v>
      </c>
      <c r="AH327" s="41">
        <f t="shared" si="113"/>
        <v>590.98140000000001</v>
      </c>
      <c r="AI327" s="60">
        <f t="shared" si="114"/>
        <v>131.32920000000001</v>
      </c>
      <c r="AJ327" s="60">
        <f t="shared" si="115"/>
        <v>738.72675000000004</v>
      </c>
      <c r="AK327" s="60">
        <f t="shared" si="116"/>
        <v>2374.7197808219175</v>
      </c>
      <c r="AL327" s="60">
        <f t="shared" si="117"/>
        <v>1745.4190389041094</v>
      </c>
      <c r="AM327" s="41">
        <f t="shared" si="118"/>
        <v>667.7550110958905</v>
      </c>
      <c r="AN327" s="42">
        <f t="shared" si="119"/>
        <v>45715</v>
      </c>
      <c r="AO327" s="43">
        <f t="shared" si="120"/>
        <v>3283.23</v>
      </c>
    </row>
    <row r="328" spans="1:41" s="24" customFormat="1" ht="15.75" customHeight="1" x14ac:dyDescent="0.35">
      <c r="A328" s="36" t="s">
        <v>27</v>
      </c>
      <c r="B328" s="36">
        <v>202506</v>
      </c>
      <c r="C328" s="24" t="s">
        <v>128</v>
      </c>
      <c r="D328" s="24" t="s">
        <v>129</v>
      </c>
      <c r="E328" s="62">
        <v>45818</v>
      </c>
      <c r="F328" s="62">
        <v>46182</v>
      </c>
      <c r="G328" s="37" t="s">
        <v>455</v>
      </c>
      <c r="H328" s="36">
        <v>2120</v>
      </c>
      <c r="I328" s="63">
        <v>30317</v>
      </c>
      <c r="J328" s="24" t="s">
        <v>1104</v>
      </c>
      <c r="K328" s="63">
        <f t="shared" si="104"/>
        <v>45818</v>
      </c>
      <c r="L328" s="55">
        <f t="shared" si="105"/>
        <v>0.04</v>
      </c>
      <c r="M328" s="76">
        <v>0.22500000000000001</v>
      </c>
      <c r="N328" s="62">
        <v>45818</v>
      </c>
      <c r="O328" s="62">
        <v>46182</v>
      </c>
      <c r="P328" s="63"/>
      <c r="Q328" s="63"/>
      <c r="R328" s="82">
        <v>42</v>
      </c>
      <c r="S328" s="63" t="str">
        <f>VLOOKUP(R328,SA!$B$5:$C$11,2,1)</f>
        <v>36-45</v>
      </c>
      <c r="T328" s="38" t="s">
        <v>97</v>
      </c>
      <c r="U328" s="24" t="s">
        <v>115</v>
      </c>
      <c r="V328" s="24">
        <v>300000</v>
      </c>
      <c r="W328" s="39">
        <f t="shared" si="106"/>
        <v>0</v>
      </c>
      <c r="X328" s="29">
        <f t="shared" si="107"/>
        <v>0</v>
      </c>
      <c r="Y328" s="40">
        <f t="shared" si="108"/>
        <v>365</v>
      </c>
      <c r="Z328" s="38">
        <f t="shared" si="103"/>
        <v>46081</v>
      </c>
      <c r="AA328" s="41">
        <f t="shared" si="109"/>
        <v>264</v>
      </c>
      <c r="AB328" s="24" t="s">
        <v>125</v>
      </c>
      <c r="AC328" s="41">
        <f t="shared" si="110"/>
        <v>5017.3245999999999</v>
      </c>
      <c r="AD328" s="41">
        <v>1</v>
      </c>
      <c r="AE328" s="72">
        <f>IFERROR(INDEX(SA!$C$4:$E$11,MATCH(Details!S328,SA!$C$4:$C$11,0),MATCH(Details!V328,SA!$C$4:$E$4,0)),0)*Y328/(F328-E328+1)</f>
        <v>4251.97</v>
      </c>
      <c r="AF328" s="41">
        <f t="shared" si="111"/>
        <v>0</v>
      </c>
      <c r="AG328" s="41">
        <f t="shared" si="112"/>
        <v>0</v>
      </c>
      <c r="AH328" s="41">
        <f t="shared" si="113"/>
        <v>765.3546</v>
      </c>
      <c r="AI328" s="60">
        <f t="shared" si="114"/>
        <v>170.0788</v>
      </c>
      <c r="AJ328" s="60">
        <f t="shared" si="115"/>
        <v>956.69325000000003</v>
      </c>
      <c r="AK328" s="60">
        <f t="shared" si="116"/>
        <v>3075.397479452055</v>
      </c>
      <c r="AL328" s="60">
        <f t="shared" si="117"/>
        <v>2260.4171473972606</v>
      </c>
      <c r="AM328" s="41">
        <f t="shared" si="118"/>
        <v>864.78080260273941</v>
      </c>
      <c r="AN328" s="42">
        <f t="shared" si="119"/>
        <v>45715</v>
      </c>
      <c r="AO328" s="43">
        <f t="shared" si="120"/>
        <v>4251.97</v>
      </c>
    </row>
    <row r="329" spans="1:41" s="24" customFormat="1" ht="15.75" customHeight="1" x14ac:dyDescent="0.35">
      <c r="A329" s="36" t="s">
        <v>27</v>
      </c>
      <c r="B329" s="36">
        <v>202506</v>
      </c>
      <c r="C329" s="24" t="s">
        <v>128</v>
      </c>
      <c r="D329" s="24" t="s">
        <v>129</v>
      </c>
      <c r="E329" s="62">
        <v>45818</v>
      </c>
      <c r="F329" s="62">
        <v>46182</v>
      </c>
      <c r="G329" s="37" t="s">
        <v>456</v>
      </c>
      <c r="H329" s="36">
        <v>2120</v>
      </c>
      <c r="I329" s="63">
        <v>38308</v>
      </c>
      <c r="J329" s="24" t="s">
        <v>1105</v>
      </c>
      <c r="K329" s="63">
        <f t="shared" si="104"/>
        <v>45818</v>
      </c>
      <c r="L329" s="55">
        <f t="shared" si="105"/>
        <v>0.04</v>
      </c>
      <c r="M329" s="76">
        <v>0.22500000000000001</v>
      </c>
      <c r="N329" s="62">
        <v>45818</v>
      </c>
      <c r="O329" s="62">
        <v>46182</v>
      </c>
      <c r="P329" s="63"/>
      <c r="Q329" s="63"/>
      <c r="R329" s="82">
        <v>20</v>
      </c>
      <c r="S329" s="63" t="str">
        <f>VLOOKUP(R329,SA!$B$5:$C$11,2,1)</f>
        <v>0-35</v>
      </c>
      <c r="T329" s="38" t="s">
        <v>96</v>
      </c>
      <c r="U329" s="24" t="s">
        <v>114</v>
      </c>
      <c r="V329" s="24">
        <v>300000</v>
      </c>
      <c r="W329" s="39">
        <f t="shared" si="106"/>
        <v>0</v>
      </c>
      <c r="X329" s="29">
        <f t="shared" si="107"/>
        <v>0</v>
      </c>
      <c r="Y329" s="40">
        <f t="shared" si="108"/>
        <v>365</v>
      </c>
      <c r="Z329" s="38">
        <f t="shared" si="103"/>
        <v>46081</v>
      </c>
      <c r="AA329" s="41">
        <f t="shared" si="109"/>
        <v>264</v>
      </c>
      <c r="AB329" s="24" t="s">
        <v>125</v>
      </c>
      <c r="AC329" s="41">
        <f t="shared" si="110"/>
        <v>3874.2114000000001</v>
      </c>
      <c r="AD329" s="41">
        <v>1</v>
      </c>
      <c r="AE329" s="72">
        <f>IFERROR(INDEX(SA!$C$4:$E$11,MATCH(Details!S329,SA!$C$4:$C$11,0),MATCH(Details!V329,SA!$C$4:$E$4,0)),0)*Y329/(F329-E329+1)</f>
        <v>3283.23</v>
      </c>
      <c r="AF329" s="41">
        <f t="shared" si="111"/>
        <v>0</v>
      </c>
      <c r="AG329" s="41">
        <f t="shared" si="112"/>
        <v>0</v>
      </c>
      <c r="AH329" s="41">
        <f t="shared" si="113"/>
        <v>590.98140000000001</v>
      </c>
      <c r="AI329" s="60">
        <f t="shared" si="114"/>
        <v>131.32920000000001</v>
      </c>
      <c r="AJ329" s="60">
        <f t="shared" si="115"/>
        <v>738.72675000000004</v>
      </c>
      <c r="AK329" s="60">
        <f t="shared" si="116"/>
        <v>2374.7197808219175</v>
      </c>
      <c r="AL329" s="60">
        <f t="shared" si="117"/>
        <v>1745.4190389041094</v>
      </c>
      <c r="AM329" s="41">
        <f t="shared" si="118"/>
        <v>667.7550110958905</v>
      </c>
      <c r="AN329" s="42">
        <f t="shared" si="119"/>
        <v>45715</v>
      </c>
      <c r="AO329" s="43">
        <f t="shared" si="120"/>
        <v>3283.23</v>
      </c>
    </row>
    <row r="330" spans="1:41" s="24" customFormat="1" ht="15.75" customHeight="1" x14ac:dyDescent="0.35">
      <c r="A330" s="36" t="s">
        <v>27</v>
      </c>
      <c r="B330" s="36">
        <v>202506</v>
      </c>
      <c r="C330" s="24" t="s">
        <v>128</v>
      </c>
      <c r="D330" s="24" t="s">
        <v>129</v>
      </c>
      <c r="E330" s="62">
        <v>45818</v>
      </c>
      <c r="F330" s="62">
        <v>46182</v>
      </c>
      <c r="G330" s="37" t="s">
        <v>457</v>
      </c>
      <c r="H330" s="36">
        <v>2124</v>
      </c>
      <c r="I330" s="63">
        <v>32086</v>
      </c>
      <c r="J330" s="24" t="s">
        <v>1106</v>
      </c>
      <c r="K330" s="63">
        <f t="shared" si="104"/>
        <v>45818</v>
      </c>
      <c r="L330" s="55">
        <f t="shared" si="105"/>
        <v>0.04</v>
      </c>
      <c r="M330" s="76">
        <v>0.22500000000000001</v>
      </c>
      <c r="N330" s="62">
        <v>45818</v>
      </c>
      <c r="O330" s="62">
        <v>46182</v>
      </c>
      <c r="P330" s="63"/>
      <c r="Q330" s="63"/>
      <c r="R330" s="82">
        <v>37</v>
      </c>
      <c r="S330" s="63" t="str">
        <f>VLOOKUP(R330,SA!$B$5:$C$11,2,1)</f>
        <v>36-45</v>
      </c>
      <c r="T330" s="38" t="s">
        <v>96</v>
      </c>
      <c r="U330" s="24" t="s">
        <v>56</v>
      </c>
      <c r="V330" s="24">
        <v>300000</v>
      </c>
      <c r="W330" s="39">
        <f t="shared" si="106"/>
        <v>300000</v>
      </c>
      <c r="X330" s="29">
        <f t="shared" si="107"/>
        <v>1</v>
      </c>
      <c r="Y330" s="40">
        <f t="shared" si="108"/>
        <v>365</v>
      </c>
      <c r="Z330" s="38">
        <f t="shared" si="103"/>
        <v>46081</v>
      </c>
      <c r="AA330" s="41">
        <f t="shared" si="109"/>
        <v>264</v>
      </c>
      <c r="AB330" s="24" t="s">
        <v>125</v>
      </c>
      <c r="AC330" s="41">
        <f t="shared" si="110"/>
        <v>5017.3245999999999</v>
      </c>
      <c r="AD330" s="41">
        <v>1</v>
      </c>
      <c r="AE330" s="72">
        <f>IFERROR(INDEX(SA!$C$4:$E$11,MATCH(Details!S330,SA!$C$4:$C$11,0),MATCH(Details!V330,SA!$C$4:$E$4,0)),0)*Y330/(F330-E330+1)</f>
        <v>4251.97</v>
      </c>
      <c r="AF330" s="41">
        <f t="shared" si="111"/>
        <v>0</v>
      </c>
      <c r="AG330" s="41">
        <f t="shared" si="112"/>
        <v>0</v>
      </c>
      <c r="AH330" s="41">
        <f t="shared" si="113"/>
        <v>765.3546</v>
      </c>
      <c r="AI330" s="60">
        <f t="shared" si="114"/>
        <v>170.0788</v>
      </c>
      <c r="AJ330" s="60">
        <f t="shared" si="115"/>
        <v>956.69325000000003</v>
      </c>
      <c r="AK330" s="60">
        <f t="shared" si="116"/>
        <v>3075.397479452055</v>
      </c>
      <c r="AL330" s="60">
        <f t="shared" si="117"/>
        <v>2260.4171473972606</v>
      </c>
      <c r="AM330" s="41">
        <f t="shared" si="118"/>
        <v>864.78080260273941</v>
      </c>
      <c r="AN330" s="42">
        <f t="shared" si="119"/>
        <v>45715</v>
      </c>
      <c r="AO330" s="43">
        <f t="shared" si="120"/>
        <v>4251.97</v>
      </c>
    </row>
    <row r="331" spans="1:41" s="24" customFormat="1" ht="15.75" customHeight="1" x14ac:dyDescent="0.35">
      <c r="A331" s="36" t="s">
        <v>27</v>
      </c>
      <c r="B331" s="36">
        <v>202506</v>
      </c>
      <c r="C331" s="24" t="s">
        <v>128</v>
      </c>
      <c r="D331" s="24" t="s">
        <v>129</v>
      </c>
      <c r="E331" s="62">
        <v>45818</v>
      </c>
      <c r="F331" s="62">
        <v>46182</v>
      </c>
      <c r="G331" s="37" t="s">
        <v>458</v>
      </c>
      <c r="H331" s="36">
        <v>2124</v>
      </c>
      <c r="I331" s="63">
        <v>33101</v>
      </c>
      <c r="J331" s="24" t="s">
        <v>1107</v>
      </c>
      <c r="K331" s="63">
        <f t="shared" si="104"/>
        <v>45818</v>
      </c>
      <c r="L331" s="55">
        <f t="shared" si="105"/>
        <v>0.04</v>
      </c>
      <c r="M331" s="76">
        <v>0.22500000000000001</v>
      </c>
      <c r="N331" s="62">
        <v>45818</v>
      </c>
      <c r="O331" s="62">
        <v>46182</v>
      </c>
      <c r="P331" s="63"/>
      <c r="Q331" s="63"/>
      <c r="R331" s="82">
        <v>34</v>
      </c>
      <c r="S331" s="63" t="str">
        <f>VLOOKUP(R331,SA!$B$5:$C$11,2,1)</f>
        <v>0-35</v>
      </c>
      <c r="T331" s="38" t="s">
        <v>97</v>
      </c>
      <c r="U331" s="24" t="s">
        <v>115</v>
      </c>
      <c r="V331" s="24">
        <v>300000</v>
      </c>
      <c r="W331" s="39">
        <f t="shared" si="106"/>
        <v>0</v>
      </c>
      <c r="X331" s="29">
        <f t="shared" si="107"/>
        <v>0</v>
      </c>
      <c r="Y331" s="40">
        <f t="shared" si="108"/>
        <v>365</v>
      </c>
      <c r="Z331" s="38">
        <f t="shared" si="103"/>
        <v>46081</v>
      </c>
      <c r="AA331" s="41">
        <f t="shared" si="109"/>
        <v>264</v>
      </c>
      <c r="AB331" s="24" t="s">
        <v>125</v>
      </c>
      <c r="AC331" s="41">
        <f t="shared" si="110"/>
        <v>3874.2114000000001</v>
      </c>
      <c r="AD331" s="41">
        <v>1</v>
      </c>
      <c r="AE331" s="72">
        <f>IFERROR(INDEX(SA!$C$4:$E$11,MATCH(Details!S331,SA!$C$4:$C$11,0),MATCH(Details!V331,SA!$C$4:$E$4,0)),0)*Y331/(F331-E331+1)</f>
        <v>3283.23</v>
      </c>
      <c r="AF331" s="41">
        <f t="shared" si="111"/>
        <v>0</v>
      </c>
      <c r="AG331" s="41">
        <f t="shared" si="112"/>
        <v>0</v>
      </c>
      <c r="AH331" s="41">
        <f t="shared" si="113"/>
        <v>590.98140000000001</v>
      </c>
      <c r="AI331" s="60">
        <f t="shared" si="114"/>
        <v>131.32920000000001</v>
      </c>
      <c r="AJ331" s="60">
        <f t="shared" si="115"/>
        <v>738.72675000000004</v>
      </c>
      <c r="AK331" s="60">
        <f t="shared" si="116"/>
        <v>2374.7197808219175</v>
      </c>
      <c r="AL331" s="60">
        <f t="shared" si="117"/>
        <v>1745.4190389041094</v>
      </c>
      <c r="AM331" s="41">
        <f t="shared" si="118"/>
        <v>667.7550110958905</v>
      </c>
      <c r="AN331" s="42">
        <f t="shared" si="119"/>
        <v>45715</v>
      </c>
      <c r="AO331" s="43">
        <f t="shared" si="120"/>
        <v>3283.23</v>
      </c>
    </row>
    <row r="332" spans="1:41" s="24" customFormat="1" ht="15.75" customHeight="1" x14ac:dyDescent="0.35">
      <c r="A332" s="36" t="s">
        <v>27</v>
      </c>
      <c r="B332" s="36">
        <v>202506</v>
      </c>
      <c r="C332" s="24" t="s">
        <v>128</v>
      </c>
      <c r="D332" s="24" t="s">
        <v>129</v>
      </c>
      <c r="E332" s="62">
        <v>45818</v>
      </c>
      <c r="F332" s="62">
        <v>46182</v>
      </c>
      <c r="G332" s="37" t="s">
        <v>459</v>
      </c>
      <c r="H332" s="36">
        <v>2124</v>
      </c>
      <c r="I332" s="63">
        <v>43169</v>
      </c>
      <c r="J332" s="24" t="s">
        <v>1108</v>
      </c>
      <c r="K332" s="63">
        <f t="shared" si="104"/>
        <v>45818</v>
      </c>
      <c r="L332" s="55">
        <f t="shared" si="105"/>
        <v>0.04</v>
      </c>
      <c r="M332" s="76">
        <v>0.22500000000000001</v>
      </c>
      <c r="N332" s="62">
        <v>45818</v>
      </c>
      <c r="O332" s="62">
        <v>46182</v>
      </c>
      <c r="P332" s="63"/>
      <c r="Q332" s="63"/>
      <c r="R332" s="82">
        <v>7</v>
      </c>
      <c r="S332" s="63" t="str">
        <f>VLOOKUP(R332,SA!$B$5:$C$11,2,1)</f>
        <v>0-35</v>
      </c>
      <c r="T332" s="38" t="s">
        <v>97</v>
      </c>
      <c r="U332" s="24" t="s">
        <v>113</v>
      </c>
      <c r="V332" s="24">
        <v>300000</v>
      </c>
      <c r="W332" s="39">
        <f t="shared" si="106"/>
        <v>0</v>
      </c>
      <c r="X332" s="29">
        <f t="shared" si="107"/>
        <v>0</v>
      </c>
      <c r="Y332" s="40">
        <f t="shared" si="108"/>
        <v>365</v>
      </c>
      <c r="Z332" s="38">
        <f t="shared" si="103"/>
        <v>46081</v>
      </c>
      <c r="AA332" s="41">
        <f t="shared" si="109"/>
        <v>264</v>
      </c>
      <c r="AB332" s="24" t="s">
        <v>125</v>
      </c>
      <c r="AC332" s="41">
        <f t="shared" si="110"/>
        <v>3874.2114000000001</v>
      </c>
      <c r="AD332" s="41">
        <v>1</v>
      </c>
      <c r="AE332" s="72">
        <f>IFERROR(INDEX(SA!$C$4:$E$11,MATCH(Details!S332,SA!$C$4:$C$11,0),MATCH(Details!V332,SA!$C$4:$E$4,0)),0)*Y332/(F332-E332+1)</f>
        <v>3283.23</v>
      </c>
      <c r="AF332" s="41">
        <f t="shared" si="111"/>
        <v>0</v>
      </c>
      <c r="AG332" s="41">
        <f t="shared" si="112"/>
        <v>0</v>
      </c>
      <c r="AH332" s="41">
        <f t="shared" si="113"/>
        <v>590.98140000000001</v>
      </c>
      <c r="AI332" s="60">
        <f t="shared" si="114"/>
        <v>131.32920000000001</v>
      </c>
      <c r="AJ332" s="60">
        <f t="shared" si="115"/>
        <v>738.72675000000004</v>
      </c>
      <c r="AK332" s="60">
        <f t="shared" si="116"/>
        <v>2374.7197808219175</v>
      </c>
      <c r="AL332" s="60">
        <f t="shared" si="117"/>
        <v>1745.4190389041094</v>
      </c>
      <c r="AM332" s="41">
        <f t="shared" si="118"/>
        <v>667.7550110958905</v>
      </c>
      <c r="AN332" s="42">
        <f t="shared" si="119"/>
        <v>45715</v>
      </c>
      <c r="AO332" s="43">
        <f t="shared" si="120"/>
        <v>3283.23</v>
      </c>
    </row>
    <row r="333" spans="1:41" s="24" customFormat="1" ht="15.75" customHeight="1" x14ac:dyDescent="0.35">
      <c r="A333" s="36" t="s">
        <v>27</v>
      </c>
      <c r="B333" s="36">
        <v>202506</v>
      </c>
      <c r="C333" s="24" t="s">
        <v>128</v>
      </c>
      <c r="D333" s="24" t="s">
        <v>129</v>
      </c>
      <c r="E333" s="62">
        <v>45818</v>
      </c>
      <c r="F333" s="62">
        <v>46182</v>
      </c>
      <c r="G333" s="37" t="s">
        <v>460</v>
      </c>
      <c r="H333" s="36">
        <v>2124</v>
      </c>
      <c r="I333" s="63">
        <v>41321</v>
      </c>
      <c r="J333" s="24" t="s">
        <v>1109</v>
      </c>
      <c r="K333" s="63">
        <f t="shared" si="104"/>
        <v>45818</v>
      </c>
      <c r="L333" s="55">
        <f t="shared" si="105"/>
        <v>0.04</v>
      </c>
      <c r="M333" s="76">
        <v>0.22500000000000001</v>
      </c>
      <c r="N333" s="62">
        <v>45818</v>
      </c>
      <c r="O333" s="62">
        <v>46182</v>
      </c>
      <c r="P333" s="63"/>
      <c r="Q333" s="63"/>
      <c r="R333" s="82">
        <v>12</v>
      </c>
      <c r="S333" s="63" t="str">
        <f>VLOOKUP(R333,SA!$B$5:$C$11,2,1)</f>
        <v>0-35</v>
      </c>
      <c r="T333" s="38" t="s">
        <v>96</v>
      </c>
      <c r="U333" s="24" t="s">
        <v>114</v>
      </c>
      <c r="V333" s="24">
        <v>300000</v>
      </c>
      <c r="W333" s="39">
        <f t="shared" si="106"/>
        <v>0</v>
      </c>
      <c r="X333" s="29">
        <f t="shared" si="107"/>
        <v>0</v>
      </c>
      <c r="Y333" s="40">
        <f t="shared" si="108"/>
        <v>365</v>
      </c>
      <c r="Z333" s="38">
        <f t="shared" si="103"/>
        <v>46081</v>
      </c>
      <c r="AA333" s="41">
        <f t="shared" si="109"/>
        <v>264</v>
      </c>
      <c r="AB333" s="24" t="s">
        <v>125</v>
      </c>
      <c r="AC333" s="41">
        <f t="shared" si="110"/>
        <v>3874.2114000000001</v>
      </c>
      <c r="AD333" s="41">
        <v>1</v>
      </c>
      <c r="AE333" s="72">
        <f>IFERROR(INDEX(SA!$C$4:$E$11,MATCH(Details!S333,SA!$C$4:$C$11,0),MATCH(Details!V333,SA!$C$4:$E$4,0)),0)*Y333/(F333-E333+1)</f>
        <v>3283.23</v>
      </c>
      <c r="AF333" s="41">
        <f t="shared" si="111"/>
        <v>0</v>
      </c>
      <c r="AG333" s="41">
        <f t="shared" si="112"/>
        <v>0</v>
      </c>
      <c r="AH333" s="41">
        <f t="shared" si="113"/>
        <v>590.98140000000001</v>
      </c>
      <c r="AI333" s="60">
        <f t="shared" si="114"/>
        <v>131.32920000000001</v>
      </c>
      <c r="AJ333" s="60">
        <f t="shared" si="115"/>
        <v>738.72675000000004</v>
      </c>
      <c r="AK333" s="60">
        <f t="shared" si="116"/>
        <v>2374.7197808219175</v>
      </c>
      <c r="AL333" s="60">
        <f t="shared" si="117"/>
        <v>1745.4190389041094</v>
      </c>
      <c r="AM333" s="41">
        <f t="shared" si="118"/>
        <v>667.7550110958905</v>
      </c>
      <c r="AN333" s="42">
        <f t="shared" si="119"/>
        <v>45715</v>
      </c>
      <c r="AO333" s="43">
        <f t="shared" si="120"/>
        <v>3283.23</v>
      </c>
    </row>
    <row r="334" spans="1:41" s="24" customFormat="1" ht="15.75" customHeight="1" x14ac:dyDescent="0.35">
      <c r="A334" s="36" t="s">
        <v>27</v>
      </c>
      <c r="B334" s="36">
        <v>202506</v>
      </c>
      <c r="C334" s="24" t="s">
        <v>128</v>
      </c>
      <c r="D334" s="24" t="s">
        <v>129</v>
      </c>
      <c r="E334" s="62">
        <v>45818</v>
      </c>
      <c r="F334" s="62">
        <v>46182</v>
      </c>
      <c r="G334" s="37" t="s">
        <v>461</v>
      </c>
      <c r="H334" s="36">
        <v>2129</v>
      </c>
      <c r="I334" s="63">
        <v>28231</v>
      </c>
      <c r="J334" s="24" t="s">
        <v>1110</v>
      </c>
      <c r="K334" s="63">
        <f t="shared" si="104"/>
        <v>45818</v>
      </c>
      <c r="L334" s="55">
        <f t="shared" si="105"/>
        <v>0.04</v>
      </c>
      <c r="M334" s="76">
        <v>0.22500000000000001</v>
      </c>
      <c r="N334" s="62">
        <v>45818</v>
      </c>
      <c r="O334" s="62">
        <v>46182</v>
      </c>
      <c r="P334" s="63"/>
      <c r="Q334" s="63"/>
      <c r="R334" s="82">
        <v>48</v>
      </c>
      <c r="S334" s="63" t="str">
        <f>VLOOKUP(R334,SA!$B$5:$C$11,2,1)</f>
        <v>46-55</v>
      </c>
      <c r="T334" s="38" t="s">
        <v>96</v>
      </c>
      <c r="U334" s="24" t="s">
        <v>56</v>
      </c>
      <c r="V334" s="24">
        <v>300000</v>
      </c>
      <c r="W334" s="39">
        <f t="shared" si="106"/>
        <v>300000</v>
      </c>
      <c r="X334" s="29">
        <f t="shared" si="107"/>
        <v>1</v>
      </c>
      <c r="Y334" s="40">
        <f t="shared" si="108"/>
        <v>365</v>
      </c>
      <c r="Z334" s="38">
        <f t="shared" si="103"/>
        <v>46081</v>
      </c>
      <c r="AA334" s="41">
        <f t="shared" si="109"/>
        <v>264</v>
      </c>
      <c r="AB334" s="24" t="s">
        <v>125</v>
      </c>
      <c r="AC334" s="41">
        <f t="shared" si="110"/>
        <v>9586.9925999999996</v>
      </c>
      <c r="AD334" s="41">
        <v>1</v>
      </c>
      <c r="AE334" s="72">
        <f>IFERROR(INDEX(SA!$C$4:$E$11,MATCH(Details!S334,SA!$C$4:$C$11,0),MATCH(Details!V334,SA!$C$4:$E$4,0)),0)*Y334/(F334-E334+1)</f>
        <v>8124.57</v>
      </c>
      <c r="AF334" s="41">
        <f t="shared" si="111"/>
        <v>0</v>
      </c>
      <c r="AG334" s="41">
        <f t="shared" si="112"/>
        <v>0</v>
      </c>
      <c r="AH334" s="41">
        <f t="shared" si="113"/>
        <v>1462.4225999999999</v>
      </c>
      <c r="AI334" s="60">
        <f t="shared" si="114"/>
        <v>324.9828</v>
      </c>
      <c r="AJ334" s="60">
        <f t="shared" si="115"/>
        <v>1828.0282500000001</v>
      </c>
      <c r="AK334" s="60">
        <f t="shared" si="116"/>
        <v>5876.4013150684932</v>
      </c>
      <c r="AL334" s="60">
        <f t="shared" si="117"/>
        <v>4319.1549665753428</v>
      </c>
      <c r="AM334" s="41">
        <f t="shared" si="118"/>
        <v>1652.4039834246571</v>
      </c>
      <c r="AN334" s="42">
        <f t="shared" si="119"/>
        <v>45715</v>
      </c>
      <c r="AO334" s="43">
        <f t="shared" si="120"/>
        <v>8124.57</v>
      </c>
    </row>
    <row r="335" spans="1:41" s="24" customFormat="1" ht="15.75" customHeight="1" x14ac:dyDescent="0.35">
      <c r="A335" s="36" t="s">
        <v>27</v>
      </c>
      <c r="B335" s="36">
        <v>202506</v>
      </c>
      <c r="C335" s="24" t="s">
        <v>128</v>
      </c>
      <c r="D335" s="24" t="s">
        <v>129</v>
      </c>
      <c r="E335" s="62">
        <v>45818</v>
      </c>
      <c r="F335" s="62">
        <v>46182</v>
      </c>
      <c r="G335" s="37" t="s">
        <v>462</v>
      </c>
      <c r="H335" s="36">
        <v>2129</v>
      </c>
      <c r="I335" s="63">
        <v>37806</v>
      </c>
      <c r="J335" s="24" t="s">
        <v>1111</v>
      </c>
      <c r="K335" s="63">
        <f t="shared" si="104"/>
        <v>45818</v>
      </c>
      <c r="L335" s="55">
        <f t="shared" si="105"/>
        <v>0.04</v>
      </c>
      <c r="M335" s="76">
        <v>0.22500000000000001</v>
      </c>
      <c r="N335" s="62">
        <v>45818</v>
      </c>
      <c r="O335" s="62">
        <v>46182</v>
      </c>
      <c r="P335" s="63"/>
      <c r="Q335" s="63"/>
      <c r="R335" s="82">
        <v>21</v>
      </c>
      <c r="S335" s="63" t="str">
        <f>VLOOKUP(R335,SA!$B$5:$C$11,2,1)</f>
        <v>0-35</v>
      </c>
      <c r="T335" s="38" t="s">
        <v>97</v>
      </c>
      <c r="U335" s="24" t="s">
        <v>113</v>
      </c>
      <c r="V335" s="24">
        <v>300000</v>
      </c>
      <c r="W335" s="39">
        <f t="shared" si="106"/>
        <v>0</v>
      </c>
      <c r="X335" s="29">
        <f t="shared" si="107"/>
        <v>0</v>
      </c>
      <c r="Y335" s="40">
        <f t="shared" si="108"/>
        <v>365</v>
      </c>
      <c r="Z335" s="38">
        <f t="shared" si="103"/>
        <v>46081</v>
      </c>
      <c r="AA335" s="41">
        <f t="shared" si="109"/>
        <v>264</v>
      </c>
      <c r="AB335" s="24" t="s">
        <v>125</v>
      </c>
      <c r="AC335" s="41">
        <f t="shared" si="110"/>
        <v>3874.2114000000001</v>
      </c>
      <c r="AD335" s="41">
        <v>1</v>
      </c>
      <c r="AE335" s="72">
        <f>IFERROR(INDEX(SA!$C$4:$E$11,MATCH(Details!S335,SA!$C$4:$C$11,0),MATCH(Details!V335,SA!$C$4:$E$4,0)),0)*Y335/(F335-E335+1)</f>
        <v>3283.23</v>
      </c>
      <c r="AF335" s="41">
        <f t="shared" si="111"/>
        <v>0</v>
      </c>
      <c r="AG335" s="41">
        <f t="shared" si="112"/>
        <v>0</v>
      </c>
      <c r="AH335" s="41">
        <f t="shared" si="113"/>
        <v>590.98140000000001</v>
      </c>
      <c r="AI335" s="60">
        <f t="shared" si="114"/>
        <v>131.32920000000001</v>
      </c>
      <c r="AJ335" s="60">
        <f t="shared" si="115"/>
        <v>738.72675000000004</v>
      </c>
      <c r="AK335" s="60">
        <f t="shared" si="116"/>
        <v>2374.7197808219175</v>
      </c>
      <c r="AL335" s="60">
        <f t="shared" si="117"/>
        <v>1745.4190389041094</v>
      </c>
      <c r="AM335" s="41">
        <f t="shared" si="118"/>
        <v>667.7550110958905</v>
      </c>
      <c r="AN335" s="42">
        <f t="shared" si="119"/>
        <v>45715</v>
      </c>
      <c r="AO335" s="43">
        <f t="shared" si="120"/>
        <v>3283.23</v>
      </c>
    </row>
    <row r="336" spans="1:41" s="24" customFormat="1" ht="15.75" customHeight="1" x14ac:dyDescent="0.35">
      <c r="A336" s="36" t="s">
        <v>27</v>
      </c>
      <c r="B336" s="36">
        <v>202506</v>
      </c>
      <c r="C336" s="24" t="s">
        <v>128</v>
      </c>
      <c r="D336" s="24" t="s">
        <v>129</v>
      </c>
      <c r="E336" s="62">
        <v>45818</v>
      </c>
      <c r="F336" s="62">
        <v>46182</v>
      </c>
      <c r="G336" s="37" t="s">
        <v>463</v>
      </c>
      <c r="H336" s="36">
        <v>2129</v>
      </c>
      <c r="I336" s="63">
        <v>30824</v>
      </c>
      <c r="J336" s="24" t="s">
        <v>1112</v>
      </c>
      <c r="K336" s="63">
        <f t="shared" si="104"/>
        <v>45818</v>
      </c>
      <c r="L336" s="55">
        <f t="shared" si="105"/>
        <v>0.04</v>
      </c>
      <c r="M336" s="76">
        <v>0.22500000000000001</v>
      </c>
      <c r="N336" s="62">
        <v>45818</v>
      </c>
      <c r="O336" s="62">
        <v>46182</v>
      </c>
      <c r="P336" s="63"/>
      <c r="Q336" s="63"/>
      <c r="R336" s="82">
        <v>41</v>
      </c>
      <c r="S336" s="63" t="str">
        <f>VLOOKUP(R336,SA!$B$5:$C$11,2,1)</f>
        <v>36-45</v>
      </c>
      <c r="T336" s="38" t="s">
        <v>97</v>
      </c>
      <c r="U336" s="24" t="s">
        <v>115</v>
      </c>
      <c r="V336" s="24">
        <v>300000</v>
      </c>
      <c r="W336" s="39">
        <f t="shared" si="106"/>
        <v>0</v>
      </c>
      <c r="X336" s="29">
        <f t="shared" si="107"/>
        <v>0</v>
      </c>
      <c r="Y336" s="40">
        <f t="shared" si="108"/>
        <v>365</v>
      </c>
      <c r="Z336" s="38">
        <f t="shared" si="103"/>
        <v>46081</v>
      </c>
      <c r="AA336" s="41">
        <f t="shared" si="109"/>
        <v>264</v>
      </c>
      <c r="AB336" s="24" t="s">
        <v>125</v>
      </c>
      <c r="AC336" s="41">
        <f t="shared" si="110"/>
        <v>5017.3245999999999</v>
      </c>
      <c r="AD336" s="41">
        <v>1</v>
      </c>
      <c r="AE336" s="72">
        <f>IFERROR(INDEX(SA!$C$4:$E$11,MATCH(Details!S336,SA!$C$4:$C$11,0),MATCH(Details!V336,SA!$C$4:$E$4,0)),0)*Y336/(F336-E336+1)</f>
        <v>4251.97</v>
      </c>
      <c r="AF336" s="41">
        <f t="shared" si="111"/>
        <v>0</v>
      </c>
      <c r="AG336" s="41">
        <f t="shared" si="112"/>
        <v>0</v>
      </c>
      <c r="AH336" s="41">
        <f t="shared" si="113"/>
        <v>765.3546</v>
      </c>
      <c r="AI336" s="60">
        <f t="shared" si="114"/>
        <v>170.0788</v>
      </c>
      <c r="AJ336" s="60">
        <f t="shared" si="115"/>
        <v>956.69325000000003</v>
      </c>
      <c r="AK336" s="60">
        <f t="shared" si="116"/>
        <v>3075.397479452055</v>
      </c>
      <c r="AL336" s="60">
        <f t="shared" si="117"/>
        <v>2260.4171473972606</v>
      </c>
      <c r="AM336" s="41">
        <f t="shared" si="118"/>
        <v>864.78080260273941</v>
      </c>
      <c r="AN336" s="42">
        <f t="shared" si="119"/>
        <v>45715</v>
      </c>
      <c r="AO336" s="43">
        <f t="shared" si="120"/>
        <v>4251.97</v>
      </c>
    </row>
    <row r="337" spans="1:41" s="24" customFormat="1" ht="15.75" customHeight="1" x14ac:dyDescent="0.35">
      <c r="A337" s="36" t="s">
        <v>27</v>
      </c>
      <c r="B337" s="36">
        <v>202506</v>
      </c>
      <c r="C337" s="24" t="s">
        <v>128</v>
      </c>
      <c r="D337" s="24" t="s">
        <v>129</v>
      </c>
      <c r="E337" s="62">
        <v>45818</v>
      </c>
      <c r="F337" s="62">
        <v>46182</v>
      </c>
      <c r="G337" s="37" t="s">
        <v>464</v>
      </c>
      <c r="H337" s="36">
        <v>2129</v>
      </c>
      <c r="I337" s="63">
        <v>37806</v>
      </c>
      <c r="J337" s="24" t="s">
        <v>1113</v>
      </c>
      <c r="K337" s="63">
        <f t="shared" si="104"/>
        <v>45818</v>
      </c>
      <c r="L337" s="55">
        <f t="shared" si="105"/>
        <v>0.04</v>
      </c>
      <c r="M337" s="76">
        <v>0.22500000000000001</v>
      </c>
      <c r="N337" s="62">
        <v>45818</v>
      </c>
      <c r="O337" s="62">
        <v>46182</v>
      </c>
      <c r="P337" s="63"/>
      <c r="Q337" s="63"/>
      <c r="R337" s="82">
        <v>21</v>
      </c>
      <c r="S337" s="63" t="str">
        <f>VLOOKUP(R337,SA!$B$5:$C$11,2,1)</f>
        <v>0-35</v>
      </c>
      <c r="T337" s="38" t="s">
        <v>96</v>
      </c>
      <c r="U337" s="24" t="s">
        <v>114</v>
      </c>
      <c r="V337" s="24">
        <v>300000</v>
      </c>
      <c r="W337" s="39">
        <f t="shared" si="106"/>
        <v>0</v>
      </c>
      <c r="X337" s="29">
        <f t="shared" si="107"/>
        <v>0</v>
      </c>
      <c r="Y337" s="40">
        <f t="shared" si="108"/>
        <v>365</v>
      </c>
      <c r="Z337" s="38">
        <f t="shared" si="103"/>
        <v>46081</v>
      </c>
      <c r="AA337" s="41">
        <f t="shared" si="109"/>
        <v>264</v>
      </c>
      <c r="AB337" s="24" t="s">
        <v>125</v>
      </c>
      <c r="AC337" s="41">
        <f t="shared" si="110"/>
        <v>3874.2114000000001</v>
      </c>
      <c r="AD337" s="41">
        <v>1</v>
      </c>
      <c r="AE337" s="72">
        <f>IFERROR(INDEX(SA!$C$4:$E$11,MATCH(Details!S337,SA!$C$4:$C$11,0),MATCH(Details!V337,SA!$C$4:$E$4,0)),0)*Y337/(F337-E337+1)</f>
        <v>3283.23</v>
      </c>
      <c r="AF337" s="41">
        <f t="shared" si="111"/>
        <v>0</v>
      </c>
      <c r="AG337" s="41">
        <f t="shared" si="112"/>
        <v>0</v>
      </c>
      <c r="AH337" s="41">
        <f t="shared" si="113"/>
        <v>590.98140000000001</v>
      </c>
      <c r="AI337" s="60">
        <f t="shared" si="114"/>
        <v>131.32920000000001</v>
      </c>
      <c r="AJ337" s="60">
        <f t="shared" si="115"/>
        <v>738.72675000000004</v>
      </c>
      <c r="AK337" s="60">
        <f t="shared" si="116"/>
        <v>2374.7197808219175</v>
      </c>
      <c r="AL337" s="60">
        <f t="shared" si="117"/>
        <v>1745.4190389041094</v>
      </c>
      <c r="AM337" s="41">
        <f t="shared" si="118"/>
        <v>667.7550110958905</v>
      </c>
      <c r="AN337" s="42">
        <f t="shared" si="119"/>
        <v>45715</v>
      </c>
      <c r="AO337" s="43">
        <f t="shared" si="120"/>
        <v>3283.23</v>
      </c>
    </row>
    <row r="338" spans="1:41" s="24" customFormat="1" ht="15.75" customHeight="1" x14ac:dyDescent="0.35">
      <c r="A338" s="36" t="s">
        <v>27</v>
      </c>
      <c r="B338" s="36">
        <v>202506</v>
      </c>
      <c r="C338" s="24" t="s">
        <v>128</v>
      </c>
      <c r="D338" s="24" t="s">
        <v>129</v>
      </c>
      <c r="E338" s="62">
        <v>45818</v>
      </c>
      <c r="F338" s="62">
        <v>46182</v>
      </c>
      <c r="G338" s="37" t="s">
        <v>465</v>
      </c>
      <c r="H338" s="36">
        <v>2130</v>
      </c>
      <c r="I338" s="63">
        <v>27468</v>
      </c>
      <c r="J338" s="24" t="s">
        <v>1114</v>
      </c>
      <c r="K338" s="63">
        <f t="shared" si="104"/>
        <v>45818</v>
      </c>
      <c r="L338" s="55">
        <f t="shared" si="105"/>
        <v>0.04</v>
      </c>
      <c r="M338" s="76">
        <v>0.22500000000000001</v>
      </c>
      <c r="N338" s="62">
        <v>45818</v>
      </c>
      <c r="O338" s="62">
        <v>46182</v>
      </c>
      <c r="P338" s="63"/>
      <c r="Q338" s="63"/>
      <c r="R338" s="82">
        <v>50</v>
      </c>
      <c r="S338" s="63" t="str">
        <f>VLOOKUP(R338,SA!$B$5:$C$11,2,1)</f>
        <v>46-55</v>
      </c>
      <c r="T338" s="38" t="s">
        <v>96</v>
      </c>
      <c r="U338" s="24" t="s">
        <v>56</v>
      </c>
      <c r="V338" s="24">
        <v>300000</v>
      </c>
      <c r="W338" s="39">
        <f t="shared" si="106"/>
        <v>300000</v>
      </c>
      <c r="X338" s="29">
        <f t="shared" si="107"/>
        <v>1</v>
      </c>
      <c r="Y338" s="40">
        <f t="shared" si="108"/>
        <v>365</v>
      </c>
      <c r="Z338" s="38">
        <f t="shared" si="103"/>
        <v>46081</v>
      </c>
      <c r="AA338" s="41">
        <f t="shared" si="109"/>
        <v>264</v>
      </c>
      <c r="AB338" s="24" t="s">
        <v>125</v>
      </c>
      <c r="AC338" s="41">
        <f t="shared" si="110"/>
        <v>9586.9925999999996</v>
      </c>
      <c r="AD338" s="41">
        <v>1</v>
      </c>
      <c r="AE338" s="72">
        <f>IFERROR(INDEX(SA!$C$4:$E$11,MATCH(Details!S338,SA!$C$4:$C$11,0),MATCH(Details!V338,SA!$C$4:$E$4,0)),0)*Y338/(F338-E338+1)</f>
        <v>8124.57</v>
      </c>
      <c r="AF338" s="41">
        <f t="shared" si="111"/>
        <v>0</v>
      </c>
      <c r="AG338" s="41">
        <f t="shared" si="112"/>
        <v>0</v>
      </c>
      <c r="AH338" s="41">
        <f t="shared" si="113"/>
        <v>1462.4225999999999</v>
      </c>
      <c r="AI338" s="60">
        <f t="shared" si="114"/>
        <v>324.9828</v>
      </c>
      <c r="AJ338" s="60">
        <f t="shared" si="115"/>
        <v>1828.0282500000001</v>
      </c>
      <c r="AK338" s="60">
        <f t="shared" si="116"/>
        <v>5876.4013150684932</v>
      </c>
      <c r="AL338" s="60">
        <f t="shared" si="117"/>
        <v>4319.1549665753428</v>
      </c>
      <c r="AM338" s="41">
        <f t="shared" si="118"/>
        <v>1652.4039834246571</v>
      </c>
      <c r="AN338" s="42">
        <f t="shared" si="119"/>
        <v>45715</v>
      </c>
      <c r="AO338" s="43">
        <f t="shared" si="120"/>
        <v>8124.57</v>
      </c>
    </row>
    <row r="339" spans="1:41" s="24" customFormat="1" ht="15.75" customHeight="1" x14ac:dyDescent="0.35">
      <c r="A339" s="36" t="s">
        <v>27</v>
      </c>
      <c r="B339" s="36">
        <v>202506</v>
      </c>
      <c r="C339" s="24" t="s">
        <v>128</v>
      </c>
      <c r="D339" s="24" t="s">
        <v>129</v>
      </c>
      <c r="E339" s="62">
        <v>45818</v>
      </c>
      <c r="F339" s="62">
        <v>46182</v>
      </c>
      <c r="G339" s="37" t="s">
        <v>466</v>
      </c>
      <c r="H339" s="36">
        <v>2130</v>
      </c>
      <c r="I339" s="63">
        <v>27583</v>
      </c>
      <c r="J339" s="24" t="s">
        <v>1115</v>
      </c>
      <c r="K339" s="63">
        <f t="shared" si="104"/>
        <v>45818</v>
      </c>
      <c r="L339" s="55">
        <f t="shared" si="105"/>
        <v>0.04</v>
      </c>
      <c r="M339" s="76">
        <v>0.22500000000000001</v>
      </c>
      <c r="N339" s="62">
        <v>45818</v>
      </c>
      <c r="O339" s="62">
        <v>46182</v>
      </c>
      <c r="P339" s="63"/>
      <c r="Q339" s="63"/>
      <c r="R339" s="82">
        <v>49</v>
      </c>
      <c r="S339" s="63" t="str">
        <f>VLOOKUP(R339,SA!$B$5:$C$11,2,1)</f>
        <v>46-55</v>
      </c>
      <c r="T339" s="38" t="s">
        <v>97</v>
      </c>
      <c r="U339" s="24" t="s">
        <v>115</v>
      </c>
      <c r="V339" s="24">
        <v>300000</v>
      </c>
      <c r="W339" s="39">
        <f t="shared" si="106"/>
        <v>0</v>
      </c>
      <c r="X339" s="29">
        <f t="shared" si="107"/>
        <v>0</v>
      </c>
      <c r="Y339" s="40">
        <f t="shared" si="108"/>
        <v>365</v>
      </c>
      <c r="Z339" s="38">
        <f t="shared" si="103"/>
        <v>46081</v>
      </c>
      <c r="AA339" s="41">
        <f t="shared" si="109"/>
        <v>264</v>
      </c>
      <c r="AB339" s="24" t="s">
        <v>125</v>
      </c>
      <c r="AC339" s="41">
        <f t="shared" si="110"/>
        <v>9586.9925999999996</v>
      </c>
      <c r="AD339" s="41">
        <v>1</v>
      </c>
      <c r="AE339" s="72">
        <f>IFERROR(INDEX(SA!$C$4:$E$11,MATCH(Details!S339,SA!$C$4:$C$11,0),MATCH(Details!V339,SA!$C$4:$E$4,0)),0)*Y339/(F339-E339+1)</f>
        <v>8124.57</v>
      </c>
      <c r="AF339" s="41">
        <f t="shared" si="111"/>
        <v>0</v>
      </c>
      <c r="AG339" s="41">
        <f t="shared" si="112"/>
        <v>0</v>
      </c>
      <c r="AH339" s="41">
        <f t="shared" si="113"/>
        <v>1462.4225999999999</v>
      </c>
      <c r="AI339" s="60">
        <f t="shared" si="114"/>
        <v>324.9828</v>
      </c>
      <c r="AJ339" s="60">
        <f t="shared" si="115"/>
        <v>1828.0282500000001</v>
      </c>
      <c r="AK339" s="60">
        <f t="shared" si="116"/>
        <v>5876.4013150684932</v>
      </c>
      <c r="AL339" s="60">
        <f t="shared" si="117"/>
        <v>4319.1549665753428</v>
      </c>
      <c r="AM339" s="41">
        <f t="shared" si="118"/>
        <v>1652.4039834246571</v>
      </c>
      <c r="AN339" s="42">
        <f t="shared" si="119"/>
        <v>45715</v>
      </c>
      <c r="AO339" s="43">
        <f t="shared" si="120"/>
        <v>8124.57</v>
      </c>
    </row>
    <row r="340" spans="1:41" s="24" customFormat="1" ht="15.75" customHeight="1" x14ac:dyDescent="0.35">
      <c r="A340" s="36" t="s">
        <v>27</v>
      </c>
      <c r="B340" s="36">
        <v>202506</v>
      </c>
      <c r="C340" s="24" t="s">
        <v>128</v>
      </c>
      <c r="D340" s="24" t="s">
        <v>129</v>
      </c>
      <c r="E340" s="62">
        <v>45818</v>
      </c>
      <c r="F340" s="62">
        <v>46182</v>
      </c>
      <c r="G340" s="37" t="s">
        <v>467</v>
      </c>
      <c r="H340" s="36">
        <v>2130</v>
      </c>
      <c r="I340" s="63">
        <v>38026</v>
      </c>
      <c r="J340" s="24" t="s">
        <v>1116</v>
      </c>
      <c r="K340" s="63">
        <f t="shared" si="104"/>
        <v>45818</v>
      </c>
      <c r="L340" s="55">
        <f t="shared" si="105"/>
        <v>0.04</v>
      </c>
      <c r="M340" s="76">
        <v>0.22500000000000001</v>
      </c>
      <c r="N340" s="62">
        <v>45818</v>
      </c>
      <c r="O340" s="62">
        <v>46182</v>
      </c>
      <c r="P340" s="63"/>
      <c r="Q340" s="63"/>
      <c r="R340" s="82">
        <v>21</v>
      </c>
      <c r="S340" s="63" t="str">
        <f>VLOOKUP(R340,SA!$B$5:$C$11,2,1)</f>
        <v>0-35</v>
      </c>
      <c r="T340" s="38" t="s">
        <v>97</v>
      </c>
      <c r="U340" s="24" t="s">
        <v>113</v>
      </c>
      <c r="V340" s="24">
        <v>300000</v>
      </c>
      <c r="W340" s="39">
        <f t="shared" si="106"/>
        <v>0</v>
      </c>
      <c r="X340" s="29">
        <f t="shared" si="107"/>
        <v>0</v>
      </c>
      <c r="Y340" s="40">
        <f t="shared" si="108"/>
        <v>365</v>
      </c>
      <c r="Z340" s="38">
        <f t="shared" si="103"/>
        <v>46081</v>
      </c>
      <c r="AA340" s="41">
        <f t="shared" si="109"/>
        <v>264</v>
      </c>
      <c r="AB340" s="24" t="s">
        <v>125</v>
      </c>
      <c r="AC340" s="41">
        <f t="shared" si="110"/>
        <v>3874.2114000000001</v>
      </c>
      <c r="AD340" s="41">
        <v>1</v>
      </c>
      <c r="AE340" s="72">
        <f>IFERROR(INDEX(SA!$C$4:$E$11,MATCH(Details!S340,SA!$C$4:$C$11,0),MATCH(Details!V340,SA!$C$4:$E$4,0)),0)*Y340/(F340-E340+1)</f>
        <v>3283.23</v>
      </c>
      <c r="AF340" s="41">
        <f t="shared" si="111"/>
        <v>0</v>
      </c>
      <c r="AG340" s="41">
        <f t="shared" si="112"/>
        <v>0</v>
      </c>
      <c r="AH340" s="41">
        <f t="shared" si="113"/>
        <v>590.98140000000001</v>
      </c>
      <c r="AI340" s="60">
        <f t="shared" si="114"/>
        <v>131.32920000000001</v>
      </c>
      <c r="AJ340" s="60">
        <f t="shared" si="115"/>
        <v>738.72675000000004</v>
      </c>
      <c r="AK340" s="60">
        <f t="shared" si="116"/>
        <v>2374.7197808219175</v>
      </c>
      <c r="AL340" s="60">
        <f t="shared" si="117"/>
        <v>1745.4190389041094</v>
      </c>
      <c r="AM340" s="41">
        <f t="shared" si="118"/>
        <v>667.7550110958905</v>
      </c>
      <c r="AN340" s="42">
        <f t="shared" si="119"/>
        <v>45715</v>
      </c>
      <c r="AO340" s="43">
        <f t="shared" si="120"/>
        <v>3283.23</v>
      </c>
    </row>
    <row r="341" spans="1:41" s="24" customFormat="1" ht="15.75" customHeight="1" x14ac:dyDescent="0.35">
      <c r="A341" s="36" t="s">
        <v>27</v>
      </c>
      <c r="B341" s="36">
        <v>202506</v>
      </c>
      <c r="C341" s="24" t="s">
        <v>128</v>
      </c>
      <c r="D341" s="24" t="s">
        <v>129</v>
      </c>
      <c r="E341" s="62">
        <v>45818</v>
      </c>
      <c r="F341" s="62">
        <v>46182</v>
      </c>
      <c r="G341" s="37" t="s">
        <v>468</v>
      </c>
      <c r="H341" s="36">
        <v>2130</v>
      </c>
      <c r="I341" s="63">
        <v>37240</v>
      </c>
      <c r="J341" s="24" t="s">
        <v>1117</v>
      </c>
      <c r="K341" s="63">
        <f t="shared" si="104"/>
        <v>45818</v>
      </c>
      <c r="L341" s="55">
        <f t="shared" si="105"/>
        <v>0.04</v>
      </c>
      <c r="M341" s="76">
        <v>0.22500000000000001</v>
      </c>
      <c r="N341" s="62">
        <v>45818</v>
      </c>
      <c r="O341" s="62">
        <v>46182</v>
      </c>
      <c r="P341" s="63"/>
      <c r="Q341" s="63"/>
      <c r="R341" s="82">
        <v>23</v>
      </c>
      <c r="S341" s="63" t="str">
        <f>VLOOKUP(R341,SA!$B$5:$C$11,2,1)</f>
        <v>0-35</v>
      </c>
      <c r="T341" s="38" t="s">
        <v>96</v>
      </c>
      <c r="U341" s="24" t="s">
        <v>114</v>
      </c>
      <c r="V341" s="24">
        <v>300000</v>
      </c>
      <c r="W341" s="39">
        <f t="shared" si="106"/>
        <v>0</v>
      </c>
      <c r="X341" s="29">
        <f t="shared" si="107"/>
        <v>0</v>
      </c>
      <c r="Y341" s="40">
        <f t="shared" si="108"/>
        <v>365</v>
      </c>
      <c r="Z341" s="38">
        <f t="shared" si="103"/>
        <v>46081</v>
      </c>
      <c r="AA341" s="41">
        <f t="shared" si="109"/>
        <v>264</v>
      </c>
      <c r="AB341" s="24" t="s">
        <v>125</v>
      </c>
      <c r="AC341" s="41">
        <f t="shared" si="110"/>
        <v>3874.2114000000001</v>
      </c>
      <c r="AD341" s="41">
        <v>1</v>
      </c>
      <c r="AE341" s="72">
        <f>IFERROR(INDEX(SA!$C$4:$E$11,MATCH(Details!S341,SA!$C$4:$C$11,0),MATCH(Details!V341,SA!$C$4:$E$4,0)),0)*Y341/(F341-E341+1)</f>
        <v>3283.23</v>
      </c>
      <c r="AF341" s="41">
        <f t="shared" si="111"/>
        <v>0</v>
      </c>
      <c r="AG341" s="41">
        <f t="shared" si="112"/>
        <v>0</v>
      </c>
      <c r="AH341" s="41">
        <f t="shared" si="113"/>
        <v>590.98140000000001</v>
      </c>
      <c r="AI341" s="60">
        <f t="shared" si="114"/>
        <v>131.32920000000001</v>
      </c>
      <c r="AJ341" s="60">
        <f t="shared" si="115"/>
        <v>738.72675000000004</v>
      </c>
      <c r="AK341" s="60">
        <f t="shared" si="116"/>
        <v>2374.7197808219175</v>
      </c>
      <c r="AL341" s="60">
        <f t="shared" si="117"/>
        <v>1745.4190389041094</v>
      </c>
      <c r="AM341" s="41">
        <f t="shared" si="118"/>
        <v>667.7550110958905</v>
      </c>
      <c r="AN341" s="42">
        <f t="shared" si="119"/>
        <v>45715</v>
      </c>
      <c r="AO341" s="43">
        <f t="shared" si="120"/>
        <v>3283.23</v>
      </c>
    </row>
    <row r="342" spans="1:41" s="24" customFormat="1" ht="15.75" customHeight="1" x14ac:dyDescent="0.35">
      <c r="A342" s="36" t="s">
        <v>27</v>
      </c>
      <c r="B342" s="36">
        <v>202506</v>
      </c>
      <c r="C342" s="24" t="s">
        <v>128</v>
      </c>
      <c r="D342" s="24" t="s">
        <v>129</v>
      </c>
      <c r="E342" s="62">
        <v>45818</v>
      </c>
      <c r="F342" s="62">
        <v>46182</v>
      </c>
      <c r="G342" s="37" t="s">
        <v>469</v>
      </c>
      <c r="H342" s="36">
        <v>2131</v>
      </c>
      <c r="I342" s="63">
        <v>32623</v>
      </c>
      <c r="J342" s="24" t="s">
        <v>1118</v>
      </c>
      <c r="K342" s="63">
        <f t="shared" si="104"/>
        <v>45818</v>
      </c>
      <c r="L342" s="55">
        <f t="shared" si="105"/>
        <v>0.04</v>
      </c>
      <c r="M342" s="76">
        <v>0.22500000000000001</v>
      </c>
      <c r="N342" s="62">
        <v>45818</v>
      </c>
      <c r="O342" s="62">
        <v>46182</v>
      </c>
      <c r="P342" s="63"/>
      <c r="Q342" s="63"/>
      <c r="R342" s="82">
        <v>36</v>
      </c>
      <c r="S342" s="63" t="str">
        <f>VLOOKUP(R342,SA!$B$5:$C$11,2,1)</f>
        <v>36-45</v>
      </c>
      <c r="T342" s="38" t="s">
        <v>96</v>
      </c>
      <c r="U342" s="24" t="s">
        <v>56</v>
      </c>
      <c r="V342" s="24">
        <v>300000</v>
      </c>
      <c r="W342" s="39">
        <f t="shared" si="106"/>
        <v>300000</v>
      </c>
      <c r="X342" s="29">
        <f t="shared" si="107"/>
        <v>1</v>
      </c>
      <c r="Y342" s="40">
        <f t="shared" si="108"/>
        <v>365</v>
      </c>
      <c r="Z342" s="38">
        <f t="shared" si="103"/>
        <v>46081</v>
      </c>
      <c r="AA342" s="41">
        <f t="shared" si="109"/>
        <v>264</v>
      </c>
      <c r="AB342" s="24" t="s">
        <v>125</v>
      </c>
      <c r="AC342" s="41">
        <f t="shared" si="110"/>
        <v>5017.3245999999999</v>
      </c>
      <c r="AD342" s="41">
        <v>1</v>
      </c>
      <c r="AE342" s="72">
        <f>IFERROR(INDEX(SA!$C$4:$E$11,MATCH(Details!S342,SA!$C$4:$C$11,0),MATCH(Details!V342,SA!$C$4:$E$4,0)),0)*Y342/(F342-E342+1)</f>
        <v>4251.97</v>
      </c>
      <c r="AF342" s="41">
        <f t="shared" si="111"/>
        <v>0</v>
      </c>
      <c r="AG342" s="41">
        <f t="shared" si="112"/>
        <v>0</v>
      </c>
      <c r="AH342" s="41">
        <f t="shared" si="113"/>
        <v>765.3546</v>
      </c>
      <c r="AI342" s="60">
        <f t="shared" si="114"/>
        <v>170.0788</v>
      </c>
      <c r="AJ342" s="60">
        <f t="shared" si="115"/>
        <v>956.69325000000003</v>
      </c>
      <c r="AK342" s="60">
        <f t="shared" si="116"/>
        <v>3075.397479452055</v>
      </c>
      <c r="AL342" s="60">
        <f t="shared" si="117"/>
        <v>2260.4171473972606</v>
      </c>
      <c r="AM342" s="41">
        <f t="shared" si="118"/>
        <v>864.78080260273941</v>
      </c>
      <c r="AN342" s="42">
        <f t="shared" si="119"/>
        <v>45715</v>
      </c>
      <c r="AO342" s="43">
        <f t="shared" si="120"/>
        <v>4251.97</v>
      </c>
    </row>
    <row r="343" spans="1:41" s="24" customFormat="1" ht="15.75" customHeight="1" x14ac:dyDescent="0.35">
      <c r="A343" s="36" t="s">
        <v>27</v>
      </c>
      <c r="B343" s="36">
        <v>202506</v>
      </c>
      <c r="C343" s="24" t="s">
        <v>128</v>
      </c>
      <c r="D343" s="24" t="s">
        <v>129</v>
      </c>
      <c r="E343" s="62">
        <v>45818</v>
      </c>
      <c r="F343" s="62">
        <v>46182</v>
      </c>
      <c r="G343" s="37" t="s">
        <v>470</v>
      </c>
      <c r="H343" s="36">
        <v>2131</v>
      </c>
      <c r="I343" s="63">
        <v>34089</v>
      </c>
      <c r="J343" s="24" t="s">
        <v>1119</v>
      </c>
      <c r="K343" s="63">
        <f t="shared" si="104"/>
        <v>45818</v>
      </c>
      <c r="L343" s="55">
        <f t="shared" si="105"/>
        <v>0.04</v>
      </c>
      <c r="M343" s="76">
        <v>0.22500000000000001</v>
      </c>
      <c r="N343" s="62">
        <v>45818</v>
      </c>
      <c r="O343" s="62">
        <v>46182</v>
      </c>
      <c r="P343" s="63"/>
      <c r="Q343" s="63"/>
      <c r="R343" s="82">
        <v>32</v>
      </c>
      <c r="S343" s="63" t="str">
        <f>VLOOKUP(R343,SA!$B$5:$C$11,2,1)</f>
        <v>0-35</v>
      </c>
      <c r="T343" s="38" t="s">
        <v>97</v>
      </c>
      <c r="U343" s="24" t="s">
        <v>115</v>
      </c>
      <c r="V343" s="24">
        <v>300000</v>
      </c>
      <c r="W343" s="39">
        <f t="shared" si="106"/>
        <v>0</v>
      </c>
      <c r="X343" s="29">
        <f t="shared" si="107"/>
        <v>0</v>
      </c>
      <c r="Y343" s="40">
        <f t="shared" si="108"/>
        <v>365</v>
      </c>
      <c r="Z343" s="38">
        <f t="shared" si="103"/>
        <v>46081</v>
      </c>
      <c r="AA343" s="41">
        <f t="shared" si="109"/>
        <v>264</v>
      </c>
      <c r="AB343" s="24" t="s">
        <v>125</v>
      </c>
      <c r="AC343" s="41">
        <f t="shared" si="110"/>
        <v>3874.2114000000001</v>
      </c>
      <c r="AD343" s="41">
        <v>1</v>
      </c>
      <c r="AE343" s="72">
        <f>IFERROR(INDEX(SA!$C$4:$E$11,MATCH(Details!S343,SA!$C$4:$C$11,0),MATCH(Details!V343,SA!$C$4:$E$4,0)),0)*Y343/(F343-E343+1)</f>
        <v>3283.23</v>
      </c>
      <c r="AF343" s="41">
        <f t="shared" si="111"/>
        <v>0</v>
      </c>
      <c r="AG343" s="41">
        <f t="shared" si="112"/>
        <v>0</v>
      </c>
      <c r="AH343" s="41">
        <f t="shared" si="113"/>
        <v>590.98140000000001</v>
      </c>
      <c r="AI343" s="60">
        <f t="shared" si="114"/>
        <v>131.32920000000001</v>
      </c>
      <c r="AJ343" s="60">
        <f t="shared" si="115"/>
        <v>738.72675000000004</v>
      </c>
      <c r="AK343" s="60">
        <f t="shared" si="116"/>
        <v>2374.7197808219175</v>
      </c>
      <c r="AL343" s="60">
        <f t="shared" si="117"/>
        <v>1745.4190389041094</v>
      </c>
      <c r="AM343" s="41">
        <f t="shared" si="118"/>
        <v>667.7550110958905</v>
      </c>
      <c r="AN343" s="42">
        <f t="shared" si="119"/>
        <v>45715</v>
      </c>
      <c r="AO343" s="43">
        <f t="shared" si="120"/>
        <v>3283.23</v>
      </c>
    </row>
    <row r="344" spans="1:41" s="24" customFormat="1" ht="15.75" customHeight="1" x14ac:dyDescent="0.35">
      <c r="A344" s="36" t="s">
        <v>27</v>
      </c>
      <c r="B344" s="36">
        <v>202506</v>
      </c>
      <c r="C344" s="24" t="s">
        <v>128</v>
      </c>
      <c r="D344" s="24" t="s">
        <v>129</v>
      </c>
      <c r="E344" s="62">
        <v>45818</v>
      </c>
      <c r="F344" s="62">
        <v>46182</v>
      </c>
      <c r="G344" s="37" t="s">
        <v>471</v>
      </c>
      <c r="H344" s="36">
        <v>2131</v>
      </c>
      <c r="I344" s="63">
        <v>43400</v>
      </c>
      <c r="J344" s="24" t="s">
        <v>1120</v>
      </c>
      <c r="K344" s="63">
        <f t="shared" si="104"/>
        <v>45818</v>
      </c>
      <c r="L344" s="55">
        <f t="shared" si="105"/>
        <v>0.04</v>
      </c>
      <c r="M344" s="76">
        <v>0.22500000000000001</v>
      </c>
      <c r="N344" s="62">
        <v>45818</v>
      </c>
      <c r="O344" s="62">
        <v>46182</v>
      </c>
      <c r="P344" s="63"/>
      <c r="Q344" s="63"/>
      <c r="R344" s="82">
        <v>6</v>
      </c>
      <c r="S344" s="63" t="str">
        <f>VLOOKUP(R344,SA!$B$5:$C$11,2,1)</f>
        <v>0-35</v>
      </c>
      <c r="T344" s="38" t="s">
        <v>96</v>
      </c>
      <c r="U344" s="24" t="s">
        <v>114</v>
      </c>
      <c r="V344" s="24">
        <v>300000</v>
      </c>
      <c r="W344" s="39">
        <f t="shared" si="106"/>
        <v>0</v>
      </c>
      <c r="X344" s="29">
        <f t="shared" si="107"/>
        <v>0</v>
      </c>
      <c r="Y344" s="40">
        <f t="shared" si="108"/>
        <v>365</v>
      </c>
      <c r="Z344" s="38">
        <f t="shared" si="103"/>
        <v>46081</v>
      </c>
      <c r="AA344" s="41">
        <f t="shared" si="109"/>
        <v>264</v>
      </c>
      <c r="AB344" s="24" t="s">
        <v>125</v>
      </c>
      <c r="AC344" s="41">
        <f t="shared" si="110"/>
        <v>3874.2114000000001</v>
      </c>
      <c r="AD344" s="41">
        <v>1</v>
      </c>
      <c r="AE344" s="72">
        <f>IFERROR(INDEX(SA!$C$4:$E$11,MATCH(Details!S344,SA!$C$4:$C$11,0),MATCH(Details!V344,SA!$C$4:$E$4,0)),0)*Y344/(F344-E344+1)</f>
        <v>3283.23</v>
      </c>
      <c r="AF344" s="41">
        <f t="shared" si="111"/>
        <v>0</v>
      </c>
      <c r="AG344" s="41">
        <f t="shared" si="112"/>
        <v>0</v>
      </c>
      <c r="AH344" s="41">
        <f t="shared" si="113"/>
        <v>590.98140000000001</v>
      </c>
      <c r="AI344" s="60">
        <f t="shared" si="114"/>
        <v>131.32920000000001</v>
      </c>
      <c r="AJ344" s="60">
        <f t="shared" si="115"/>
        <v>738.72675000000004</v>
      </c>
      <c r="AK344" s="60">
        <f t="shared" si="116"/>
        <v>2374.7197808219175</v>
      </c>
      <c r="AL344" s="60">
        <f t="shared" si="117"/>
        <v>1745.4190389041094</v>
      </c>
      <c r="AM344" s="41">
        <f t="shared" si="118"/>
        <v>667.7550110958905</v>
      </c>
      <c r="AN344" s="42">
        <f t="shared" si="119"/>
        <v>45715</v>
      </c>
      <c r="AO344" s="43">
        <f t="shared" si="120"/>
        <v>3283.23</v>
      </c>
    </row>
    <row r="345" spans="1:41" s="24" customFormat="1" ht="15.75" customHeight="1" x14ac:dyDescent="0.35">
      <c r="A345" s="36" t="s">
        <v>27</v>
      </c>
      <c r="B345" s="36">
        <v>202506</v>
      </c>
      <c r="C345" s="24" t="s">
        <v>128</v>
      </c>
      <c r="D345" s="24" t="s">
        <v>129</v>
      </c>
      <c r="E345" s="62">
        <v>45818</v>
      </c>
      <c r="F345" s="62">
        <v>46182</v>
      </c>
      <c r="G345" s="37" t="s">
        <v>472</v>
      </c>
      <c r="H345" s="36">
        <v>2131</v>
      </c>
      <c r="I345" s="63">
        <v>43868</v>
      </c>
      <c r="J345" s="24" t="s">
        <v>1121</v>
      </c>
      <c r="K345" s="63">
        <f t="shared" si="104"/>
        <v>45818</v>
      </c>
      <c r="L345" s="55">
        <f t="shared" si="105"/>
        <v>0.04</v>
      </c>
      <c r="M345" s="76">
        <v>0.22500000000000001</v>
      </c>
      <c r="N345" s="62">
        <v>45818</v>
      </c>
      <c r="O345" s="62">
        <v>46182</v>
      </c>
      <c r="P345" s="63"/>
      <c r="Q345" s="63"/>
      <c r="R345" s="82">
        <v>5</v>
      </c>
      <c r="S345" s="63" t="str">
        <f>VLOOKUP(R345,SA!$B$5:$C$11,2,1)</f>
        <v>0-35</v>
      </c>
      <c r="T345" s="38" t="s">
        <v>96</v>
      </c>
      <c r="U345" s="24" t="s">
        <v>114</v>
      </c>
      <c r="V345" s="24">
        <v>300000</v>
      </c>
      <c r="W345" s="39">
        <f t="shared" si="106"/>
        <v>0</v>
      </c>
      <c r="X345" s="29">
        <f t="shared" si="107"/>
        <v>0</v>
      </c>
      <c r="Y345" s="40">
        <f t="shared" si="108"/>
        <v>365</v>
      </c>
      <c r="Z345" s="38">
        <f t="shared" si="103"/>
        <v>46081</v>
      </c>
      <c r="AA345" s="41">
        <f t="shared" si="109"/>
        <v>264</v>
      </c>
      <c r="AB345" s="24" t="s">
        <v>125</v>
      </c>
      <c r="AC345" s="41">
        <f t="shared" si="110"/>
        <v>3874.2114000000001</v>
      </c>
      <c r="AD345" s="41">
        <v>1</v>
      </c>
      <c r="AE345" s="72">
        <f>IFERROR(INDEX(SA!$C$4:$E$11,MATCH(Details!S345,SA!$C$4:$C$11,0),MATCH(Details!V345,SA!$C$4:$E$4,0)),0)*Y345/(F345-E345+1)</f>
        <v>3283.23</v>
      </c>
      <c r="AF345" s="41">
        <f t="shared" si="111"/>
        <v>0</v>
      </c>
      <c r="AG345" s="41">
        <f t="shared" si="112"/>
        <v>0</v>
      </c>
      <c r="AH345" s="41">
        <f t="shared" si="113"/>
        <v>590.98140000000001</v>
      </c>
      <c r="AI345" s="60">
        <f t="shared" si="114"/>
        <v>131.32920000000001</v>
      </c>
      <c r="AJ345" s="60">
        <f t="shared" si="115"/>
        <v>738.72675000000004</v>
      </c>
      <c r="AK345" s="60">
        <f t="shared" si="116"/>
        <v>2374.7197808219175</v>
      </c>
      <c r="AL345" s="60">
        <f t="shared" si="117"/>
        <v>1745.4190389041094</v>
      </c>
      <c r="AM345" s="41">
        <f t="shared" si="118"/>
        <v>667.7550110958905</v>
      </c>
      <c r="AN345" s="42">
        <f t="shared" si="119"/>
        <v>45715</v>
      </c>
      <c r="AO345" s="43">
        <f t="shared" si="120"/>
        <v>3283.23</v>
      </c>
    </row>
    <row r="346" spans="1:41" s="24" customFormat="1" ht="15.75" customHeight="1" x14ac:dyDescent="0.35">
      <c r="A346" s="36" t="s">
        <v>27</v>
      </c>
      <c r="B346" s="36">
        <v>202506</v>
      </c>
      <c r="C346" s="24" t="s">
        <v>128</v>
      </c>
      <c r="D346" s="24" t="s">
        <v>129</v>
      </c>
      <c r="E346" s="62">
        <v>45818</v>
      </c>
      <c r="F346" s="62">
        <v>46182</v>
      </c>
      <c r="G346" s="37" t="s">
        <v>473</v>
      </c>
      <c r="H346" s="36">
        <v>2136</v>
      </c>
      <c r="I346" s="63">
        <v>29966</v>
      </c>
      <c r="J346" s="24" t="s">
        <v>1122</v>
      </c>
      <c r="K346" s="63">
        <f t="shared" si="104"/>
        <v>45818</v>
      </c>
      <c r="L346" s="55">
        <f t="shared" si="105"/>
        <v>0.04</v>
      </c>
      <c r="M346" s="76">
        <v>0.22500000000000001</v>
      </c>
      <c r="N346" s="62">
        <v>45818</v>
      </c>
      <c r="O346" s="62">
        <v>46182</v>
      </c>
      <c r="P346" s="63"/>
      <c r="Q346" s="63"/>
      <c r="R346" s="82">
        <v>43</v>
      </c>
      <c r="S346" s="63" t="str">
        <f>VLOOKUP(R346,SA!$B$5:$C$11,2,1)</f>
        <v>36-45</v>
      </c>
      <c r="T346" s="38" t="s">
        <v>96</v>
      </c>
      <c r="U346" s="24" t="s">
        <v>56</v>
      </c>
      <c r="V346" s="24">
        <v>300000</v>
      </c>
      <c r="W346" s="39">
        <f t="shared" si="106"/>
        <v>300000</v>
      </c>
      <c r="X346" s="29">
        <f t="shared" si="107"/>
        <v>1</v>
      </c>
      <c r="Y346" s="40">
        <f t="shared" si="108"/>
        <v>365</v>
      </c>
      <c r="Z346" s="38">
        <f t="shared" si="103"/>
        <v>46081</v>
      </c>
      <c r="AA346" s="41">
        <f t="shared" si="109"/>
        <v>264</v>
      </c>
      <c r="AB346" s="24" t="s">
        <v>125</v>
      </c>
      <c r="AC346" s="41">
        <f t="shared" si="110"/>
        <v>5017.3245999999999</v>
      </c>
      <c r="AD346" s="41">
        <v>1</v>
      </c>
      <c r="AE346" s="72">
        <f>IFERROR(INDEX(SA!$C$4:$E$11,MATCH(Details!S346,SA!$C$4:$C$11,0),MATCH(Details!V346,SA!$C$4:$E$4,0)),0)*Y346/(F346-E346+1)</f>
        <v>4251.97</v>
      </c>
      <c r="AF346" s="41">
        <f t="shared" si="111"/>
        <v>0</v>
      </c>
      <c r="AG346" s="41">
        <f t="shared" si="112"/>
        <v>0</v>
      </c>
      <c r="AH346" s="41">
        <f t="shared" si="113"/>
        <v>765.3546</v>
      </c>
      <c r="AI346" s="60">
        <f t="shared" si="114"/>
        <v>170.0788</v>
      </c>
      <c r="AJ346" s="60">
        <f t="shared" si="115"/>
        <v>956.69325000000003</v>
      </c>
      <c r="AK346" s="60">
        <f t="shared" si="116"/>
        <v>3075.397479452055</v>
      </c>
      <c r="AL346" s="60">
        <f t="shared" si="117"/>
        <v>2260.4171473972606</v>
      </c>
      <c r="AM346" s="41">
        <f t="shared" si="118"/>
        <v>864.78080260273941</v>
      </c>
      <c r="AN346" s="42">
        <f t="shared" si="119"/>
        <v>45715</v>
      </c>
      <c r="AO346" s="43">
        <f t="shared" si="120"/>
        <v>4251.97</v>
      </c>
    </row>
    <row r="347" spans="1:41" s="24" customFormat="1" ht="15.75" customHeight="1" x14ac:dyDescent="0.35">
      <c r="A347" s="36" t="s">
        <v>27</v>
      </c>
      <c r="B347" s="36">
        <v>202506</v>
      </c>
      <c r="C347" s="24" t="s">
        <v>128</v>
      </c>
      <c r="D347" s="24" t="s">
        <v>129</v>
      </c>
      <c r="E347" s="62">
        <v>45818</v>
      </c>
      <c r="F347" s="62">
        <v>46182</v>
      </c>
      <c r="G347" s="37" t="s">
        <v>474</v>
      </c>
      <c r="H347" s="36">
        <v>2136</v>
      </c>
      <c r="I347" s="63">
        <v>31106</v>
      </c>
      <c r="J347" s="24" t="s">
        <v>1123</v>
      </c>
      <c r="K347" s="63">
        <f t="shared" si="104"/>
        <v>45818</v>
      </c>
      <c r="L347" s="55">
        <f t="shared" si="105"/>
        <v>0.04</v>
      </c>
      <c r="M347" s="76">
        <v>0.22500000000000001</v>
      </c>
      <c r="N347" s="62">
        <v>45818</v>
      </c>
      <c r="O347" s="62">
        <v>46182</v>
      </c>
      <c r="P347" s="63"/>
      <c r="Q347" s="63"/>
      <c r="R347" s="82">
        <v>40</v>
      </c>
      <c r="S347" s="63" t="str">
        <f>VLOOKUP(R347,SA!$B$5:$C$11,2,1)</f>
        <v>36-45</v>
      </c>
      <c r="T347" s="38" t="s">
        <v>97</v>
      </c>
      <c r="U347" s="24" t="s">
        <v>115</v>
      </c>
      <c r="V347" s="24">
        <v>300000</v>
      </c>
      <c r="W347" s="39">
        <f t="shared" si="106"/>
        <v>0</v>
      </c>
      <c r="X347" s="29">
        <f t="shared" si="107"/>
        <v>0</v>
      </c>
      <c r="Y347" s="40">
        <f t="shared" si="108"/>
        <v>365</v>
      </c>
      <c r="Z347" s="38">
        <f t="shared" si="103"/>
        <v>46081</v>
      </c>
      <c r="AA347" s="41">
        <f t="shared" si="109"/>
        <v>264</v>
      </c>
      <c r="AB347" s="24" t="s">
        <v>125</v>
      </c>
      <c r="AC347" s="41">
        <f t="shared" si="110"/>
        <v>5017.3245999999999</v>
      </c>
      <c r="AD347" s="41">
        <v>1</v>
      </c>
      <c r="AE347" s="72">
        <f>IFERROR(INDEX(SA!$C$4:$E$11,MATCH(Details!S347,SA!$C$4:$C$11,0),MATCH(Details!V347,SA!$C$4:$E$4,0)),0)*Y347/(F347-E347+1)</f>
        <v>4251.97</v>
      </c>
      <c r="AF347" s="41">
        <f t="shared" si="111"/>
        <v>0</v>
      </c>
      <c r="AG347" s="41">
        <f t="shared" si="112"/>
        <v>0</v>
      </c>
      <c r="AH347" s="41">
        <f t="shared" si="113"/>
        <v>765.3546</v>
      </c>
      <c r="AI347" s="60">
        <f t="shared" si="114"/>
        <v>170.0788</v>
      </c>
      <c r="AJ347" s="60">
        <f t="shared" si="115"/>
        <v>956.69325000000003</v>
      </c>
      <c r="AK347" s="60">
        <f t="shared" si="116"/>
        <v>3075.397479452055</v>
      </c>
      <c r="AL347" s="60">
        <f t="shared" si="117"/>
        <v>2260.4171473972606</v>
      </c>
      <c r="AM347" s="41">
        <f t="shared" si="118"/>
        <v>864.78080260273941</v>
      </c>
      <c r="AN347" s="42">
        <f t="shared" si="119"/>
        <v>45715</v>
      </c>
      <c r="AO347" s="43">
        <f t="shared" si="120"/>
        <v>4251.97</v>
      </c>
    </row>
    <row r="348" spans="1:41" s="24" customFormat="1" ht="15.75" customHeight="1" x14ac:dyDescent="0.35">
      <c r="A348" s="36" t="s">
        <v>27</v>
      </c>
      <c r="B348" s="36">
        <v>202506</v>
      </c>
      <c r="C348" s="24" t="s">
        <v>128</v>
      </c>
      <c r="D348" s="24" t="s">
        <v>129</v>
      </c>
      <c r="E348" s="62">
        <v>45818</v>
      </c>
      <c r="F348" s="62">
        <v>46182</v>
      </c>
      <c r="G348" s="37" t="s">
        <v>475</v>
      </c>
      <c r="H348" s="36">
        <v>2136</v>
      </c>
      <c r="I348" s="63">
        <v>41499</v>
      </c>
      <c r="J348" s="24" t="s">
        <v>1124</v>
      </c>
      <c r="K348" s="63">
        <f t="shared" si="104"/>
        <v>45818</v>
      </c>
      <c r="L348" s="55">
        <f t="shared" si="105"/>
        <v>0.04</v>
      </c>
      <c r="M348" s="76">
        <v>0.22500000000000001</v>
      </c>
      <c r="N348" s="62">
        <v>45818</v>
      </c>
      <c r="O348" s="62">
        <v>46182</v>
      </c>
      <c r="P348" s="63"/>
      <c r="Q348" s="63"/>
      <c r="R348" s="82">
        <v>11</v>
      </c>
      <c r="S348" s="63" t="str">
        <f>VLOOKUP(R348,SA!$B$5:$C$11,2,1)</f>
        <v>0-35</v>
      </c>
      <c r="T348" s="38" t="s">
        <v>96</v>
      </c>
      <c r="U348" s="24" t="s">
        <v>114</v>
      </c>
      <c r="V348" s="24">
        <v>300000</v>
      </c>
      <c r="W348" s="39">
        <f t="shared" si="106"/>
        <v>0</v>
      </c>
      <c r="X348" s="29">
        <f t="shared" si="107"/>
        <v>0</v>
      </c>
      <c r="Y348" s="40">
        <f t="shared" si="108"/>
        <v>365</v>
      </c>
      <c r="Z348" s="38">
        <f t="shared" si="103"/>
        <v>46081</v>
      </c>
      <c r="AA348" s="41">
        <f t="shared" si="109"/>
        <v>264</v>
      </c>
      <c r="AB348" s="24" t="s">
        <v>125</v>
      </c>
      <c r="AC348" s="41">
        <f t="shared" si="110"/>
        <v>3874.2114000000001</v>
      </c>
      <c r="AD348" s="41">
        <v>1</v>
      </c>
      <c r="AE348" s="72">
        <f>IFERROR(INDEX(SA!$C$4:$E$11,MATCH(Details!S348,SA!$C$4:$C$11,0),MATCH(Details!V348,SA!$C$4:$E$4,0)),0)*Y348/(F348-E348+1)</f>
        <v>3283.23</v>
      </c>
      <c r="AF348" s="41">
        <f t="shared" si="111"/>
        <v>0</v>
      </c>
      <c r="AG348" s="41">
        <f t="shared" si="112"/>
        <v>0</v>
      </c>
      <c r="AH348" s="41">
        <f t="shared" si="113"/>
        <v>590.98140000000001</v>
      </c>
      <c r="AI348" s="60">
        <f t="shared" si="114"/>
        <v>131.32920000000001</v>
      </c>
      <c r="AJ348" s="60">
        <f t="shared" si="115"/>
        <v>738.72675000000004</v>
      </c>
      <c r="AK348" s="60">
        <f t="shared" si="116"/>
        <v>2374.7197808219175</v>
      </c>
      <c r="AL348" s="60">
        <f t="shared" si="117"/>
        <v>1745.4190389041094</v>
      </c>
      <c r="AM348" s="41">
        <f t="shared" si="118"/>
        <v>667.7550110958905</v>
      </c>
      <c r="AN348" s="42">
        <f t="shared" si="119"/>
        <v>45715</v>
      </c>
      <c r="AO348" s="43">
        <f t="shared" si="120"/>
        <v>3283.23</v>
      </c>
    </row>
    <row r="349" spans="1:41" s="24" customFormat="1" ht="15.75" customHeight="1" x14ac:dyDescent="0.35">
      <c r="A349" s="36" t="s">
        <v>27</v>
      </c>
      <c r="B349" s="36">
        <v>202506</v>
      </c>
      <c r="C349" s="24" t="s">
        <v>128</v>
      </c>
      <c r="D349" s="24" t="s">
        <v>129</v>
      </c>
      <c r="E349" s="62">
        <v>45818</v>
      </c>
      <c r="F349" s="62">
        <v>46182</v>
      </c>
      <c r="G349" s="37" t="s">
        <v>476</v>
      </c>
      <c r="H349" s="36">
        <v>2136</v>
      </c>
      <c r="I349" s="63">
        <v>43209</v>
      </c>
      <c r="J349" s="24" t="s">
        <v>1125</v>
      </c>
      <c r="K349" s="63">
        <f t="shared" si="104"/>
        <v>45818</v>
      </c>
      <c r="L349" s="55">
        <f t="shared" si="105"/>
        <v>0.04</v>
      </c>
      <c r="M349" s="76">
        <v>0.22500000000000001</v>
      </c>
      <c r="N349" s="62">
        <v>45818</v>
      </c>
      <c r="O349" s="62">
        <v>46182</v>
      </c>
      <c r="P349" s="63"/>
      <c r="Q349" s="63"/>
      <c r="R349" s="82">
        <v>7</v>
      </c>
      <c r="S349" s="63" t="str">
        <f>VLOOKUP(R349,SA!$B$5:$C$11,2,1)</f>
        <v>0-35</v>
      </c>
      <c r="T349" s="38" t="s">
        <v>96</v>
      </c>
      <c r="U349" s="24" t="s">
        <v>114</v>
      </c>
      <c r="V349" s="24">
        <v>300000</v>
      </c>
      <c r="W349" s="39">
        <f t="shared" si="106"/>
        <v>0</v>
      </c>
      <c r="X349" s="29">
        <f t="shared" si="107"/>
        <v>0</v>
      </c>
      <c r="Y349" s="40">
        <f t="shared" si="108"/>
        <v>365</v>
      </c>
      <c r="Z349" s="38">
        <f t="shared" si="103"/>
        <v>46081</v>
      </c>
      <c r="AA349" s="41">
        <f t="shared" si="109"/>
        <v>264</v>
      </c>
      <c r="AB349" s="24" t="s">
        <v>125</v>
      </c>
      <c r="AC349" s="41">
        <f t="shared" si="110"/>
        <v>3874.2114000000001</v>
      </c>
      <c r="AD349" s="41">
        <v>1</v>
      </c>
      <c r="AE349" s="72">
        <f>IFERROR(INDEX(SA!$C$4:$E$11,MATCH(Details!S349,SA!$C$4:$C$11,0),MATCH(Details!V349,SA!$C$4:$E$4,0)),0)*Y349/(F349-E349+1)</f>
        <v>3283.23</v>
      </c>
      <c r="AF349" s="41">
        <f t="shared" si="111"/>
        <v>0</v>
      </c>
      <c r="AG349" s="41">
        <f t="shared" si="112"/>
        <v>0</v>
      </c>
      <c r="AH349" s="41">
        <f t="shared" si="113"/>
        <v>590.98140000000001</v>
      </c>
      <c r="AI349" s="60">
        <f t="shared" si="114"/>
        <v>131.32920000000001</v>
      </c>
      <c r="AJ349" s="60">
        <f t="shared" si="115"/>
        <v>738.72675000000004</v>
      </c>
      <c r="AK349" s="60">
        <f t="shared" si="116"/>
        <v>2374.7197808219175</v>
      </c>
      <c r="AL349" s="60">
        <f t="shared" si="117"/>
        <v>1745.4190389041094</v>
      </c>
      <c r="AM349" s="41">
        <f t="shared" si="118"/>
        <v>667.7550110958905</v>
      </c>
      <c r="AN349" s="42">
        <f t="shared" si="119"/>
        <v>45715</v>
      </c>
      <c r="AO349" s="43">
        <f t="shared" si="120"/>
        <v>3283.23</v>
      </c>
    </row>
    <row r="350" spans="1:41" s="24" customFormat="1" ht="15.75" customHeight="1" x14ac:dyDescent="0.35">
      <c r="A350" s="36" t="s">
        <v>27</v>
      </c>
      <c r="B350" s="36">
        <v>202506</v>
      </c>
      <c r="C350" s="24" t="s">
        <v>128</v>
      </c>
      <c r="D350" s="24" t="s">
        <v>129</v>
      </c>
      <c r="E350" s="62">
        <v>45818</v>
      </c>
      <c r="F350" s="62">
        <v>46182</v>
      </c>
      <c r="G350" s="37" t="s">
        <v>477</v>
      </c>
      <c r="H350" s="36">
        <v>2139</v>
      </c>
      <c r="I350" s="63">
        <v>32177</v>
      </c>
      <c r="J350" s="24" t="s">
        <v>1126</v>
      </c>
      <c r="K350" s="63">
        <f t="shared" si="104"/>
        <v>45818</v>
      </c>
      <c r="L350" s="55">
        <f t="shared" si="105"/>
        <v>0.04</v>
      </c>
      <c r="M350" s="76">
        <v>0.22500000000000001</v>
      </c>
      <c r="N350" s="62">
        <v>45818</v>
      </c>
      <c r="O350" s="62">
        <v>46182</v>
      </c>
      <c r="P350" s="63"/>
      <c r="Q350" s="63"/>
      <c r="R350" s="82">
        <v>37</v>
      </c>
      <c r="S350" s="63" t="str">
        <f>VLOOKUP(R350,SA!$B$5:$C$11,2,1)</f>
        <v>36-45</v>
      </c>
      <c r="T350" s="38" t="s">
        <v>96</v>
      </c>
      <c r="U350" s="24" t="s">
        <v>56</v>
      </c>
      <c r="V350" s="24">
        <v>300000</v>
      </c>
      <c r="W350" s="39">
        <f t="shared" si="106"/>
        <v>300000</v>
      </c>
      <c r="X350" s="29">
        <f t="shared" si="107"/>
        <v>1</v>
      </c>
      <c r="Y350" s="40">
        <f t="shared" si="108"/>
        <v>365</v>
      </c>
      <c r="Z350" s="38">
        <f t="shared" si="103"/>
        <v>46081</v>
      </c>
      <c r="AA350" s="41">
        <f t="shared" si="109"/>
        <v>264</v>
      </c>
      <c r="AB350" s="24" t="s">
        <v>125</v>
      </c>
      <c r="AC350" s="41">
        <f t="shared" si="110"/>
        <v>5017.3245999999999</v>
      </c>
      <c r="AD350" s="41">
        <v>1</v>
      </c>
      <c r="AE350" s="72">
        <f>IFERROR(INDEX(SA!$C$4:$E$11,MATCH(Details!S350,SA!$C$4:$C$11,0),MATCH(Details!V350,SA!$C$4:$E$4,0)),0)*Y350/(F350-E350+1)</f>
        <v>4251.97</v>
      </c>
      <c r="AF350" s="41">
        <f t="shared" si="111"/>
        <v>0</v>
      </c>
      <c r="AG350" s="41">
        <f t="shared" si="112"/>
        <v>0</v>
      </c>
      <c r="AH350" s="41">
        <f t="shared" si="113"/>
        <v>765.3546</v>
      </c>
      <c r="AI350" s="60">
        <f t="shared" si="114"/>
        <v>170.0788</v>
      </c>
      <c r="AJ350" s="60">
        <f t="shared" si="115"/>
        <v>956.69325000000003</v>
      </c>
      <c r="AK350" s="60">
        <f t="shared" si="116"/>
        <v>3075.397479452055</v>
      </c>
      <c r="AL350" s="60">
        <f t="shared" si="117"/>
        <v>2260.4171473972606</v>
      </c>
      <c r="AM350" s="41">
        <f t="shared" si="118"/>
        <v>864.78080260273941</v>
      </c>
      <c r="AN350" s="42">
        <f t="shared" si="119"/>
        <v>45715</v>
      </c>
      <c r="AO350" s="43">
        <f t="shared" si="120"/>
        <v>4251.97</v>
      </c>
    </row>
    <row r="351" spans="1:41" s="24" customFormat="1" ht="15.75" customHeight="1" x14ac:dyDescent="0.35">
      <c r="A351" s="36" t="s">
        <v>27</v>
      </c>
      <c r="B351" s="36">
        <v>202506</v>
      </c>
      <c r="C351" s="24" t="s">
        <v>128</v>
      </c>
      <c r="D351" s="24" t="s">
        <v>129</v>
      </c>
      <c r="E351" s="62">
        <v>45818</v>
      </c>
      <c r="F351" s="62">
        <v>46182</v>
      </c>
      <c r="G351" s="37" t="s">
        <v>478</v>
      </c>
      <c r="H351" s="36">
        <v>2139</v>
      </c>
      <c r="I351" s="63">
        <v>35528</v>
      </c>
      <c r="J351" s="24" t="s">
        <v>1127</v>
      </c>
      <c r="K351" s="63">
        <f t="shared" si="104"/>
        <v>45818</v>
      </c>
      <c r="L351" s="55">
        <f t="shared" si="105"/>
        <v>0.04</v>
      </c>
      <c r="M351" s="76">
        <v>0.22500000000000001</v>
      </c>
      <c r="N351" s="62">
        <v>45818</v>
      </c>
      <c r="O351" s="62">
        <v>46182</v>
      </c>
      <c r="P351" s="63"/>
      <c r="Q351" s="63"/>
      <c r="R351" s="82">
        <v>28</v>
      </c>
      <c r="S351" s="63" t="str">
        <f>VLOOKUP(R351,SA!$B$5:$C$11,2,1)</f>
        <v>0-35</v>
      </c>
      <c r="T351" s="38" t="s">
        <v>97</v>
      </c>
      <c r="U351" s="24" t="s">
        <v>115</v>
      </c>
      <c r="V351" s="24">
        <v>300000</v>
      </c>
      <c r="W351" s="39">
        <f t="shared" si="106"/>
        <v>0</v>
      </c>
      <c r="X351" s="29">
        <f t="shared" si="107"/>
        <v>0</v>
      </c>
      <c r="Y351" s="40">
        <f t="shared" si="108"/>
        <v>365</v>
      </c>
      <c r="Z351" s="38">
        <f t="shared" si="103"/>
        <v>46081</v>
      </c>
      <c r="AA351" s="41">
        <f t="shared" si="109"/>
        <v>264</v>
      </c>
      <c r="AB351" s="24" t="s">
        <v>125</v>
      </c>
      <c r="AC351" s="41">
        <f t="shared" si="110"/>
        <v>3874.2114000000001</v>
      </c>
      <c r="AD351" s="41">
        <v>1</v>
      </c>
      <c r="AE351" s="72">
        <f>IFERROR(INDEX(SA!$C$4:$E$11,MATCH(Details!S351,SA!$C$4:$C$11,0),MATCH(Details!V351,SA!$C$4:$E$4,0)),0)*Y351/(F351-E351+1)</f>
        <v>3283.23</v>
      </c>
      <c r="AF351" s="41">
        <f t="shared" si="111"/>
        <v>0</v>
      </c>
      <c r="AG351" s="41">
        <f t="shared" si="112"/>
        <v>0</v>
      </c>
      <c r="AH351" s="41">
        <f t="shared" si="113"/>
        <v>590.98140000000001</v>
      </c>
      <c r="AI351" s="60">
        <f t="shared" si="114"/>
        <v>131.32920000000001</v>
      </c>
      <c r="AJ351" s="60">
        <f t="shared" si="115"/>
        <v>738.72675000000004</v>
      </c>
      <c r="AK351" s="60">
        <f t="shared" si="116"/>
        <v>2374.7197808219175</v>
      </c>
      <c r="AL351" s="60">
        <f t="shared" si="117"/>
        <v>1745.4190389041094</v>
      </c>
      <c r="AM351" s="41">
        <f t="shared" si="118"/>
        <v>667.7550110958905</v>
      </c>
      <c r="AN351" s="42">
        <f t="shared" si="119"/>
        <v>45715</v>
      </c>
      <c r="AO351" s="43">
        <f t="shared" si="120"/>
        <v>3283.23</v>
      </c>
    </row>
    <row r="352" spans="1:41" s="24" customFormat="1" ht="15.75" customHeight="1" x14ac:dyDescent="0.35">
      <c r="A352" s="36" t="s">
        <v>27</v>
      </c>
      <c r="B352" s="36">
        <v>202506</v>
      </c>
      <c r="C352" s="24" t="s">
        <v>128</v>
      </c>
      <c r="D352" s="24" t="s">
        <v>129</v>
      </c>
      <c r="E352" s="62">
        <v>45818</v>
      </c>
      <c r="F352" s="62">
        <v>46182</v>
      </c>
      <c r="G352" s="37" t="s">
        <v>479</v>
      </c>
      <c r="H352" s="36">
        <v>2139</v>
      </c>
      <c r="I352" s="63">
        <v>43431</v>
      </c>
      <c r="J352" s="24" t="s">
        <v>1128</v>
      </c>
      <c r="K352" s="63">
        <f t="shared" si="104"/>
        <v>45818</v>
      </c>
      <c r="L352" s="55">
        <f t="shared" si="105"/>
        <v>0.04</v>
      </c>
      <c r="M352" s="76">
        <v>0.22500000000000001</v>
      </c>
      <c r="N352" s="62">
        <v>45818</v>
      </c>
      <c r="O352" s="62">
        <v>46182</v>
      </c>
      <c r="P352" s="63"/>
      <c r="Q352" s="63"/>
      <c r="R352" s="82">
        <v>6</v>
      </c>
      <c r="S352" s="63" t="str">
        <f>VLOOKUP(R352,SA!$B$5:$C$11,2,1)</f>
        <v>0-35</v>
      </c>
      <c r="T352" s="38" t="s">
        <v>97</v>
      </c>
      <c r="U352" s="24" t="s">
        <v>113</v>
      </c>
      <c r="V352" s="24">
        <v>300000</v>
      </c>
      <c r="W352" s="39">
        <f t="shared" si="106"/>
        <v>0</v>
      </c>
      <c r="X352" s="29">
        <f t="shared" si="107"/>
        <v>0</v>
      </c>
      <c r="Y352" s="40">
        <f t="shared" si="108"/>
        <v>365</v>
      </c>
      <c r="Z352" s="38">
        <f t="shared" si="103"/>
        <v>46081</v>
      </c>
      <c r="AA352" s="41">
        <f t="shared" si="109"/>
        <v>264</v>
      </c>
      <c r="AB352" s="24" t="s">
        <v>125</v>
      </c>
      <c r="AC352" s="41">
        <f t="shared" si="110"/>
        <v>3874.2114000000001</v>
      </c>
      <c r="AD352" s="41">
        <v>1</v>
      </c>
      <c r="AE352" s="72">
        <f>IFERROR(INDEX(SA!$C$4:$E$11,MATCH(Details!S352,SA!$C$4:$C$11,0),MATCH(Details!V352,SA!$C$4:$E$4,0)),0)*Y352/(F352-E352+1)</f>
        <v>3283.23</v>
      </c>
      <c r="AF352" s="41">
        <f t="shared" si="111"/>
        <v>0</v>
      </c>
      <c r="AG352" s="41">
        <f t="shared" si="112"/>
        <v>0</v>
      </c>
      <c r="AH352" s="41">
        <f t="shared" si="113"/>
        <v>590.98140000000001</v>
      </c>
      <c r="AI352" s="60">
        <f t="shared" si="114"/>
        <v>131.32920000000001</v>
      </c>
      <c r="AJ352" s="60">
        <f t="shared" si="115"/>
        <v>738.72675000000004</v>
      </c>
      <c r="AK352" s="60">
        <f t="shared" si="116"/>
        <v>2374.7197808219175</v>
      </c>
      <c r="AL352" s="60">
        <f t="shared" si="117"/>
        <v>1745.4190389041094</v>
      </c>
      <c r="AM352" s="41">
        <f t="shared" si="118"/>
        <v>667.7550110958905</v>
      </c>
      <c r="AN352" s="42">
        <f t="shared" si="119"/>
        <v>45715</v>
      </c>
      <c r="AO352" s="43">
        <f t="shared" si="120"/>
        <v>3283.23</v>
      </c>
    </row>
    <row r="353" spans="1:41" s="24" customFormat="1" ht="15.75" customHeight="1" x14ac:dyDescent="0.35">
      <c r="A353" s="36" t="s">
        <v>27</v>
      </c>
      <c r="B353" s="36">
        <v>202506</v>
      </c>
      <c r="C353" s="24" t="s">
        <v>128</v>
      </c>
      <c r="D353" s="24" t="s">
        <v>129</v>
      </c>
      <c r="E353" s="62">
        <v>45818</v>
      </c>
      <c r="F353" s="62">
        <v>46182</v>
      </c>
      <c r="G353" s="37" t="s">
        <v>480</v>
      </c>
      <c r="H353" s="36">
        <v>2139</v>
      </c>
      <c r="I353" s="63">
        <v>42208</v>
      </c>
      <c r="J353" s="24" t="s">
        <v>1129</v>
      </c>
      <c r="K353" s="63">
        <f t="shared" si="104"/>
        <v>45818</v>
      </c>
      <c r="L353" s="55">
        <f t="shared" si="105"/>
        <v>0.04</v>
      </c>
      <c r="M353" s="76">
        <v>0.22500000000000001</v>
      </c>
      <c r="N353" s="62">
        <v>45818</v>
      </c>
      <c r="O353" s="62">
        <v>46182</v>
      </c>
      <c r="P353" s="63"/>
      <c r="Q353" s="63"/>
      <c r="R353" s="82">
        <v>9</v>
      </c>
      <c r="S353" s="63" t="str">
        <f>VLOOKUP(R353,SA!$B$5:$C$11,2,1)</f>
        <v>0-35</v>
      </c>
      <c r="T353" s="38" t="s">
        <v>96</v>
      </c>
      <c r="U353" s="24" t="s">
        <v>114</v>
      </c>
      <c r="V353" s="24">
        <v>300000</v>
      </c>
      <c r="W353" s="39">
        <f t="shared" si="106"/>
        <v>0</v>
      </c>
      <c r="X353" s="29">
        <f t="shared" si="107"/>
        <v>0</v>
      </c>
      <c r="Y353" s="40">
        <f t="shared" si="108"/>
        <v>365</v>
      </c>
      <c r="Z353" s="38">
        <f t="shared" si="103"/>
        <v>46081</v>
      </c>
      <c r="AA353" s="41">
        <f t="shared" si="109"/>
        <v>264</v>
      </c>
      <c r="AB353" s="24" t="s">
        <v>125</v>
      </c>
      <c r="AC353" s="41">
        <f t="shared" si="110"/>
        <v>3874.2114000000001</v>
      </c>
      <c r="AD353" s="41">
        <v>1</v>
      </c>
      <c r="AE353" s="72">
        <f>IFERROR(INDEX(SA!$C$4:$E$11,MATCH(Details!S353,SA!$C$4:$C$11,0),MATCH(Details!V353,SA!$C$4:$E$4,0)),0)*Y353/(F353-E353+1)</f>
        <v>3283.23</v>
      </c>
      <c r="AF353" s="41">
        <f t="shared" si="111"/>
        <v>0</v>
      </c>
      <c r="AG353" s="41">
        <f t="shared" si="112"/>
        <v>0</v>
      </c>
      <c r="AH353" s="41">
        <f t="shared" si="113"/>
        <v>590.98140000000001</v>
      </c>
      <c r="AI353" s="60">
        <f t="shared" si="114"/>
        <v>131.32920000000001</v>
      </c>
      <c r="AJ353" s="60">
        <f t="shared" si="115"/>
        <v>738.72675000000004</v>
      </c>
      <c r="AK353" s="60">
        <f t="shared" si="116"/>
        <v>2374.7197808219175</v>
      </c>
      <c r="AL353" s="60">
        <f t="shared" si="117"/>
        <v>1745.4190389041094</v>
      </c>
      <c r="AM353" s="41">
        <f t="shared" si="118"/>
        <v>667.7550110958905</v>
      </c>
      <c r="AN353" s="42">
        <f t="shared" si="119"/>
        <v>45715</v>
      </c>
      <c r="AO353" s="43">
        <f t="shared" si="120"/>
        <v>3283.23</v>
      </c>
    </row>
    <row r="354" spans="1:41" s="24" customFormat="1" ht="15.75" customHeight="1" x14ac:dyDescent="0.35">
      <c r="A354" s="36" t="s">
        <v>27</v>
      </c>
      <c r="B354" s="36">
        <v>202506</v>
      </c>
      <c r="C354" s="24" t="s">
        <v>128</v>
      </c>
      <c r="D354" s="24" t="s">
        <v>129</v>
      </c>
      <c r="E354" s="62">
        <v>45818</v>
      </c>
      <c r="F354" s="62">
        <v>46182</v>
      </c>
      <c r="G354" s="37" t="s">
        <v>481</v>
      </c>
      <c r="H354" s="36">
        <v>2140</v>
      </c>
      <c r="I354" s="63">
        <v>31253</v>
      </c>
      <c r="J354" s="24" t="s">
        <v>1130</v>
      </c>
      <c r="K354" s="63">
        <f t="shared" si="104"/>
        <v>45818</v>
      </c>
      <c r="L354" s="55">
        <f t="shared" si="105"/>
        <v>0.04</v>
      </c>
      <c r="M354" s="76">
        <v>0.22500000000000001</v>
      </c>
      <c r="N354" s="62">
        <v>45818</v>
      </c>
      <c r="O354" s="62">
        <v>46182</v>
      </c>
      <c r="P354" s="63"/>
      <c r="Q354" s="63"/>
      <c r="R354" s="82">
        <v>39</v>
      </c>
      <c r="S354" s="63" t="str">
        <f>VLOOKUP(R354,SA!$B$5:$C$11,2,1)</f>
        <v>36-45</v>
      </c>
      <c r="T354" s="38" t="s">
        <v>96</v>
      </c>
      <c r="U354" s="24" t="s">
        <v>56</v>
      </c>
      <c r="V354" s="24">
        <v>300000</v>
      </c>
      <c r="W354" s="39">
        <f t="shared" si="106"/>
        <v>300000</v>
      </c>
      <c r="X354" s="29">
        <f t="shared" si="107"/>
        <v>1</v>
      </c>
      <c r="Y354" s="40">
        <f t="shared" si="108"/>
        <v>365</v>
      </c>
      <c r="Z354" s="38">
        <f t="shared" si="103"/>
        <v>46081</v>
      </c>
      <c r="AA354" s="41">
        <f t="shared" si="109"/>
        <v>264</v>
      </c>
      <c r="AB354" s="24" t="s">
        <v>125</v>
      </c>
      <c r="AC354" s="41">
        <f t="shared" si="110"/>
        <v>5017.3245999999999</v>
      </c>
      <c r="AD354" s="41">
        <v>1</v>
      </c>
      <c r="AE354" s="72">
        <f>IFERROR(INDEX(SA!$C$4:$E$11,MATCH(Details!S354,SA!$C$4:$C$11,0),MATCH(Details!V354,SA!$C$4:$E$4,0)),0)*Y354/(F354-E354+1)</f>
        <v>4251.97</v>
      </c>
      <c r="AF354" s="41">
        <f t="shared" si="111"/>
        <v>0</v>
      </c>
      <c r="AG354" s="41">
        <f t="shared" si="112"/>
        <v>0</v>
      </c>
      <c r="AH354" s="41">
        <f t="shared" si="113"/>
        <v>765.3546</v>
      </c>
      <c r="AI354" s="60">
        <f t="shared" si="114"/>
        <v>170.0788</v>
      </c>
      <c r="AJ354" s="60">
        <f t="shared" si="115"/>
        <v>956.69325000000003</v>
      </c>
      <c r="AK354" s="60">
        <f t="shared" si="116"/>
        <v>3075.397479452055</v>
      </c>
      <c r="AL354" s="60">
        <f t="shared" si="117"/>
        <v>2260.4171473972606</v>
      </c>
      <c r="AM354" s="41">
        <f t="shared" si="118"/>
        <v>864.78080260273941</v>
      </c>
      <c r="AN354" s="42">
        <f t="shared" si="119"/>
        <v>45715</v>
      </c>
      <c r="AO354" s="43">
        <f t="shared" si="120"/>
        <v>4251.97</v>
      </c>
    </row>
    <row r="355" spans="1:41" s="24" customFormat="1" ht="15.75" customHeight="1" x14ac:dyDescent="0.35">
      <c r="A355" s="36" t="s">
        <v>27</v>
      </c>
      <c r="B355" s="36">
        <v>202506</v>
      </c>
      <c r="C355" s="24" t="s">
        <v>128</v>
      </c>
      <c r="D355" s="24" t="s">
        <v>129</v>
      </c>
      <c r="E355" s="62">
        <v>45818</v>
      </c>
      <c r="F355" s="62">
        <v>46182</v>
      </c>
      <c r="G355" s="37" t="s">
        <v>482</v>
      </c>
      <c r="H355" s="36">
        <v>2140</v>
      </c>
      <c r="I355" s="63">
        <v>41277</v>
      </c>
      <c r="J355" s="24" t="s">
        <v>1131</v>
      </c>
      <c r="K355" s="63">
        <f t="shared" si="104"/>
        <v>45818</v>
      </c>
      <c r="L355" s="55">
        <f t="shared" si="105"/>
        <v>0.04</v>
      </c>
      <c r="M355" s="76">
        <v>0.22500000000000001</v>
      </c>
      <c r="N355" s="62">
        <v>45818</v>
      </c>
      <c r="O355" s="62">
        <v>46182</v>
      </c>
      <c r="P355" s="63"/>
      <c r="Q355" s="63"/>
      <c r="R355" s="82">
        <v>12</v>
      </c>
      <c r="S355" s="63" t="str">
        <f>VLOOKUP(R355,SA!$B$5:$C$11,2,1)</f>
        <v>0-35</v>
      </c>
      <c r="T355" s="38" t="s">
        <v>96</v>
      </c>
      <c r="U355" s="24" t="s">
        <v>114</v>
      </c>
      <c r="V355" s="24">
        <v>300000</v>
      </c>
      <c r="W355" s="39">
        <f t="shared" si="106"/>
        <v>0</v>
      </c>
      <c r="X355" s="29">
        <f t="shared" si="107"/>
        <v>0</v>
      </c>
      <c r="Y355" s="40">
        <f t="shared" si="108"/>
        <v>365</v>
      </c>
      <c r="Z355" s="38">
        <f t="shared" si="103"/>
        <v>46081</v>
      </c>
      <c r="AA355" s="41">
        <f t="shared" si="109"/>
        <v>264</v>
      </c>
      <c r="AB355" s="24" t="s">
        <v>125</v>
      </c>
      <c r="AC355" s="41">
        <f t="shared" si="110"/>
        <v>3874.2114000000001</v>
      </c>
      <c r="AD355" s="41">
        <v>1</v>
      </c>
      <c r="AE355" s="72">
        <f>IFERROR(INDEX(SA!$C$4:$E$11,MATCH(Details!S355,SA!$C$4:$C$11,0),MATCH(Details!V355,SA!$C$4:$E$4,0)),0)*Y355/(F355-E355+1)</f>
        <v>3283.23</v>
      </c>
      <c r="AF355" s="41">
        <f t="shared" si="111"/>
        <v>0</v>
      </c>
      <c r="AG355" s="41">
        <f t="shared" si="112"/>
        <v>0</v>
      </c>
      <c r="AH355" s="41">
        <f t="shared" si="113"/>
        <v>590.98140000000001</v>
      </c>
      <c r="AI355" s="60">
        <f t="shared" si="114"/>
        <v>131.32920000000001</v>
      </c>
      <c r="AJ355" s="60">
        <f t="shared" si="115"/>
        <v>738.72675000000004</v>
      </c>
      <c r="AK355" s="60">
        <f t="shared" si="116"/>
        <v>2374.7197808219175</v>
      </c>
      <c r="AL355" s="60">
        <f t="shared" si="117"/>
        <v>1745.4190389041094</v>
      </c>
      <c r="AM355" s="41">
        <f t="shared" si="118"/>
        <v>667.7550110958905</v>
      </c>
      <c r="AN355" s="42">
        <f t="shared" si="119"/>
        <v>45715</v>
      </c>
      <c r="AO355" s="43">
        <f t="shared" si="120"/>
        <v>3283.23</v>
      </c>
    </row>
    <row r="356" spans="1:41" s="24" customFormat="1" ht="15.75" customHeight="1" x14ac:dyDescent="0.35">
      <c r="A356" s="36" t="s">
        <v>27</v>
      </c>
      <c r="B356" s="36">
        <v>202506</v>
      </c>
      <c r="C356" s="24" t="s">
        <v>128</v>
      </c>
      <c r="D356" s="24" t="s">
        <v>129</v>
      </c>
      <c r="E356" s="62">
        <v>45818</v>
      </c>
      <c r="F356" s="62">
        <v>46182</v>
      </c>
      <c r="G356" s="37" t="s">
        <v>483</v>
      </c>
      <c r="H356" s="36">
        <v>2140</v>
      </c>
      <c r="I356" s="63">
        <v>33468</v>
      </c>
      <c r="J356" s="24" t="s">
        <v>1132</v>
      </c>
      <c r="K356" s="63">
        <f t="shared" si="104"/>
        <v>45818</v>
      </c>
      <c r="L356" s="55">
        <f t="shared" si="105"/>
        <v>0.04</v>
      </c>
      <c r="M356" s="76">
        <v>0.22500000000000001</v>
      </c>
      <c r="N356" s="62">
        <v>45818</v>
      </c>
      <c r="O356" s="62">
        <v>46182</v>
      </c>
      <c r="P356" s="63"/>
      <c r="Q356" s="63"/>
      <c r="R356" s="82">
        <v>33</v>
      </c>
      <c r="S356" s="63" t="str">
        <f>VLOOKUP(R356,SA!$B$5:$C$11,2,1)</f>
        <v>0-35</v>
      </c>
      <c r="T356" s="38" t="s">
        <v>97</v>
      </c>
      <c r="U356" s="24" t="s">
        <v>115</v>
      </c>
      <c r="V356" s="24">
        <v>300000</v>
      </c>
      <c r="W356" s="39">
        <f t="shared" si="106"/>
        <v>0</v>
      </c>
      <c r="X356" s="29">
        <f t="shared" si="107"/>
        <v>0</v>
      </c>
      <c r="Y356" s="40">
        <f t="shared" si="108"/>
        <v>365</v>
      </c>
      <c r="Z356" s="38">
        <f t="shared" si="103"/>
        <v>46081</v>
      </c>
      <c r="AA356" s="41">
        <f t="shared" si="109"/>
        <v>264</v>
      </c>
      <c r="AB356" s="24" t="s">
        <v>125</v>
      </c>
      <c r="AC356" s="41">
        <f t="shared" si="110"/>
        <v>3874.2114000000001</v>
      </c>
      <c r="AD356" s="41">
        <v>1</v>
      </c>
      <c r="AE356" s="72">
        <f>IFERROR(INDEX(SA!$C$4:$E$11,MATCH(Details!S356,SA!$C$4:$C$11,0),MATCH(Details!V356,SA!$C$4:$E$4,0)),0)*Y356/(F356-E356+1)</f>
        <v>3283.23</v>
      </c>
      <c r="AF356" s="41">
        <f t="shared" si="111"/>
        <v>0</v>
      </c>
      <c r="AG356" s="41">
        <f t="shared" si="112"/>
        <v>0</v>
      </c>
      <c r="AH356" s="41">
        <f t="shared" si="113"/>
        <v>590.98140000000001</v>
      </c>
      <c r="AI356" s="60">
        <f t="shared" si="114"/>
        <v>131.32920000000001</v>
      </c>
      <c r="AJ356" s="60">
        <f t="shared" si="115"/>
        <v>738.72675000000004</v>
      </c>
      <c r="AK356" s="60">
        <f t="shared" si="116"/>
        <v>2374.7197808219175</v>
      </c>
      <c r="AL356" s="60">
        <f t="shared" si="117"/>
        <v>1745.4190389041094</v>
      </c>
      <c r="AM356" s="41">
        <f t="shared" si="118"/>
        <v>667.7550110958905</v>
      </c>
      <c r="AN356" s="42">
        <f t="shared" si="119"/>
        <v>45715</v>
      </c>
      <c r="AO356" s="43">
        <f t="shared" si="120"/>
        <v>3283.23</v>
      </c>
    </row>
    <row r="357" spans="1:41" s="24" customFormat="1" ht="15.75" customHeight="1" x14ac:dyDescent="0.35">
      <c r="A357" s="36" t="s">
        <v>27</v>
      </c>
      <c r="B357" s="36">
        <v>202506</v>
      </c>
      <c r="C357" s="24" t="s">
        <v>128</v>
      </c>
      <c r="D357" s="24" t="s">
        <v>129</v>
      </c>
      <c r="E357" s="62">
        <v>45818</v>
      </c>
      <c r="F357" s="62">
        <v>46182</v>
      </c>
      <c r="G357" s="37" t="s">
        <v>484</v>
      </c>
      <c r="H357" s="36">
        <v>2140</v>
      </c>
      <c r="I357" s="63">
        <v>42557</v>
      </c>
      <c r="J357" s="24" t="s">
        <v>1133</v>
      </c>
      <c r="K357" s="63">
        <f t="shared" si="104"/>
        <v>45818</v>
      </c>
      <c r="L357" s="55">
        <f t="shared" si="105"/>
        <v>0.04</v>
      </c>
      <c r="M357" s="76">
        <v>0.22500000000000001</v>
      </c>
      <c r="N357" s="62">
        <v>45818</v>
      </c>
      <c r="O357" s="62">
        <v>46182</v>
      </c>
      <c r="P357" s="63"/>
      <c r="Q357" s="63"/>
      <c r="R357" s="82">
        <v>8</v>
      </c>
      <c r="S357" s="63" t="str">
        <f>VLOOKUP(R357,SA!$B$5:$C$11,2,1)</f>
        <v>0-35</v>
      </c>
      <c r="T357" s="38" t="s">
        <v>96</v>
      </c>
      <c r="U357" s="24" t="s">
        <v>114</v>
      </c>
      <c r="V357" s="24">
        <v>300000</v>
      </c>
      <c r="W357" s="39">
        <f t="shared" si="106"/>
        <v>0</v>
      </c>
      <c r="X357" s="29">
        <f t="shared" si="107"/>
        <v>0</v>
      </c>
      <c r="Y357" s="40">
        <f t="shared" si="108"/>
        <v>365</v>
      </c>
      <c r="Z357" s="38">
        <f t="shared" si="103"/>
        <v>46081</v>
      </c>
      <c r="AA357" s="41">
        <f t="shared" si="109"/>
        <v>264</v>
      </c>
      <c r="AB357" s="24" t="s">
        <v>125</v>
      </c>
      <c r="AC357" s="41">
        <f t="shared" si="110"/>
        <v>3874.2114000000001</v>
      </c>
      <c r="AD357" s="41">
        <v>1</v>
      </c>
      <c r="AE357" s="72">
        <f>IFERROR(INDEX(SA!$C$4:$E$11,MATCH(Details!S357,SA!$C$4:$C$11,0),MATCH(Details!V357,SA!$C$4:$E$4,0)),0)*Y357/(F357-E357+1)</f>
        <v>3283.23</v>
      </c>
      <c r="AF357" s="41">
        <f t="shared" si="111"/>
        <v>0</v>
      </c>
      <c r="AG357" s="41">
        <f t="shared" si="112"/>
        <v>0</v>
      </c>
      <c r="AH357" s="41">
        <f t="shared" si="113"/>
        <v>590.98140000000001</v>
      </c>
      <c r="AI357" s="60">
        <f t="shared" si="114"/>
        <v>131.32920000000001</v>
      </c>
      <c r="AJ357" s="60">
        <f t="shared" si="115"/>
        <v>738.72675000000004</v>
      </c>
      <c r="AK357" s="60">
        <f t="shared" si="116"/>
        <v>2374.7197808219175</v>
      </c>
      <c r="AL357" s="60">
        <f t="shared" si="117"/>
        <v>1745.4190389041094</v>
      </c>
      <c r="AM357" s="41">
        <f t="shared" si="118"/>
        <v>667.7550110958905</v>
      </c>
      <c r="AN357" s="42">
        <f t="shared" si="119"/>
        <v>45715</v>
      </c>
      <c r="AO357" s="43">
        <f t="shared" si="120"/>
        <v>3283.23</v>
      </c>
    </row>
    <row r="358" spans="1:41" s="24" customFormat="1" ht="15.75" customHeight="1" x14ac:dyDescent="0.35">
      <c r="A358" s="36" t="s">
        <v>27</v>
      </c>
      <c r="B358" s="36">
        <v>202506</v>
      </c>
      <c r="C358" s="24" t="s">
        <v>128</v>
      </c>
      <c r="D358" s="24" t="s">
        <v>129</v>
      </c>
      <c r="E358" s="62">
        <v>45818</v>
      </c>
      <c r="F358" s="62">
        <v>46182</v>
      </c>
      <c r="G358" s="37" t="s">
        <v>485</v>
      </c>
      <c r="H358" s="36">
        <v>2142</v>
      </c>
      <c r="I358" s="63">
        <v>28814</v>
      </c>
      <c r="J358" s="24" t="s">
        <v>1134</v>
      </c>
      <c r="K358" s="63">
        <f t="shared" si="104"/>
        <v>45818</v>
      </c>
      <c r="L358" s="55">
        <f t="shared" si="105"/>
        <v>0.04</v>
      </c>
      <c r="M358" s="76">
        <v>0.22500000000000001</v>
      </c>
      <c r="N358" s="62">
        <v>45818</v>
      </c>
      <c r="O358" s="62">
        <v>46182</v>
      </c>
      <c r="P358" s="63"/>
      <c r="Q358" s="63"/>
      <c r="R358" s="82">
        <v>46</v>
      </c>
      <c r="S358" s="63" t="str">
        <f>VLOOKUP(R358,SA!$B$5:$C$11,2,1)</f>
        <v>46-55</v>
      </c>
      <c r="T358" s="38" t="s">
        <v>96</v>
      </c>
      <c r="U358" s="24" t="s">
        <v>56</v>
      </c>
      <c r="V358" s="24">
        <v>300000</v>
      </c>
      <c r="W358" s="39">
        <f t="shared" si="106"/>
        <v>300000</v>
      </c>
      <c r="X358" s="29">
        <f t="shared" si="107"/>
        <v>1</v>
      </c>
      <c r="Y358" s="40">
        <f t="shared" si="108"/>
        <v>365</v>
      </c>
      <c r="Z358" s="38">
        <f t="shared" si="103"/>
        <v>46081</v>
      </c>
      <c r="AA358" s="41">
        <f t="shared" si="109"/>
        <v>264</v>
      </c>
      <c r="AB358" s="24" t="s">
        <v>125</v>
      </c>
      <c r="AC358" s="41">
        <f t="shared" si="110"/>
        <v>9586.9925999999996</v>
      </c>
      <c r="AD358" s="41">
        <v>1</v>
      </c>
      <c r="AE358" s="72">
        <f>IFERROR(INDEX(SA!$C$4:$E$11,MATCH(Details!S358,SA!$C$4:$C$11,0),MATCH(Details!V358,SA!$C$4:$E$4,0)),0)*Y358/(F358-E358+1)</f>
        <v>8124.57</v>
      </c>
      <c r="AF358" s="41">
        <f t="shared" si="111"/>
        <v>0</v>
      </c>
      <c r="AG358" s="41">
        <f t="shared" si="112"/>
        <v>0</v>
      </c>
      <c r="AH358" s="41">
        <f t="shared" si="113"/>
        <v>1462.4225999999999</v>
      </c>
      <c r="AI358" s="60">
        <f t="shared" si="114"/>
        <v>324.9828</v>
      </c>
      <c r="AJ358" s="60">
        <f t="shared" si="115"/>
        <v>1828.0282500000001</v>
      </c>
      <c r="AK358" s="60">
        <f t="shared" si="116"/>
        <v>5876.4013150684932</v>
      </c>
      <c r="AL358" s="60">
        <f t="shared" si="117"/>
        <v>4319.1549665753428</v>
      </c>
      <c r="AM358" s="41">
        <f t="shared" si="118"/>
        <v>1652.4039834246571</v>
      </c>
      <c r="AN358" s="42">
        <f t="shared" si="119"/>
        <v>45715</v>
      </c>
      <c r="AO358" s="43">
        <f t="shared" si="120"/>
        <v>8124.57</v>
      </c>
    </row>
    <row r="359" spans="1:41" s="24" customFormat="1" ht="15.75" customHeight="1" x14ac:dyDescent="0.35">
      <c r="A359" s="36" t="s">
        <v>27</v>
      </c>
      <c r="B359" s="36">
        <v>202506</v>
      </c>
      <c r="C359" s="24" t="s">
        <v>128</v>
      </c>
      <c r="D359" s="24" t="s">
        <v>129</v>
      </c>
      <c r="E359" s="62">
        <v>45818</v>
      </c>
      <c r="F359" s="62">
        <v>46182</v>
      </c>
      <c r="G359" s="37" t="s">
        <v>486</v>
      </c>
      <c r="H359" s="36">
        <v>2142</v>
      </c>
      <c r="I359" s="63">
        <v>41306</v>
      </c>
      <c r="J359" s="24" t="s">
        <v>1135</v>
      </c>
      <c r="K359" s="63">
        <f t="shared" si="104"/>
        <v>45818</v>
      </c>
      <c r="L359" s="55">
        <f t="shared" si="105"/>
        <v>0.04</v>
      </c>
      <c r="M359" s="76">
        <v>0.22500000000000001</v>
      </c>
      <c r="N359" s="62">
        <v>45818</v>
      </c>
      <c r="O359" s="62">
        <v>46182</v>
      </c>
      <c r="P359" s="63"/>
      <c r="Q359" s="63"/>
      <c r="R359" s="82">
        <v>12</v>
      </c>
      <c r="S359" s="63" t="str">
        <f>VLOOKUP(R359,SA!$B$5:$C$11,2,1)</f>
        <v>0-35</v>
      </c>
      <c r="T359" s="38" t="s">
        <v>97</v>
      </c>
      <c r="U359" s="24" t="s">
        <v>113</v>
      </c>
      <c r="V359" s="24">
        <v>300000</v>
      </c>
      <c r="W359" s="39">
        <f t="shared" si="106"/>
        <v>0</v>
      </c>
      <c r="X359" s="29">
        <f t="shared" si="107"/>
        <v>0</v>
      </c>
      <c r="Y359" s="40">
        <f t="shared" si="108"/>
        <v>365</v>
      </c>
      <c r="Z359" s="38">
        <f t="shared" si="103"/>
        <v>46081</v>
      </c>
      <c r="AA359" s="41">
        <f t="shared" si="109"/>
        <v>264</v>
      </c>
      <c r="AB359" s="24" t="s">
        <v>125</v>
      </c>
      <c r="AC359" s="41">
        <f t="shared" si="110"/>
        <v>3874.2114000000001</v>
      </c>
      <c r="AD359" s="41">
        <v>1</v>
      </c>
      <c r="AE359" s="72">
        <f>IFERROR(INDEX(SA!$C$4:$E$11,MATCH(Details!S359,SA!$C$4:$C$11,0),MATCH(Details!V359,SA!$C$4:$E$4,0)),0)*Y359/(F359-E359+1)</f>
        <v>3283.23</v>
      </c>
      <c r="AF359" s="41">
        <f t="shared" si="111"/>
        <v>0</v>
      </c>
      <c r="AG359" s="41">
        <f t="shared" si="112"/>
        <v>0</v>
      </c>
      <c r="AH359" s="41">
        <f t="shared" si="113"/>
        <v>590.98140000000001</v>
      </c>
      <c r="AI359" s="60">
        <f t="shared" si="114"/>
        <v>131.32920000000001</v>
      </c>
      <c r="AJ359" s="60">
        <f t="shared" si="115"/>
        <v>738.72675000000004</v>
      </c>
      <c r="AK359" s="60">
        <f t="shared" si="116"/>
        <v>2374.7197808219175</v>
      </c>
      <c r="AL359" s="60">
        <f t="shared" si="117"/>
        <v>1745.4190389041094</v>
      </c>
      <c r="AM359" s="41">
        <f t="shared" si="118"/>
        <v>667.7550110958905</v>
      </c>
      <c r="AN359" s="42">
        <f t="shared" si="119"/>
        <v>45715</v>
      </c>
      <c r="AO359" s="43">
        <f t="shared" si="120"/>
        <v>3283.23</v>
      </c>
    </row>
    <row r="360" spans="1:41" s="24" customFormat="1" ht="15.75" customHeight="1" x14ac:dyDescent="0.35">
      <c r="A360" s="36" t="s">
        <v>27</v>
      </c>
      <c r="B360" s="36">
        <v>202506</v>
      </c>
      <c r="C360" s="24" t="s">
        <v>128</v>
      </c>
      <c r="D360" s="24" t="s">
        <v>129</v>
      </c>
      <c r="E360" s="62">
        <v>45818</v>
      </c>
      <c r="F360" s="62">
        <v>46182</v>
      </c>
      <c r="G360" s="37" t="s">
        <v>487</v>
      </c>
      <c r="H360" s="36">
        <v>2142</v>
      </c>
      <c r="I360" s="63">
        <v>29722</v>
      </c>
      <c r="J360" s="24" t="s">
        <v>1136</v>
      </c>
      <c r="K360" s="63">
        <f t="shared" si="104"/>
        <v>45818</v>
      </c>
      <c r="L360" s="55">
        <f t="shared" si="105"/>
        <v>0.04</v>
      </c>
      <c r="M360" s="76">
        <v>0.22500000000000001</v>
      </c>
      <c r="N360" s="62">
        <v>45818</v>
      </c>
      <c r="O360" s="62">
        <v>46182</v>
      </c>
      <c r="P360" s="63"/>
      <c r="Q360" s="63"/>
      <c r="R360" s="82">
        <v>44</v>
      </c>
      <c r="S360" s="63" t="str">
        <f>VLOOKUP(R360,SA!$B$5:$C$11,2,1)</f>
        <v>36-45</v>
      </c>
      <c r="T360" s="38" t="s">
        <v>97</v>
      </c>
      <c r="U360" s="24" t="s">
        <v>115</v>
      </c>
      <c r="V360" s="24">
        <v>300000</v>
      </c>
      <c r="W360" s="39">
        <f t="shared" si="106"/>
        <v>0</v>
      </c>
      <c r="X360" s="29">
        <f t="shared" si="107"/>
        <v>0</v>
      </c>
      <c r="Y360" s="40">
        <f t="shared" si="108"/>
        <v>365</v>
      </c>
      <c r="Z360" s="38">
        <f t="shared" si="103"/>
        <v>46081</v>
      </c>
      <c r="AA360" s="41">
        <f t="shared" si="109"/>
        <v>264</v>
      </c>
      <c r="AB360" s="24" t="s">
        <v>125</v>
      </c>
      <c r="AC360" s="41">
        <f t="shared" si="110"/>
        <v>5017.3245999999999</v>
      </c>
      <c r="AD360" s="41">
        <v>1</v>
      </c>
      <c r="AE360" s="72">
        <f>IFERROR(INDEX(SA!$C$4:$E$11,MATCH(Details!S360,SA!$C$4:$C$11,0),MATCH(Details!V360,SA!$C$4:$E$4,0)),0)*Y360/(F360-E360+1)</f>
        <v>4251.97</v>
      </c>
      <c r="AF360" s="41">
        <f t="shared" si="111"/>
        <v>0</v>
      </c>
      <c r="AG360" s="41">
        <f t="shared" si="112"/>
        <v>0</v>
      </c>
      <c r="AH360" s="41">
        <f t="shared" si="113"/>
        <v>765.3546</v>
      </c>
      <c r="AI360" s="60">
        <f t="shared" si="114"/>
        <v>170.0788</v>
      </c>
      <c r="AJ360" s="60">
        <f t="shared" si="115"/>
        <v>956.69325000000003</v>
      </c>
      <c r="AK360" s="60">
        <f t="shared" si="116"/>
        <v>3075.397479452055</v>
      </c>
      <c r="AL360" s="60">
        <f t="shared" si="117"/>
        <v>2260.4171473972606</v>
      </c>
      <c r="AM360" s="41">
        <f t="shared" si="118"/>
        <v>864.78080260273941</v>
      </c>
      <c r="AN360" s="42">
        <f t="shared" si="119"/>
        <v>45715</v>
      </c>
      <c r="AO360" s="43">
        <f t="shared" si="120"/>
        <v>4251.97</v>
      </c>
    </row>
    <row r="361" spans="1:41" s="24" customFormat="1" ht="15.75" customHeight="1" x14ac:dyDescent="0.35">
      <c r="A361" s="36" t="s">
        <v>27</v>
      </c>
      <c r="B361" s="36">
        <v>202506</v>
      </c>
      <c r="C361" s="24" t="s">
        <v>128</v>
      </c>
      <c r="D361" s="24" t="s">
        <v>129</v>
      </c>
      <c r="E361" s="62">
        <v>45818</v>
      </c>
      <c r="F361" s="62">
        <v>46182</v>
      </c>
      <c r="G361" s="37" t="s">
        <v>488</v>
      </c>
      <c r="H361" s="36">
        <v>2145</v>
      </c>
      <c r="I361" s="63">
        <v>31468</v>
      </c>
      <c r="J361" s="24" t="s">
        <v>1137</v>
      </c>
      <c r="K361" s="63">
        <f t="shared" si="104"/>
        <v>45818</v>
      </c>
      <c r="L361" s="55">
        <f t="shared" si="105"/>
        <v>0.04</v>
      </c>
      <c r="M361" s="76">
        <v>0.22500000000000001</v>
      </c>
      <c r="N361" s="62">
        <v>45818</v>
      </c>
      <c r="O361" s="62">
        <v>46182</v>
      </c>
      <c r="P361" s="63"/>
      <c r="Q361" s="63"/>
      <c r="R361" s="82">
        <v>39</v>
      </c>
      <c r="S361" s="63" t="str">
        <f>VLOOKUP(R361,SA!$B$5:$C$11,2,1)</f>
        <v>36-45</v>
      </c>
      <c r="T361" s="38" t="s">
        <v>96</v>
      </c>
      <c r="U361" s="24" t="s">
        <v>56</v>
      </c>
      <c r="V361" s="24">
        <v>300000</v>
      </c>
      <c r="W361" s="39">
        <f t="shared" si="106"/>
        <v>300000</v>
      </c>
      <c r="X361" s="29">
        <f t="shared" si="107"/>
        <v>1</v>
      </c>
      <c r="Y361" s="40">
        <f t="shared" si="108"/>
        <v>365</v>
      </c>
      <c r="Z361" s="38">
        <f t="shared" si="103"/>
        <v>46081</v>
      </c>
      <c r="AA361" s="41">
        <f t="shared" si="109"/>
        <v>264</v>
      </c>
      <c r="AB361" s="24" t="s">
        <v>125</v>
      </c>
      <c r="AC361" s="41">
        <f t="shared" si="110"/>
        <v>5017.3245999999999</v>
      </c>
      <c r="AD361" s="41">
        <v>1</v>
      </c>
      <c r="AE361" s="72">
        <f>IFERROR(INDEX(SA!$C$4:$E$11,MATCH(Details!S361,SA!$C$4:$C$11,0),MATCH(Details!V361,SA!$C$4:$E$4,0)),0)*Y361/(F361-E361+1)</f>
        <v>4251.97</v>
      </c>
      <c r="AF361" s="41">
        <f t="shared" si="111"/>
        <v>0</v>
      </c>
      <c r="AG361" s="41">
        <f t="shared" si="112"/>
        <v>0</v>
      </c>
      <c r="AH361" s="41">
        <f t="shared" si="113"/>
        <v>765.3546</v>
      </c>
      <c r="AI361" s="60">
        <f t="shared" si="114"/>
        <v>170.0788</v>
      </c>
      <c r="AJ361" s="60">
        <f t="shared" si="115"/>
        <v>956.69325000000003</v>
      </c>
      <c r="AK361" s="60">
        <f t="shared" si="116"/>
        <v>3075.397479452055</v>
      </c>
      <c r="AL361" s="60">
        <f t="shared" si="117"/>
        <v>2260.4171473972606</v>
      </c>
      <c r="AM361" s="41">
        <f t="shared" si="118"/>
        <v>864.78080260273941</v>
      </c>
      <c r="AN361" s="42">
        <f t="shared" si="119"/>
        <v>45715</v>
      </c>
      <c r="AO361" s="43">
        <f t="shared" si="120"/>
        <v>4251.97</v>
      </c>
    </row>
    <row r="362" spans="1:41" s="24" customFormat="1" ht="15.75" customHeight="1" x14ac:dyDescent="0.35">
      <c r="A362" s="36" t="s">
        <v>27</v>
      </c>
      <c r="B362" s="36">
        <v>202506</v>
      </c>
      <c r="C362" s="24" t="s">
        <v>128</v>
      </c>
      <c r="D362" s="24" t="s">
        <v>129</v>
      </c>
      <c r="E362" s="62">
        <v>45818</v>
      </c>
      <c r="F362" s="62">
        <v>46182</v>
      </c>
      <c r="G362" s="37" t="s">
        <v>489</v>
      </c>
      <c r="H362" s="36">
        <v>2147</v>
      </c>
      <c r="I362" s="63">
        <v>31584</v>
      </c>
      <c r="J362" s="24" t="s">
        <v>1138</v>
      </c>
      <c r="K362" s="63">
        <f t="shared" si="104"/>
        <v>45818</v>
      </c>
      <c r="L362" s="55">
        <f t="shared" si="105"/>
        <v>0.04</v>
      </c>
      <c r="M362" s="76">
        <v>0.22500000000000001</v>
      </c>
      <c r="N362" s="62">
        <v>45818</v>
      </c>
      <c r="O362" s="62">
        <v>46182</v>
      </c>
      <c r="P362" s="63"/>
      <c r="Q362" s="63"/>
      <c r="R362" s="82">
        <v>38</v>
      </c>
      <c r="S362" s="63" t="str">
        <f>VLOOKUP(R362,SA!$B$5:$C$11,2,1)</f>
        <v>36-45</v>
      </c>
      <c r="T362" s="38" t="s">
        <v>96</v>
      </c>
      <c r="U362" s="24" t="s">
        <v>56</v>
      </c>
      <c r="V362" s="24">
        <v>300000</v>
      </c>
      <c r="W362" s="39">
        <f t="shared" si="106"/>
        <v>300000</v>
      </c>
      <c r="X362" s="29">
        <f t="shared" si="107"/>
        <v>1</v>
      </c>
      <c r="Y362" s="40">
        <f t="shared" si="108"/>
        <v>365</v>
      </c>
      <c r="Z362" s="38">
        <f t="shared" si="103"/>
        <v>46081</v>
      </c>
      <c r="AA362" s="41">
        <f t="shared" si="109"/>
        <v>264</v>
      </c>
      <c r="AB362" s="24" t="s">
        <v>125</v>
      </c>
      <c r="AC362" s="41">
        <f t="shared" si="110"/>
        <v>5017.3245999999999</v>
      </c>
      <c r="AD362" s="41">
        <v>1</v>
      </c>
      <c r="AE362" s="72">
        <f>IFERROR(INDEX(SA!$C$4:$E$11,MATCH(Details!S362,SA!$C$4:$C$11,0),MATCH(Details!V362,SA!$C$4:$E$4,0)),0)*Y362/(F362-E362+1)</f>
        <v>4251.97</v>
      </c>
      <c r="AF362" s="41">
        <f t="shared" si="111"/>
        <v>0</v>
      </c>
      <c r="AG362" s="41">
        <f t="shared" si="112"/>
        <v>0</v>
      </c>
      <c r="AH362" s="41">
        <f t="shared" si="113"/>
        <v>765.3546</v>
      </c>
      <c r="AI362" s="60">
        <f t="shared" si="114"/>
        <v>170.0788</v>
      </c>
      <c r="AJ362" s="60">
        <f t="shared" si="115"/>
        <v>956.69325000000003</v>
      </c>
      <c r="AK362" s="60">
        <f t="shared" si="116"/>
        <v>3075.397479452055</v>
      </c>
      <c r="AL362" s="60">
        <f t="shared" si="117"/>
        <v>2260.4171473972606</v>
      </c>
      <c r="AM362" s="41">
        <f t="shared" si="118"/>
        <v>864.78080260273941</v>
      </c>
      <c r="AN362" s="42">
        <f t="shared" si="119"/>
        <v>45715</v>
      </c>
      <c r="AO362" s="43">
        <f t="shared" si="120"/>
        <v>4251.97</v>
      </c>
    </row>
    <row r="363" spans="1:41" s="24" customFormat="1" ht="15.75" customHeight="1" x14ac:dyDescent="0.35">
      <c r="A363" s="36" t="s">
        <v>27</v>
      </c>
      <c r="B363" s="36">
        <v>202506</v>
      </c>
      <c r="C363" s="24" t="s">
        <v>128</v>
      </c>
      <c r="D363" s="24" t="s">
        <v>129</v>
      </c>
      <c r="E363" s="62">
        <v>45818</v>
      </c>
      <c r="F363" s="62">
        <v>46182</v>
      </c>
      <c r="G363" s="37" t="s">
        <v>490</v>
      </c>
      <c r="H363" s="36">
        <v>2147</v>
      </c>
      <c r="I363" s="63">
        <v>33139</v>
      </c>
      <c r="J363" s="24" t="s">
        <v>1139</v>
      </c>
      <c r="K363" s="63">
        <f t="shared" si="104"/>
        <v>45818</v>
      </c>
      <c r="L363" s="55">
        <f t="shared" si="105"/>
        <v>0.04</v>
      </c>
      <c r="M363" s="76">
        <v>0.22500000000000001</v>
      </c>
      <c r="N363" s="62">
        <v>45818</v>
      </c>
      <c r="O363" s="62">
        <v>46182</v>
      </c>
      <c r="P363" s="63"/>
      <c r="Q363" s="63"/>
      <c r="R363" s="82">
        <v>34</v>
      </c>
      <c r="S363" s="63" t="str">
        <f>VLOOKUP(R363,SA!$B$5:$C$11,2,1)</f>
        <v>0-35</v>
      </c>
      <c r="T363" s="38" t="s">
        <v>97</v>
      </c>
      <c r="U363" s="24" t="s">
        <v>115</v>
      </c>
      <c r="V363" s="24">
        <v>300000</v>
      </c>
      <c r="W363" s="39">
        <f t="shared" si="106"/>
        <v>0</v>
      </c>
      <c r="X363" s="29">
        <f t="shared" si="107"/>
        <v>0</v>
      </c>
      <c r="Y363" s="40">
        <f t="shared" si="108"/>
        <v>365</v>
      </c>
      <c r="Z363" s="38">
        <f t="shared" si="103"/>
        <v>46081</v>
      </c>
      <c r="AA363" s="41">
        <f t="shared" si="109"/>
        <v>264</v>
      </c>
      <c r="AB363" s="24" t="s">
        <v>125</v>
      </c>
      <c r="AC363" s="41">
        <f t="shared" si="110"/>
        <v>3874.2114000000001</v>
      </c>
      <c r="AD363" s="41">
        <v>1</v>
      </c>
      <c r="AE363" s="72">
        <f>IFERROR(INDEX(SA!$C$4:$E$11,MATCH(Details!S363,SA!$C$4:$C$11,0),MATCH(Details!V363,SA!$C$4:$E$4,0)),0)*Y363/(F363-E363+1)</f>
        <v>3283.23</v>
      </c>
      <c r="AF363" s="41">
        <f t="shared" si="111"/>
        <v>0</v>
      </c>
      <c r="AG363" s="41">
        <f t="shared" si="112"/>
        <v>0</v>
      </c>
      <c r="AH363" s="41">
        <f t="shared" si="113"/>
        <v>590.98140000000001</v>
      </c>
      <c r="AI363" s="60">
        <f t="shared" si="114"/>
        <v>131.32920000000001</v>
      </c>
      <c r="AJ363" s="60">
        <f t="shared" si="115"/>
        <v>738.72675000000004</v>
      </c>
      <c r="AK363" s="60">
        <f t="shared" si="116"/>
        <v>2374.7197808219175</v>
      </c>
      <c r="AL363" s="60">
        <f t="shared" si="117"/>
        <v>1745.4190389041094</v>
      </c>
      <c r="AM363" s="41">
        <f t="shared" si="118"/>
        <v>667.7550110958905</v>
      </c>
      <c r="AN363" s="42">
        <f t="shared" si="119"/>
        <v>45715</v>
      </c>
      <c r="AO363" s="43">
        <f t="shared" si="120"/>
        <v>3283.23</v>
      </c>
    </row>
    <row r="364" spans="1:41" s="24" customFormat="1" ht="15.75" customHeight="1" x14ac:dyDescent="0.35">
      <c r="A364" s="36" t="s">
        <v>27</v>
      </c>
      <c r="B364" s="36">
        <v>202506</v>
      </c>
      <c r="C364" s="24" t="s">
        <v>128</v>
      </c>
      <c r="D364" s="24" t="s">
        <v>129</v>
      </c>
      <c r="E364" s="62">
        <v>45818</v>
      </c>
      <c r="F364" s="62">
        <v>46182</v>
      </c>
      <c r="G364" s="37" t="s">
        <v>491</v>
      </c>
      <c r="H364" s="36">
        <v>2147</v>
      </c>
      <c r="I364" s="63">
        <v>42496</v>
      </c>
      <c r="J364" s="24" t="s">
        <v>1140</v>
      </c>
      <c r="K364" s="63">
        <f t="shared" si="104"/>
        <v>45818</v>
      </c>
      <c r="L364" s="55">
        <f t="shared" si="105"/>
        <v>0.04</v>
      </c>
      <c r="M364" s="76">
        <v>0.22500000000000001</v>
      </c>
      <c r="N364" s="62">
        <v>45818</v>
      </c>
      <c r="O364" s="62">
        <v>46182</v>
      </c>
      <c r="P364" s="63"/>
      <c r="Q364" s="63"/>
      <c r="R364" s="82">
        <v>9</v>
      </c>
      <c r="S364" s="63" t="str">
        <f>VLOOKUP(R364,SA!$B$5:$C$11,2,1)</f>
        <v>0-35</v>
      </c>
      <c r="T364" s="38" t="s">
        <v>97</v>
      </c>
      <c r="U364" s="24" t="s">
        <v>113</v>
      </c>
      <c r="V364" s="24">
        <v>300000</v>
      </c>
      <c r="W364" s="39">
        <f t="shared" si="106"/>
        <v>0</v>
      </c>
      <c r="X364" s="29">
        <f t="shared" si="107"/>
        <v>0</v>
      </c>
      <c r="Y364" s="40">
        <f t="shared" si="108"/>
        <v>365</v>
      </c>
      <c r="Z364" s="38">
        <f t="shared" si="103"/>
        <v>46081</v>
      </c>
      <c r="AA364" s="41">
        <f t="shared" si="109"/>
        <v>264</v>
      </c>
      <c r="AB364" s="24" t="s">
        <v>125</v>
      </c>
      <c r="AC364" s="41">
        <f t="shared" si="110"/>
        <v>3874.2114000000001</v>
      </c>
      <c r="AD364" s="41">
        <v>1</v>
      </c>
      <c r="AE364" s="72">
        <f>IFERROR(INDEX(SA!$C$4:$E$11,MATCH(Details!S364,SA!$C$4:$C$11,0),MATCH(Details!V364,SA!$C$4:$E$4,0)),0)*Y364/(F364-E364+1)</f>
        <v>3283.23</v>
      </c>
      <c r="AF364" s="41">
        <f t="shared" si="111"/>
        <v>0</v>
      </c>
      <c r="AG364" s="41">
        <f t="shared" si="112"/>
        <v>0</v>
      </c>
      <c r="AH364" s="41">
        <f t="shared" si="113"/>
        <v>590.98140000000001</v>
      </c>
      <c r="AI364" s="60">
        <f t="shared" si="114"/>
        <v>131.32920000000001</v>
      </c>
      <c r="AJ364" s="60">
        <f t="shared" si="115"/>
        <v>738.72675000000004</v>
      </c>
      <c r="AK364" s="60">
        <f t="shared" si="116"/>
        <v>2374.7197808219175</v>
      </c>
      <c r="AL364" s="60">
        <f t="shared" si="117"/>
        <v>1745.4190389041094</v>
      </c>
      <c r="AM364" s="41">
        <f t="shared" si="118"/>
        <v>667.7550110958905</v>
      </c>
      <c r="AN364" s="42">
        <f t="shared" si="119"/>
        <v>45715</v>
      </c>
      <c r="AO364" s="43">
        <f t="shared" si="120"/>
        <v>3283.23</v>
      </c>
    </row>
    <row r="365" spans="1:41" s="24" customFormat="1" ht="15.75" customHeight="1" x14ac:dyDescent="0.35">
      <c r="A365" s="36" t="s">
        <v>27</v>
      </c>
      <c r="B365" s="36">
        <v>202506</v>
      </c>
      <c r="C365" s="24" t="s">
        <v>128</v>
      </c>
      <c r="D365" s="24" t="s">
        <v>129</v>
      </c>
      <c r="E365" s="62">
        <v>45818</v>
      </c>
      <c r="F365" s="62">
        <v>46182</v>
      </c>
      <c r="G365" s="37" t="s">
        <v>492</v>
      </c>
      <c r="H365" s="36">
        <v>2147</v>
      </c>
      <c r="I365" s="63">
        <v>44471</v>
      </c>
      <c r="J365" s="24" t="s">
        <v>1141</v>
      </c>
      <c r="K365" s="63">
        <f t="shared" si="104"/>
        <v>45818</v>
      </c>
      <c r="L365" s="55">
        <f t="shared" si="105"/>
        <v>0.04</v>
      </c>
      <c r="M365" s="76">
        <v>0.22500000000000001</v>
      </c>
      <c r="N365" s="62">
        <v>45818</v>
      </c>
      <c r="O365" s="62">
        <v>46182</v>
      </c>
      <c r="P365" s="63"/>
      <c r="Q365" s="63"/>
      <c r="R365" s="82">
        <v>3</v>
      </c>
      <c r="S365" s="63" t="str">
        <f>VLOOKUP(R365,SA!$B$5:$C$11,2,1)</f>
        <v>0-35</v>
      </c>
      <c r="T365" s="38" t="s">
        <v>96</v>
      </c>
      <c r="U365" s="24" t="s">
        <v>114</v>
      </c>
      <c r="V365" s="24">
        <v>300000</v>
      </c>
      <c r="W365" s="39">
        <f t="shared" si="106"/>
        <v>0</v>
      </c>
      <c r="X365" s="29">
        <f t="shared" si="107"/>
        <v>0</v>
      </c>
      <c r="Y365" s="40">
        <f t="shared" si="108"/>
        <v>365</v>
      </c>
      <c r="Z365" s="38">
        <f t="shared" si="103"/>
        <v>46081</v>
      </c>
      <c r="AA365" s="41">
        <f t="shared" si="109"/>
        <v>264</v>
      </c>
      <c r="AB365" s="24" t="s">
        <v>125</v>
      </c>
      <c r="AC365" s="41">
        <f t="shared" si="110"/>
        <v>3874.2114000000001</v>
      </c>
      <c r="AD365" s="41">
        <v>1</v>
      </c>
      <c r="AE365" s="72">
        <f>IFERROR(INDEX(SA!$C$4:$E$11,MATCH(Details!S365,SA!$C$4:$C$11,0),MATCH(Details!V365,SA!$C$4:$E$4,0)),0)*Y365/(F365-E365+1)</f>
        <v>3283.23</v>
      </c>
      <c r="AF365" s="41">
        <f t="shared" si="111"/>
        <v>0</v>
      </c>
      <c r="AG365" s="41">
        <f t="shared" si="112"/>
        <v>0</v>
      </c>
      <c r="AH365" s="41">
        <f t="shared" si="113"/>
        <v>590.98140000000001</v>
      </c>
      <c r="AI365" s="60">
        <f t="shared" si="114"/>
        <v>131.32920000000001</v>
      </c>
      <c r="AJ365" s="60">
        <f t="shared" si="115"/>
        <v>738.72675000000004</v>
      </c>
      <c r="AK365" s="60">
        <f t="shared" si="116"/>
        <v>2374.7197808219175</v>
      </c>
      <c r="AL365" s="60">
        <f t="shared" si="117"/>
        <v>1745.4190389041094</v>
      </c>
      <c r="AM365" s="41">
        <f t="shared" si="118"/>
        <v>667.7550110958905</v>
      </c>
      <c r="AN365" s="42">
        <f t="shared" si="119"/>
        <v>45715</v>
      </c>
      <c r="AO365" s="43">
        <f t="shared" si="120"/>
        <v>3283.23</v>
      </c>
    </row>
    <row r="366" spans="1:41" s="24" customFormat="1" ht="15.75" customHeight="1" x14ac:dyDescent="0.35">
      <c r="A366" s="36" t="s">
        <v>27</v>
      </c>
      <c r="B366" s="36">
        <v>202506</v>
      </c>
      <c r="C366" s="24" t="s">
        <v>128</v>
      </c>
      <c r="D366" s="24" t="s">
        <v>129</v>
      </c>
      <c r="E366" s="62">
        <v>45818</v>
      </c>
      <c r="F366" s="62">
        <v>46182</v>
      </c>
      <c r="G366" s="37" t="s">
        <v>493</v>
      </c>
      <c r="H366" s="36">
        <v>2148</v>
      </c>
      <c r="I366" s="63">
        <v>30151</v>
      </c>
      <c r="J366" s="24" t="s">
        <v>1142</v>
      </c>
      <c r="K366" s="63">
        <f t="shared" si="104"/>
        <v>45818</v>
      </c>
      <c r="L366" s="55">
        <f t="shared" si="105"/>
        <v>0.04</v>
      </c>
      <c r="M366" s="76">
        <v>0.22500000000000001</v>
      </c>
      <c r="N366" s="62">
        <v>45818</v>
      </c>
      <c r="O366" s="62">
        <v>46182</v>
      </c>
      <c r="P366" s="63"/>
      <c r="Q366" s="63"/>
      <c r="R366" s="82">
        <v>42</v>
      </c>
      <c r="S366" s="63" t="str">
        <f>VLOOKUP(R366,SA!$B$5:$C$11,2,1)</f>
        <v>36-45</v>
      </c>
      <c r="T366" s="38" t="s">
        <v>96</v>
      </c>
      <c r="U366" s="24" t="s">
        <v>56</v>
      </c>
      <c r="V366" s="24">
        <v>300000</v>
      </c>
      <c r="W366" s="39">
        <f t="shared" si="106"/>
        <v>300000</v>
      </c>
      <c r="X366" s="29">
        <f t="shared" si="107"/>
        <v>1</v>
      </c>
      <c r="Y366" s="40">
        <f t="shared" si="108"/>
        <v>365</v>
      </c>
      <c r="Z366" s="38">
        <f t="shared" si="103"/>
        <v>46081</v>
      </c>
      <c r="AA366" s="41">
        <f t="shared" si="109"/>
        <v>264</v>
      </c>
      <c r="AB366" s="24" t="s">
        <v>125</v>
      </c>
      <c r="AC366" s="41">
        <f t="shared" si="110"/>
        <v>5017.3245999999999</v>
      </c>
      <c r="AD366" s="41">
        <v>1</v>
      </c>
      <c r="AE366" s="72">
        <f>IFERROR(INDEX(SA!$C$4:$E$11,MATCH(Details!S366,SA!$C$4:$C$11,0),MATCH(Details!V366,SA!$C$4:$E$4,0)),0)*Y366/(F366-E366+1)</f>
        <v>4251.97</v>
      </c>
      <c r="AF366" s="41">
        <f t="shared" si="111"/>
        <v>0</v>
      </c>
      <c r="AG366" s="41">
        <f t="shared" si="112"/>
        <v>0</v>
      </c>
      <c r="AH366" s="41">
        <f t="shared" si="113"/>
        <v>765.3546</v>
      </c>
      <c r="AI366" s="60">
        <f t="shared" si="114"/>
        <v>170.0788</v>
      </c>
      <c r="AJ366" s="60">
        <f t="shared" si="115"/>
        <v>956.69325000000003</v>
      </c>
      <c r="AK366" s="60">
        <f t="shared" si="116"/>
        <v>3075.397479452055</v>
      </c>
      <c r="AL366" s="60">
        <f t="shared" si="117"/>
        <v>2260.4171473972606</v>
      </c>
      <c r="AM366" s="41">
        <f t="shared" si="118"/>
        <v>864.78080260273941</v>
      </c>
      <c r="AN366" s="42">
        <f t="shared" si="119"/>
        <v>45715</v>
      </c>
      <c r="AO366" s="43">
        <f t="shared" si="120"/>
        <v>4251.97</v>
      </c>
    </row>
    <row r="367" spans="1:41" s="24" customFormat="1" ht="15.75" customHeight="1" x14ac:dyDescent="0.35">
      <c r="A367" s="36" t="s">
        <v>27</v>
      </c>
      <c r="B367" s="36">
        <v>202506</v>
      </c>
      <c r="C367" s="24" t="s">
        <v>128</v>
      </c>
      <c r="D367" s="24" t="s">
        <v>129</v>
      </c>
      <c r="E367" s="62">
        <v>45818</v>
      </c>
      <c r="F367" s="62">
        <v>46182</v>
      </c>
      <c r="G367" s="37" t="s">
        <v>494</v>
      </c>
      <c r="H367" s="36">
        <v>2148</v>
      </c>
      <c r="I367" s="63">
        <v>34584</v>
      </c>
      <c r="J367" s="24" t="s">
        <v>1143</v>
      </c>
      <c r="K367" s="63">
        <f t="shared" si="104"/>
        <v>45818</v>
      </c>
      <c r="L367" s="55">
        <f t="shared" si="105"/>
        <v>0.04</v>
      </c>
      <c r="M367" s="76">
        <v>0.22500000000000001</v>
      </c>
      <c r="N367" s="62">
        <v>45818</v>
      </c>
      <c r="O367" s="62">
        <v>46182</v>
      </c>
      <c r="P367" s="63"/>
      <c r="Q367" s="63"/>
      <c r="R367" s="82">
        <v>30</v>
      </c>
      <c r="S367" s="63" t="str">
        <f>VLOOKUP(R367,SA!$B$5:$C$11,2,1)</f>
        <v>0-35</v>
      </c>
      <c r="T367" s="38" t="s">
        <v>97</v>
      </c>
      <c r="U367" s="24" t="s">
        <v>115</v>
      </c>
      <c r="V367" s="24">
        <v>300000</v>
      </c>
      <c r="W367" s="39">
        <f t="shared" si="106"/>
        <v>0</v>
      </c>
      <c r="X367" s="29">
        <f t="shared" si="107"/>
        <v>0</v>
      </c>
      <c r="Y367" s="40">
        <f t="shared" si="108"/>
        <v>365</v>
      </c>
      <c r="Z367" s="38">
        <f t="shared" si="103"/>
        <v>46081</v>
      </c>
      <c r="AA367" s="41">
        <f t="shared" si="109"/>
        <v>264</v>
      </c>
      <c r="AB367" s="24" t="s">
        <v>125</v>
      </c>
      <c r="AC367" s="41">
        <f t="shared" si="110"/>
        <v>3874.2114000000001</v>
      </c>
      <c r="AD367" s="41">
        <v>1</v>
      </c>
      <c r="AE367" s="72">
        <f>IFERROR(INDEX(SA!$C$4:$E$11,MATCH(Details!S367,SA!$C$4:$C$11,0),MATCH(Details!V367,SA!$C$4:$E$4,0)),0)*Y367/(F367-E367+1)</f>
        <v>3283.23</v>
      </c>
      <c r="AF367" s="41">
        <f t="shared" si="111"/>
        <v>0</v>
      </c>
      <c r="AG367" s="41">
        <f t="shared" si="112"/>
        <v>0</v>
      </c>
      <c r="AH367" s="41">
        <f t="shared" si="113"/>
        <v>590.98140000000001</v>
      </c>
      <c r="AI367" s="60">
        <f t="shared" si="114"/>
        <v>131.32920000000001</v>
      </c>
      <c r="AJ367" s="60">
        <f t="shared" si="115"/>
        <v>738.72675000000004</v>
      </c>
      <c r="AK367" s="60">
        <f t="shared" si="116"/>
        <v>2374.7197808219175</v>
      </c>
      <c r="AL367" s="60">
        <f t="shared" si="117"/>
        <v>1745.4190389041094</v>
      </c>
      <c r="AM367" s="41">
        <f t="shared" si="118"/>
        <v>667.7550110958905</v>
      </c>
      <c r="AN367" s="42">
        <f t="shared" si="119"/>
        <v>45715</v>
      </c>
      <c r="AO367" s="43">
        <f t="shared" si="120"/>
        <v>3283.23</v>
      </c>
    </row>
    <row r="368" spans="1:41" s="24" customFormat="1" ht="15.75" customHeight="1" x14ac:dyDescent="0.35">
      <c r="A368" s="36" t="s">
        <v>27</v>
      </c>
      <c r="B368" s="36">
        <v>202506</v>
      </c>
      <c r="C368" s="24" t="s">
        <v>128</v>
      </c>
      <c r="D368" s="24" t="s">
        <v>129</v>
      </c>
      <c r="E368" s="62">
        <v>45818</v>
      </c>
      <c r="F368" s="62">
        <v>46182</v>
      </c>
      <c r="G368" s="37" t="s">
        <v>495</v>
      </c>
      <c r="H368" s="36">
        <v>2150</v>
      </c>
      <c r="I368" s="63">
        <v>30548</v>
      </c>
      <c r="J368" s="24" t="s">
        <v>1144</v>
      </c>
      <c r="K368" s="63">
        <f t="shared" si="104"/>
        <v>45818</v>
      </c>
      <c r="L368" s="55">
        <f t="shared" si="105"/>
        <v>0.04</v>
      </c>
      <c r="M368" s="76">
        <v>0.22500000000000001</v>
      </c>
      <c r="N368" s="62">
        <v>45818</v>
      </c>
      <c r="O368" s="62">
        <v>46182</v>
      </c>
      <c r="P368" s="63"/>
      <c r="Q368" s="63"/>
      <c r="R368" s="82">
        <v>41</v>
      </c>
      <c r="S368" s="63" t="str">
        <f>VLOOKUP(R368,SA!$B$5:$C$11,2,1)</f>
        <v>36-45</v>
      </c>
      <c r="T368" s="38" t="s">
        <v>96</v>
      </c>
      <c r="U368" s="24" t="s">
        <v>56</v>
      </c>
      <c r="V368" s="24">
        <v>300000</v>
      </c>
      <c r="W368" s="39">
        <f t="shared" si="106"/>
        <v>300000</v>
      </c>
      <c r="X368" s="29">
        <f t="shared" si="107"/>
        <v>1</v>
      </c>
      <c r="Y368" s="40">
        <f t="shared" si="108"/>
        <v>365</v>
      </c>
      <c r="Z368" s="38">
        <f t="shared" si="103"/>
        <v>46081</v>
      </c>
      <c r="AA368" s="41">
        <f t="shared" si="109"/>
        <v>264</v>
      </c>
      <c r="AB368" s="24" t="s">
        <v>125</v>
      </c>
      <c r="AC368" s="41">
        <f t="shared" si="110"/>
        <v>5017.3245999999999</v>
      </c>
      <c r="AD368" s="41">
        <v>1</v>
      </c>
      <c r="AE368" s="72">
        <f>IFERROR(INDEX(SA!$C$4:$E$11,MATCH(Details!S368,SA!$C$4:$C$11,0),MATCH(Details!V368,SA!$C$4:$E$4,0)),0)*Y368/(F368-E368+1)</f>
        <v>4251.97</v>
      </c>
      <c r="AF368" s="41">
        <f t="shared" si="111"/>
        <v>0</v>
      </c>
      <c r="AG368" s="41">
        <f t="shared" si="112"/>
        <v>0</v>
      </c>
      <c r="AH368" s="41">
        <f t="shared" si="113"/>
        <v>765.3546</v>
      </c>
      <c r="AI368" s="60">
        <f t="shared" si="114"/>
        <v>170.0788</v>
      </c>
      <c r="AJ368" s="60">
        <f t="shared" si="115"/>
        <v>956.69325000000003</v>
      </c>
      <c r="AK368" s="60">
        <f t="shared" si="116"/>
        <v>3075.397479452055</v>
      </c>
      <c r="AL368" s="60">
        <f t="shared" si="117"/>
        <v>2260.4171473972606</v>
      </c>
      <c r="AM368" s="41">
        <f t="shared" si="118"/>
        <v>864.78080260273941</v>
      </c>
      <c r="AN368" s="42">
        <f t="shared" si="119"/>
        <v>45715</v>
      </c>
      <c r="AO368" s="43">
        <f t="shared" si="120"/>
        <v>4251.97</v>
      </c>
    </row>
    <row r="369" spans="1:41" s="24" customFormat="1" ht="15.75" customHeight="1" x14ac:dyDescent="0.35">
      <c r="A369" s="36" t="s">
        <v>27</v>
      </c>
      <c r="B369" s="36">
        <v>202506</v>
      </c>
      <c r="C369" s="24" t="s">
        <v>128</v>
      </c>
      <c r="D369" s="24" t="s">
        <v>129</v>
      </c>
      <c r="E369" s="62">
        <v>45818</v>
      </c>
      <c r="F369" s="62">
        <v>46182</v>
      </c>
      <c r="G369" s="37" t="s">
        <v>496</v>
      </c>
      <c r="H369" s="36">
        <v>2150</v>
      </c>
      <c r="I369" s="63">
        <v>43858</v>
      </c>
      <c r="J369" s="24" t="s">
        <v>1145</v>
      </c>
      <c r="K369" s="63">
        <f t="shared" si="104"/>
        <v>45818</v>
      </c>
      <c r="L369" s="55">
        <f t="shared" si="105"/>
        <v>0.04</v>
      </c>
      <c r="M369" s="76">
        <v>0.22500000000000001</v>
      </c>
      <c r="N369" s="62">
        <v>45818</v>
      </c>
      <c r="O369" s="62">
        <v>46182</v>
      </c>
      <c r="P369" s="63"/>
      <c r="Q369" s="63"/>
      <c r="R369" s="82">
        <v>5</v>
      </c>
      <c r="S369" s="63" t="str">
        <f>VLOOKUP(R369,SA!$B$5:$C$11,2,1)</f>
        <v>0-35</v>
      </c>
      <c r="T369" s="38" t="s">
        <v>96</v>
      </c>
      <c r="U369" s="24" t="s">
        <v>114</v>
      </c>
      <c r="V369" s="24">
        <v>300000</v>
      </c>
      <c r="W369" s="39">
        <f t="shared" si="106"/>
        <v>0</v>
      </c>
      <c r="X369" s="29">
        <f t="shared" si="107"/>
        <v>0</v>
      </c>
      <c r="Y369" s="40">
        <f t="shared" si="108"/>
        <v>365</v>
      </c>
      <c r="Z369" s="38">
        <f t="shared" si="103"/>
        <v>46081</v>
      </c>
      <c r="AA369" s="41">
        <f t="shared" si="109"/>
        <v>264</v>
      </c>
      <c r="AB369" s="24" t="s">
        <v>125</v>
      </c>
      <c r="AC369" s="41">
        <f t="shared" si="110"/>
        <v>3874.2114000000001</v>
      </c>
      <c r="AD369" s="41">
        <v>1</v>
      </c>
      <c r="AE369" s="72">
        <f>IFERROR(INDEX(SA!$C$4:$E$11,MATCH(Details!S369,SA!$C$4:$C$11,0),MATCH(Details!V369,SA!$C$4:$E$4,0)),0)*Y369/(F369-E369+1)</f>
        <v>3283.23</v>
      </c>
      <c r="AF369" s="41">
        <f t="shared" si="111"/>
        <v>0</v>
      </c>
      <c r="AG369" s="41">
        <f t="shared" si="112"/>
        <v>0</v>
      </c>
      <c r="AH369" s="41">
        <f t="shared" si="113"/>
        <v>590.98140000000001</v>
      </c>
      <c r="AI369" s="60">
        <f t="shared" si="114"/>
        <v>131.32920000000001</v>
      </c>
      <c r="AJ369" s="60">
        <f t="shared" si="115"/>
        <v>738.72675000000004</v>
      </c>
      <c r="AK369" s="60">
        <f t="shared" si="116"/>
        <v>2374.7197808219175</v>
      </c>
      <c r="AL369" s="60">
        <f t="shared" si="117"/>
        <v>1745.4190389041094</v>
      </c>
      <c r="AM369" s="41">
        <f t="shared" si="118"/>
        <v>667.7550110958905</v>
      </c>
      <c r="AN369" s="42">
        <f t="shared" si="119"/>
        <v>45715</v>
      </c>
      <c r="AO369" s="43">
        <f t="shared" si="120"/>
        <v>3283.23</v>
      </c>
    </row>
    <row r="370" spans="1:41" s="24" customFormat="1" ht="15.75" customHeight="1" x14ac:dyDescent="0.35">
      <c r="A370" s="36" t="s">
        <v>27</v>
      </c>
      <c r="B370" s="36">
        <v>202506</v>
      </c>
      <c r="C370" s="24" t="s">
        <v>128</v>
      </c>
      <c r="D370" s="24" t="s">
        <v>129</v>
      </c>
      <c r="E370" s="62">
        <v>45818</v>
      </c>
      <c r="F370" s="62">
        <v>46182</v>
      </c>
      <c r="G370" s="37" t="s">
        <v>497</v>
      </c>
      <c r="H370" s="36">
        <v>2150</v>
      </c>
      <c r="I370" s="63">
        <v>33299</v>
      </c>
      <c r="J370" s="24" t="s">
        <v>1146</v>
      </c>
      <c r="K370" s="63">
        <f t="shared" si="104"/>
        <v>45818</v>
      </c>
      <c r="L370" s="55">
        <f t="shared" si="105"/>
        <v>0.04</v>
      </c>
      <c r="M370" s="76">
        <v>0.22500000000000001</v>
      </c>
      <c r="N370" s="62">
        <v>45818</v>
      </c>
      <c r="O370" s="62">
        <v>46182</v>
      </c>
      <c r="P370" s="63"/>
      <c r="Q370" s="63"/>
      <c r="R370" s="82">
        <v>34</v>
      </c>
      <c r="S370" s="63" t="str">
        <f>VLOOKUP(R370,SA!$B$5:$C$11,2,1)</f>
        <v>0-35</v>
      </c>
      <c r="T370" s="38" t="s">
        <v>97</v>
      </c>
      <c r="U370" s="24" t="s">
        <v>115</v>
      </c>
      <c r="V370" s="24">
        <v>300000</v>
      </c>
      <c r="W370" s="39">
        <f t="shared" si="106"/>
        <v>0</v>
      </c>
      <c r="X370" s="29">
        <f t="shared" si="107"/>
        <v>0</v>
      </c>
      <c r="Y370" s="40">
        <f t="shared" si="108"/>
        <v>365</v>
      </c>
      <c r="Z370" s="38">
        <f t="shared" si="103"/>
        <v>46081</v>
      </c>
      <c r="AA370" s="41">
        <f t="shared" si="109"/>
        <v>264</v>
      </c>
      <c r="AB370" s="24" t="s">
        <v>125</v>
      </c>
      <c r="AC370" s="41">
        <f t="shared" si="110"/>
        <v>3874.2114000000001</v>
      </c>
      <c r="AD370" s="41">
        <v>1</v>
      </c>
      <c r="AE370" s="72">
        <f>IFERROR(INDEX(SA!$C$4:$E$11,MATCH(Details!S370,SA!$C$4:$C$11,0),MATCH(Details!V370,SA!$C$4:$E$4,0)),0)*Y370/(F370-E370+1)</f>
        <v>3283.23</v>
      </c>
      <c r="AF370" s="41">
        <f t="shared" si="111"/>
        <v>0</v>
      </c>
      <c r="AG370" s="41">
        <f t="shared" si="112"/>
        <v>0</v>
      </c>
      <c r="AH370" s="41">
        <f t="shared" si="113"/>
        <v>590.98140000000001</v>
      </c>
      <c r="AI370" s="60">
        <f t="shared" si="114"/>
        <v>131.32920000000001</v>
      </c>
      <c r="AJ370" s="60">
        <f t="shared" si="115"/>
        <v>738.72675000000004</v>
      </c>
      <c r="AK370" s="60">
        <f t="shared" si="116"/>
        <v>2374.7197808219175</v>
      </c>
      <c r="AL370" s="60">
        <f t="shared" si="117"/>
        <v>1745.4190389041094</v>
      </c>
      <c r="AM370" s="41">
        <f t="shared" si="118"/>
        <v>667.7550110958905</v>
      </c>
      <c r="AN370" s="42">
        <f t="shared" si="119"/>
        <v>45715</v>
      </c>
      <c r="AO370" s="43">
        <f t="shared" si="120"/>
        <v>3283.23</v>
      </c>
    </row>
    <row r="371" spans="1:41" s="24" customFormat="1" ht="15.75" customHeight="1" x14ac:dyDescent="0.35">
      <c r="A371" s="36" t="s">
        <v>27</v>
      </c>
      <c r="B371" s="36">
        <v>202506</v>
      </c>
      <c r="C371" s="24" t="s">
        <v>128</v>
      </c>
      <c r="D371" s="24" t="s">
        <v>129</v>
      </c>
      <c r="E371" s="62">
        <v>45818</v>
      </c>
      <c r="F371" s="62">
        <v>46182</v>
      </c>
      <c r="G371" s="37" t="s">
        <v>498</v>
      </c>
      <c r="H371" s="36">
        <v>2153</v>
      </c>
      <c r="I371" s="63">
        <v>27549</v>
      </c>
      <c r="J371" s="24" t="s">
        <v>1147</v>
      </c>
      <c r="K371" s="63">
        <f t="shared" si="104"/>
        <v>45818</v>
      </c>
      <c r="L371" s="55">
        <f t="shared" si="105"/>
        <v>0.04</v>
      </c>
      <c r="M371" s="76">
        <v>0.22500000000000001</v>
      </c>
      <c r="N371" s="62">
        <v>45818</v>
      </c>
      <c r="O371" s="62">
        <v>46182</v>
      </c>
      <c r="P371" s="63"/>
      <c r="Q371" s="63"/>
      <c r="R371" s="82">
        <v>50</v>
      </c>
      <c r="S371" s="63" t="str">
        <f>VLOOKUP(R371,SA!$B$5:$C$11,2,1)</f>
        <v>46-55</v>
      </c>
      <c r="T371" s="38" t="s">
        <v>96</v>
      </c>
      <c r="U371" s="24" t="s">
        <v>56</v>
      </c>
      <c r="V371" s="24">
        <v>300000</v>
      </c>
      <c r="W371" s="39">
        <f t="shared" si="106"/>
        <v>300000</v>
      </c>
      <c r="X371" s="29">
        <f t="shared" si="107"/>
        <v>1</v>
      </c>
      <c r="Y371" s="40">
        <f t="shared" si="108"/>
        <v>365</v>
      </c>
      <c r="Z371" s="38">
        <f t="shared" si="103"/>
        <v>46081</v>
      </c>
      <c r="AA371" s="41">
        <f t="shared" si="109"/>
        <v>264</v>
      </c>
      <c r="AB371" s="24" t="s">
        <v>125</v>
      </c>
      <c r="AC371" s="41">
        <f t="shared" si="110"/>
        <v>9586.9925999999996</v>
      </c>
      <c r="AD371" s="41">
        <v>1</v>
      </c>
      <c r="AE371" s="72">
        <f>IFERROR(INDEX(SA!$C$4:$E$11,MATCH(Details!S371,SA!$C$4:$C$11,0),MATCH(Details!V371,SA!$C$4:$E$4,0)),0)*Y371/(F371-E371+1)</f>
        <v>8124.57</v>
      </c>
      <c r="AF371" s="41">
        <f t="shared" si="111"/>
        <v>0</v>
      </c>
      <c r="AG371" s="41">
        <f t="shared" si="112"/>
        <v>0</v>
      </c>
      <c r="AH371" s="41">
        <f t="shared" si="113"/>
        <v>1462.4225999999999</v>
      </c>
      <c r="AI371" s="60">
        <f t="shared" si="114"/>
        <v>324.9828</v>
      </c>
      <c r="AJ371" s="60">
        <f t="shared" si="115"/>
        <v>1828.0282500000001</v>
      </c>
      <c r="AK371" s="60">
        <f t="shared" si="116"/>
        <v>5876.4013150684932</v>
      </c>
      <c r="AL371" s="60">
        <f t="shared" si="117"/>
        <v>4319.1549665753428</v>
      </c>
      <c r="AM371" s="41">
        <f t="shared" si="118"/>
        <v>1652.4039834246571</v>
      </c>
      <c r="AN371" s="42">
        <f t="shared" si="119"/>
        <v>45715</v>
      </c>
      <c r="AO371" s="43">
        <f t="shared" si="120"/>
        <v>8124.57</v>
      </c>
    </row>
    <row r="372" spans="1:41" s="24" customFormat="1" ht="15.75" customHeight="1" x14ac:dyDescent="0.35">
      <c r="A372" s="36" t="s">
        <v>27</v>
      </c>
      <c r="B372" s="36">
        <v>202506</v>
      </c>
      <c r="C372" s="24" t="s">
        <v>128</v>
      </c>
      <c r="D372" s="24" t="s">
        <v>129</v>
      </c>
      <c r="E372" s="62">
        <v>45818</v>
      </c>
      <c r="F372" s="62">
        <v>46182</v>
      </c>
      <c r="G372" s="37" t="s">
        <v>499</v>
      </c>
      <c r="H372" s="36">
        <v>2153</v>
      </c>
      <c r="I372" s="63">
        <v>29238</v>
      </c>
      <c r="J372" s="24" t="s">
        <v>1148</v>
      </c>
      <c r="K372" s="63">
        <f t="shared" si="104"/>
        <v>45818</v>
      </c>
      <c r="L372" s="55">
        <f t="shared" si="105"/>
        <v>0.04</v>
      </c>
      <c r="M372" s="76">
        <v>0.22500000000000001</v>
      </c>
      <c r="N372" s="62">
        <v>45818</v>
      </c>
      <c r="O372" s="62">
        <v>46182</v>
      </c>
      <c r="P372" s="63"/>
      <c r="Q372" s="63"/>
      <c r="R372" s="82">
        <v>45</v>
      </c>
      <c r="S372" s="63" t="str">
        <f>VLOOKUP(R372,SA!$B$5:$C$11,2,1)</f>
        <v>36-45</v>
      </c>
      <c r="T372" s="38" t="s">
        <v>97</v>
      </c>
      <c r="U372" s="24" t="s">
        <v>115</v>
      </c>
      <c r="V372" s="24">
        <v>300000</v>
      </c>
      <c r="W372" s="39">
        <f t="shared" si="106"/>
        <v>0</v>
      </c>
      <c r="X372" s="29">
        <f t="shared" si="107"/>
        <v>0</v>
      </c>
      <c r="Y372" s="40">
        <f t="shared" si="108"/>
        <v>365</v>
      </c>
      <c r="Z372" s="38">
        <f t="shared" si="103"/>
        <v>46081</v>
      </c>
      <c r="AA372" s="41">
        <f t="shared" si="109"/>
        <v>264</v>
      </c>
      <c r="AB372" s="24" t="s">
        <v>125</v>
      </c>
      <c r="AC372" s="41">
        <f t="shared" si="110"/>
        <v>5017.3245999999999</v>
      </c>
      <c r="AD372" s="41">
        <v>1</v>
      </c>
      <c r="AE372" s="72">
        <f>IFERROR(INDEX(SA!$C$4:$E$11,MATCH(Details!S372,SA!$C$4:$C$11,0),MATCH(Details!V372,SA!$C$4:$E$4,0)),0)*Y372/(F372-E372+1)</f>
        <v>4251.97</v>
      </c>
      <c r="AF372" s="41">
        <f t="shared" si="111"/>
        <v>0</v>
      </c>
      <c r="AG372" s="41">
        <f t="shared" si="112"/>
        <v>0</v>
      </c>
      <c r="AH372" s="41">
        <f t="shared" si="113"/>
        <v>765.3546</v>
      </c>
      <c r="AI372" s="60">
        <f t="shared" si="114"/>
        <v>170.0788</v>
      </c>
      <c r="AJ372" s="60">
        <f t="shared" si="115"/>
        <v>956.69325000000003</v>
      </c>
      <c r="AK372" s="60">
        <f t="shared" si="116"/>
        <v>3075.397479452055</v>
      </c>
      <c r="AL372" s="60">
        <f t="shared" si="117"/>
        <v>2260.4171473972606</v>
      </c>
      <c r="AM372" s="41">
        <f t="shared" si="118"/>
        <v>864.78080260273941</v>
      </c>
      <c r="AN372" s="42">
        <f t="shared" si="119"/>
        <v>45715</v>
      </c>
      <c r="AO372" s="43">
        <f t="shared" si="120"/>
        <v>4251.97</v>
      </c>
    </row>
    <row r="373" spans="1:41" s="24" customFormat="1" ht="15.75" customHeight="1" x14ac:dyDescent="0.35">
      <c r="A373" s="36" t="s">
        <v>27</v>
      </c>
      <c r="B373" s="36">
        <v>202506</v>
      </c>
      <c r="C373" s="24" t="s">
        <v>128</v>
      </c>
      <c r="D373" s="24" t="s">
        <v>129</v>
      </c>
      <c r="E373" s="62">
        <v>45818</v>
      </c>
      <c r="F373" s="62">
        <v>46182</v>
      </c>
      <c r="G373" s="37" t="s">
        <v>500</v>
      </c>
      <c r="H373" s="36">
        <v>2153</v>
      </c>
      <c r="I373" s="63">
        <v>38509</v>
      </c>
      <c r="J373" s="24" t="s">
        <v>1149</v>
      </c>
      <c r="K373" s="63">
        <f t="shared" si="104"/>
        <v>45818</v>
      </c>
      <c r="L373" s="55">
        <f t="shared" si="105"/>
        <v>0.04</v>
      </c>
      <c r="M373" s="76">
        <v>0.22500000000000001</v>
      </c>
      <c r="N373" s="62">
        <v>45818</v>
      </c>
      <c r="O373" s="62">
        <v>46182</v>
      </c>
      <c r="P373" s="63"/>
      <c r="Q373" s="63"/>
      <c r="R373" s="82">
        <v>20</v>
      </c>
      <c r="S373" s="63" t="str">
        <f>VLOOKUP(R373,SA!$B$5:$C$11,2,1)</f>
        <v>0-35</v>
      </c>
      <c r="T373" s="38" t="s">
        <v>96</v>
      </c>
      <c r="U373" s="24" t="s">
        <v>114</v>
      </c>
      <c r="V373" s="24">
        <v>300000</v>
      </c>
      <c r="W373" s="39">
        <f t="shared" si="106"/>
        <v>0</v>
      </c>
      <c r="X373" s="29">
        <f t="shared" si="107"/>
        <v>0</v>
      </c>
      <c r="Y373" s="40">
        <f t="shared" si="108"/>
        <v>365</v>
      </c>
      <c r="Z373" s="38">
        <f t="shared" si="103"/>
        <v>46081</v>
      </c>
      <c r="AA373" s="41">
        <f t="shared" si="109"/>
        <v>264</v>
      </c>
      <c r="AB373" s="24" t="s">
        <v>125</v>
      </c>
      <c r="AC373" s="41">
        <f t="shared" si="110"/>
        <v>3874.2114000000001</v>
      </c>
      <c r="AD373" s="41">
        <v>1</v>
      </c>
      <c r="AE373" s="72">
        <f>IFERROR(INDEX(SA!$C$4:$E$11,MATCH(Details!S373,SA!$C$4:$C$11,0),MATCH(Details!V373,SA!$C$4:$E$4,0)),0)*Y373/(F373-E373+1)</f>
        <v>3283.23</v>
      </c>
      <c r="AF373" s="41">
        <f t="shared" si="111"/>
        <v>0</v>
      </c>
      <c r="AG373" s="41">
        <f t="shared" si="112"/>
        <v>0</v>
      </c>
      <c r="AH373" s="41">
        <f t="shared" si="113"/>
        <v>590.98140000000001</v>
      </c>
      <c r="AI373" s="60">
        <f t="shared" si="114"/>
        <v>131.32920000000001</v>
      </c>
      <c r="AJ373" s="60">
        <f t="shared" si="115"/>
        <v>738.72675000000004</v>
      </c>
      <c r="AK373" s="60">
        <f t="shared" si="116"/>
        <v>2374.7197808219175</v>
      </c>
      <c r="AL373" s="60">
        <f t="shared" si="117"/>
        <v>1745.4190389041094</v>
      </c>
      <c r="AM373" s="41">
        <f t="shared" si="118"/>
        <v>667.7550110958905</v>
      </c>
      <c r="AN373" s="42">
        <f t="shared" si="119"/>
        <v>45715</v>
      </c>
      <c r="AO373" s="43">
        <f t="shared" si="120"/>
        <v>3283.23</v>
      </c>
    </row>
    <row r="374" spans="1:41" s="24" customFormat="1" ht="15.75" customHeight="1" x14ac:dyDescent="0.35">
      <c r="A374" s="36" t="s">
        <v>27</v>
      </c>
      <c r="B374" s="36">
        <v>202506</v>
      </c>
      <c r="C374" s="24" t="s">
        <v>128</v>
      </c>
      <c r="D374" s="24" t="s">
        <v>129</v>
      </c>
      <c r="E374" s="62">
        <v>45818</v>
      </c>
      <c r="F374" s="62">
        <v>46182</v>
      </c>
      <c r="G374" s="37" t="s">
        <v>501</v>
      </c>
      <c r="H374" s="36">
        <v>2153</v>
      </c>
      <c r="I374" s="63">
        <v>37883</v>
      </c>
      <c r="J374" s="24" t="s">
        <v>1150</v>
      </c>
      <c r="K374" s="63">
        <f t="shared" si="104"/>
        <v>45818</v>
      </c>
      <c r="L374" s="55">
        <f t="shared" si="105"/>
        <v>0.04</v>
      </c>
      <c r="M374" s="76">
        <v>0.22500000000000001</v>
      </c>
      <c r="N374" s="62">
        <v>45818</v>
      </c>
      <c r="O374" s="62">
        <v>46182</v>
      </c>
      <c r="P374" s="63"/>
      <c r="Q374" s="63"/>
      <c r="R374" s="82">
        <v>21</v>
      </c>
      <c r="S374" s="63" t="str">
        <f>VLOOKUP(R374,SA!$B$5:$C$11,2,1)</f>
        <v>0-35</v>
      </c>
      <c r="T374" s="38" t="s">
        <v>97</v>
      </c>
      <c r="U374" s="24" t="s">
        <v>113</v>
      </c>
      <c r="V374" s="24">
        <v>300000</v>
      </c>
      <c r="W374" s="39">
        <f t="shared" si="106"/>
        <v>0</v>
      </c>
      <c r="X374" s="29">
        <f t="shared" si="107"/>
        <v>0</v>
      </c>
      <c r="Y374" s="40">
        <f t="shared" si="108"/>
        <v>365</v>
      </c>
      <c r="Z374" s="38">
        <f t="shared" si="103"/>
        <v>46081</v>
      </c>
      <c r="AA374" s="41">
        <f t="shared" si="109"/>
        <v>264</v>
      </c>
      <c r="AB374" s="24" t="s">
        <v>125</v>
      </c>
      <c r="AC374" s="41">
        <f t="shared" si="110"/>
        <v>3874.2114000000001</v>
      </c>
      <c r="AD374" s="41">
        <v>1</v>
      </c>
      <c r="AE374" s="72">
        <f>IFERROR(INDEX(SA!$C$4:$E$11,MATCH(Details!S374,SA!$C$4:$C$11,0),MATCH(Details!V374,SA!$C$4:$E$4,0)),0)*Y374/(F374-E374+1)</f>
        <v>3283.23</v>
      </c>
      <c r="AF374" s="41">
        <f t="shared" si="111"/>
        <v>0</v>
      </c>
      <c r="AG374" s="41">
        <f t="shared" si="112"/>
        <v>0</v>
      </c>
      <c r="AH374" s="41">
        <f t="shared" si="113"/>
        <v>590.98140000000001</v>
      </c>
      <c r="AI374" s="60">
        <f t="shared" si="114"/>
        <v>131.32920000000001</v>
      </c>
      <c r="AJ374" s="60">
        <f t="shared" si="115"/>
        <v>738.72675000000004</v>
      </c>
      <c r="AK374" s="60">
        <f t="shared" si="116"/>
        <v>2374.7197808219175</v>
      </c>
      <c r="AL374" s="60">
        <f t="shared" si="117"/>
        <v>1745.4190389041094</v>
      </c>
      <c r="AM374" s="41">
        <f t="shared" si="118"/>
        <v>667.7550110958905</v>
      </c>
      <c r="AN374" s="42">
        <f t="shared" si="119"/>
        <v>45715</v>
      </c>
      <c r="AO374" s="43">
        <f t="shared" si="120"/>
        <v>3283.23</v>
      </c>
    </row>
    <row r="375" spans="1:41" s="24" customFormat="1" ht="15.75" customHeight="1" x14ac:dyDescent="0.35">
      <c r="A375" s="36" t="s">
        <v>27</v>
      </c>
      <c r="B375" s="36">
        <v>202506</v>
      </c>
      <c r="C375" s="24" t="s">
        <v>128</v>
      </c>
      <c r="D375" s="24" t="s">
        <v>129</v>
      </c>
      <c r="E375" s="62">
        <v>45818</v>
      </c>
      <c r="F375" s="62">
        <v>46182</v>
      </c>
      <c r="G375" s="37" t="s">
        <v>502</v>
      </c>
      <c r="H375" s="36">
        <v>2154</v>
      </c>
      <c r="I375" s="63">
        <v>32639</v>
      </c>
      <c r="J375" s="24" t="s">
        <v>1151</v>
      </c>
      <c r="K375" s="63">
        <f t="shared" si="104"/>
        <v>45818</v>
      </c>
      <c r="L375" s="55">
        <f t="shared" si="105"/>
        <v>0.04</v>
      </c>
      <c r="M375" s="76">
        <v>0.22500000000000001</v>
      </c>
      <c r="N375" s="62">
        <v>45818</v>
      </c>
      <c r="O375" s="62">
        <v>46182</v>
      </c>
      <c r="P375" s="63"/>
      <c r="Q375" s="63"/>
      <c r="R375" s="82">
        <v>36</v>
      </c>
      <c r="S375" s="63" t="str">
        <f>VLOOKUP(R375,SA!$B$5:$C$11,2,1)</f>
        <v>36-45</v>
      </c>
      <c r="T375" s="38" t="s">
        <v>96</v>
      </c>
      <c r="U375" s="24" t="s">
        <v>56</v>
      </c>
      <c r="V375" s="24">
        <v>300000</v>
      </c>
      <c r="W375" s="39">
        <f t="shared" si="106"/>
        <v>300000</v>
      </c>
      <c r="X375" s="29">
        <f t="shared" si="107"/>
        <v>1</v>
      </c>
      <c r="Y375" s="40">
        <f t="shared" si="108"/>
        <v>365</v>
      </c>
      <c r="Z375" s="38">
        <f t="shared" si="103"/>
        <v>46081</v>
      </c>
      <c r="AA375" s="41">
        <f t="shared" si="109"/>
        <v>264</v>
      </c>
      <c r="AB375" s="24" t="s">
        <v>125</v>
      </c>
      <c r="AC375" s="41">
        <f t="shared" si="110"/>
        <v>5017.3245999999999</v>
      </c>
      <c r="AD375" s="41">
        <v>1</v>
      </c>
      <c r="AE375" s="72">
        <f>IFERROR(INDEX(SA!$C$4:$E$11,MATCH(Details!S375,SA!$C$4:$C$11,0),MATCH(Details!V375,SA!$C$4:$E$4,0)),0)*Y375/(F375-E375+1)</f>
        <v>4251.97</v>
      </c>
      <c r="AF375" s="41">
        <f t="shared" si="111"/>
        <v>0</v>
      </c>
      <c r="AG375" s="41">
        <f t="shared" si="112"/>
        <v>0</v>
      </c>
      <c r="AH375" s="41">
        <f t="shared" si="113"/>
        <v>765.3546</v>
      </c>
      <c r="AI375" s="60">
        <f t="shared" si="114"/>
        <v>170.0788</v>
      </c>
      <c r="AJ375" s="60">
        <f t="shared" si="115"/>
        <v>956.69325000000003</v>
      </c>
      <c r="AK375" s="60">
        <f t="shared" si="116"/>
        <v>3075.397479452055</v>
      </c>
      <c r="AL375" s="60">
        <f t="shared" si="117"/>
        <v>2260.4171473972606</v>
      </c>
      <c r="AM375" s="41">
        <f t="shared" si="118"/>
        <v>864.78080260273941</v>
      </c>
      <c r="AN375" s="42">
        <f t="shared" si="119"/>
        <v>45715</v>
      </c>
      <c r="AO375" s="43">
        <f t="shared" si="120"/>
        <v>4251.97</v>
      </c>
    </row>
    <row r="376" spans="1:41" s="24" customFormat="1" ht="15.75" customHeight="1" x14ac:dyDescent="0.35">
      <c r="A376" s="36" t="s">
        <v>27</v>
      </c>
      <c r="B376" s="36">
        <v>202506</v>
      </c>
      <c r="C376" s="24" t="s">
        <v>128</v>
      </c>
      <c r="D376" s="24" t="s">
        <v>129</v>
      </c>
      <c r="E376" s="62">
        <v>45818</v>
      </c>
      <c r="F376" s="62">
        <v>46182</v>
      </c>
      <c r="G376" s="37" t="s">
        <v>503</v>
      </c>
      <c r="H376" s="36">
        <v>2154</v>
      </c>
      <c r="I376" s="63">
        <v>42271</v>
      </c>
      <c r="J376" s="24" t="s">
        <v>1152</v>
      </c>
      <c r="K376" s="63">
        <f t="shared" si="104"/>
        <v>45818</v>
      </c>
      <c r="L376" s="55">
        <f t="shared" si="105"/>
        <v>0.04</v>
      </c>
      <c r="M376" s="76">
        <v>0.22500000000000001</v>
      </c>
      <c r="N376" s="62">
        <v>45818</v>
      </c>
      <c r="O376" s="62">
        <v>46182</v>
      </c>
      <c r="P376" s="63"/>
      <c r="Q376" s="63"/>
      <c r="R376" s="82">
        <v>9</v>
      </c>
      <c r="S376" s="63" t="str">
        <f>VLOOKUP(R376,SA!$B$5:$C$11,2,1)</f>
        <v>0-35</v>
      </c>
      <c r="T376" s="38" t="s">
        <v>96</v>
      </c>
      <c r="U376" s="24" t="s">
        <v>114</v>
      </c>
      <c r="V376" s="24">
        <v>300000</v>
      </c>
      <c r="W376" s="39">
        <f t="shared" si="106"/>
        <v>0</v>
      </c>
      <c r="X376" s="29">
        <f t="shared" si="107"/>
        <v>0</v>
      </c>
      <c r="Y376" s="40">
        <f t="shared" si="108"/>
        <v>365</v>
      </c>
      <c r="Z376" s="38">
        <f t="shared" si="103"/>
        <v>46081</v>
      </c>
      <c r="AA376" s="41">
        <f t="shared" si="109"/>
        <v>264</v>
      </c>
      <c r="AB376" s="24" t="s">
        <v>125</v>
      </c>
      <c r="AC376" s="41">
        <f t="shared" si="110"/>
        <v>3874.2114000000001</v>
      </c>
      <c r="AD376" s="41">
        <v>1</v>
      </c>
      <c r="AE376" s="72">
        <f>IFERROR(INDEX(SA!$C$4:$E$11,MATCH(Details!S376,SA!$C$4:$C$11,0),MATCH(Details!V376,SA!$C$4:$E$4,0)),0)*Y376/(F376-E376+1)</f>
        <v>3283.23</v>
      </c>
      <c r="AF376" s="41">
        <f t="shared" si="111"/>
        <v>0</v>
      </c>
      <c r="AG376" s="41">
        <f t="shared" si="112"/>
        <v>0</v>
      </c>
      <c r="AH376" s="41">
        <f t="shared" si="113"/>
        <v>590.98140000000001</v>
      </c>
      <c r="AI376" s="60">
        <f t="shared" si="114"/>
        <v>131.32920000000001</v>
      </c>
      <c r="AJ376" s="60">
        <f t="shared" si="115"/>
        <v>738.72675000000004</v>
      </c>
      <c r="AK376" s="60">
        <f t="shared" si="116"/>
        <v>2374.7197808219175</v>
      </c>
      <c r="AL376" s="60">
        <f t="shared" si="117"/>
        <v>1745.4190389041094</v>
      </c>
      <c r="AM376" s="41">
        <f t="shared" si="118"/>
        <v>667.7550110958905</v>
      </c>
      <c r="AN376" s="42">
        <f t="shared" si="119"/>
        <v>45715</v>
      </c>
      <c r="AO376" s="43">
        <f t="shared" si="120"/>
        <v>3283.23</v>
      </c>
    </row>
    <row r="377" spans="1:41" s="24" customFormat="1" ht="15.75" customHeight="1" x14ac:dyDescent="0.35">
      <c r="A377" s="36" t="s">
        <v>27</v>
      </c>
      <c r="B377" s="36">
        <v>202506</v>
      </c>
      <c r="C377" s="24" t="s">
        <v>128</v>
      </c>
      <c r="D377" s="24" t="s">
        <v>129</v>
      </c>
      <c r="E377" s="62">
        <v>45818</v>
      </c>
      <c r="F377" s="62">
        <v>46182</v>
      </c>
      <c r="G377" s="37" t="s">
        <v>504</v>
      </c>
      <c r="H377" s="36">
        <v>2154</v>
      </c>
      <c r="I377" s="63">
        <v>32316</v>
      </c>
      <c r="J377" s="24" t="s">
        <v>1153</v>
      </c>
      <c r="K377" s="63">
        <f t="shared" si="104"/>
        <v>45818</v>
      </c>
      <c r="L377" s="55">
        <f t="shared" si="105"/>
        <v>0.04</v>
      </c>
      <c r="M377" s="76">
        <v>0.22500000000000001</v>
      </c>
      <c r="N377" s="62">
        <v>45818</v>
      </c>
      <c r="O377" s="62">
        <v>46182</v>
      </c>
      <c r="P377" s="63"/>
      <c r="Q377" s="63"/>
      <c r="R377" s="82">
        <v>36</v>
      </c>
      <c r="S377" s="63" t="str">
        <f>VLOOKUP(R377,SA!$B$5:$C$11,2,1)</f>
        <v>36-45</v>
      </c>
      <c r="T377" s="38" t="s">
        <v>97</v>
      </c>
      <c r="U377" s="24" t="s">
        <v>115</v>
      </c>
      <c r="V377" s="24">
        <v>300000</v>
      </c>
      <c r="W377" s="39">
        <f t="shared" si="106"/>
        <v>0</v>
      </c>
      <c r="X377" s="29">
        <f t="shared" si="107"/>
        <v>0</v>
      </c>
      <c r="Y377" s="40">
        <f t="shared" si="108"/>
        <v>365</v>
      </c>
      <c r="Z377" s="38">
        <f t="shared" si="103"/>
        <v>46081</v>
      </c>
      <c r="AA377" s="41">
        <f t="shared" si="109"/>
        <v>264</v>
      </c>
      <c r="AB377" s="24" t="s">
        <v>125</v>
      </c>
      <c r="AC377" s="41">
        <f t="shared" si="110"/>
        <v>5017.3245999999999</v>
      </c>
      <c r="AD377" s="41">
        <v>1</v>
      </c>
      <c r="AE377" s="72">
        <f>IFERROR(INDEX(SA!$C$4:$E$11,MATCH(Details!S377,SA!$C$4:$C$11,0),MATCH(Details!V377,SA!$C$4:$E$4,0)),0)*Y377/(F377-E377+1)</f>
        <v>4251.97</v>
      </c>
      <c r="AF377" s="41">
        <f t="shared" si="111"/>
        <v>0</v>
      </c>
      <c r="AG377" s="41">
        <f t="shared" si="112"/>
        <v>0</v>
      </c>
      <c r="AH377" s="41">
        <f t="shared" si="113"/>
        <v>765.3546</v>
      </c>
      <c r="AI377" s="60">
        <f t="shared" si="114"/>
        <v>170.0788</v>
      </c>
      <c r="AJ377" s="60">
        <f t="shared" si="115"/>
        <v>956.69325000000003</v>
      </c>
      <c r="AK377" s="60">
        <f t="shared" si="116"/>
        <v>3075.397479452055</v>
      </c>
      <c r="AL377" s="60">
        <f t="shared" si="117"/>
        <v>2260.4171473972606</v>
      </c>
      <c r="AM377" s="41">
        <f t="shared" si="118"/>
        <v>864.78080260273941</v>
      </c>
      <c r="AN377" s="42">
        <f t="shared" si="119"/>
        <v>45715</v>
      </c>
      <c r="AO377" s="43">
        <f t="shared" si="120"/>
        <v>4251.97</v>
      </c>
    </row>
    <row r="378" spans="1:41" s="24" customFormat="1" ht="15.75" customHeight="1" x14ac:dyDescent="0.35">
      <c r="A378" s="36" t="s">
        <v>27</v>
      </c>
      <c r="B378" s="36">
        <v>202506</v>
      </c>
      <c r="C378" s="24" t="s">
        <v>128</v>
      </c>
      <c r="D378" s="24" t="s">
        <v>129</v>
      </c>
      <c r="E378" s="62">
        <v>45818</v>
      </c>
      <c r="F378" s="62">
        <v>46182</v>
      </c>
      <c r="G378" s="37" t="s">
        <v>505</v>
      </c>
      <c r="H378" s="36">
        <v>2154</v>
      </c>
      <c r="I378" s="63">
        <v>42770</v>
      </c>
      <c r="J378" s="24" t="s">
        <v>1154</v>
      </c>
      <c r="K378" s="63">
        <f t="shared" si="104"/>
        <v>45818</v>
      </c>
      <c r="L378" s="55">
        <f t="shared" si="105"/>
        <v>0.04</v>
      </c>
      <c r="M378" s="76">
        <v>0.22500000000000001</v>
      </c>
      <c r="N378" s="62">
        <v>45818</v>
      </c>
      <c r="O378" s="62">
        <v>46182</v>
      </c>
      <c r="P378" s="63"/>
      <c r="Q378" s="63"/>
      <c r="R378" s="82">
        <v>8</v>
      </c>
      <c r="S378" s="63" t="str">
        <f>VLOOKUP(R378,SA!$B$5:$C$11,2,1)</f>
        <v>0-35</v>
      </c>
      <c r="T378" s="38" t="s">
        <v>97</v>
      </c>
      <c r="U378" s="24" t="s">
        <v>113</v>
      </c>
      <c r="V378" s="24">
        <v>300000</v>
      </c>
      <c r="W378" s="39">
        <f t="shared" si="106"/>
        <v>0</v>
      </c>
      <c r="X378" s="29">
        <f t="shared" si="107"/>
        <v>0</v>
      </c>
      <c r="Y378" s="40">
        <f t="shared" si="108"/>
        <v>365</v>
      </c>
      <c r="Z378" s="38">
        <f t="shared" si="103"/>
        <v>46081</v>
      </c>
      <c r="AA378" s="41">
        <f t="shared" si="109"/>
        <v>264</v>
      </c>
      <c r="AB378" s="24" t="s">
        <v>125</v>
      </c>
      <c r="AC378" s="41">
        <f t="shared" si="110"/>
        <v>3874.2114000000001</v>
      </c>
      <c r="AD378" s="41">
        <v>1</v>
      </c>
      <c r="AE378" s="72">
        <f>IFERROR(INDEX(SA!$C$4:$E$11,MATCH(Details!S378,SA!$C$4:$C$11,0),MATCH(Details!V378,SA!$C$4:$E$4,0)),0)*Y378/(F378-E378+1)</f>
        <v>3283.23</v>
      </c>
      <c r="AF378" s="41">
        <f t="shared" si="111"/>
        <v>0</v>
      </c>
      <c r="AG378" s="41">
        <f t="shared" si="112"/>
        <v>0</v>
      </c>
      <c r="AH378" s="41">
        <f t="shared" si="113"/>
        <v>590.98140000000001</v>
      </c>
      <c r="AI378" s="60">
        <f t="shared" si="114"/>
        <v>131.32920000000001</v>
      </c>
      <c r="AJ378" s="60">
        <f t="shared" si="115"/>
        <v>738.72675000000004</v>
      </c>
      <c r="AK378" s="60">
        <f t="shared" si="116"/>
        <v>2374.7197808219175</v>
      </c>
      <c r="AL378" s="60">
        <f t="shared" si="117"/>
        <v>1745.4190389041094</v>
      </c>
      <c r="AM378" s="41">
        <f t="shared" si="118"/>
        <v>667.7550110958905</v>
      </c>
      <c r="AN378" s="42">
        <f t="shared" si="119"/>
        <v>45715</v>
      </c>
      <c r="AO378" s="43">
        <f t="shared" si="120"/>
        <v>3283.23</v>
      </c>
    </row>
    <row r="379" spans="1:41" s="24" customFormat="1" ht="15.75" customHeight="1" x14ac:dyDescent="0.35">
      <c r="A379" s="36" t="s">
        <v>27</v>
      </c>
      <c r="B379" s="36">
        <v>202506</v>
      </c>
      <c r="C379" s="24" t="s">
        <v>128</v>
      </c>
      <c r="D379" s="24" t="s">
        <v>129</v>
      </c>
      <c r="E379" s="62">
        <v>45818</v>
      </c>
      <c r="F379" s="62">
        <v>46182</v>
      </c>
      <c r="G379" s="37" t="s">
        <v>506</v>
      </c>
      <c r="H379" s="36">
        <v>2155</v>
      </c>
      <c r="I379" s="63">
        <v>25938</v>
      </c>
      <c r="J379" s="24" t="s">
        <v>1155</v>
      </c>
      <c r="K379" s="63">
        <f t="shared" si="104"/>
        <v>45818</v>
      </c>
      <c r="L379" s="55">
        <f t="shared" si="105"/>
        <v>0.04</v>
      </c>
      <c r="M379" s="76">
        <v>0.22500000000000001</v>
      </c>
      <c r="N379" s="62">
        <v>45818</v>
      </c>
      <c r="O379" s="62">
        <v>46182</v>
      </c>
      <c r="P379" s="63"/>
      <c r="Q379" s="63"/>
      <c r="R379" s="82">
        <v>54</v>
      </c>
      <c r="S379" s="63" t="str">
        <f>VLOOKUP(R379,SA!$B$5:$C$11,2,1)</f>
        <v>46-55</v>
      </c>
      <c r="T379" s="38" t="s">
        <v>96</v>
      </c>
      <c r="U379" s="24" t="s">
        <v>56</v>
      </c>
      <c r="V379" s="24">
        <v>300000</v>
      </c>
      <c r="W379" s="39">
        <f t="shared" si="106"/>
        <v>300000</v>
      </c>
      <c r="X379" s="29">
        <f t="shared" si="107"/>
        <v>1</v>
      </c>
      <c r="Y379" s="40">
        <f t="shared" si="108"/>
        <v>365</v>
      </c>
      <c r="Z379" s="38">
        <f t="shared" si="103"/>
        <v>46081</v>
      </c>
      <c r="AA379" s="41">
        <f t="shared" si="109"/>
        <v>264</v>
      </c>
      <c r="AB379" s="24" t="s">
        <v>125</v>
      </c>
      <c r="AC379" s="41">
        <f t="shared" si="110"/>
        <v>9586.9925999999996</v>
      </c>
      <c r="AD379" s="41">
        <v>1</v>
      </c>
      <c r="AE379" s="72">
        <f>IFERROR(INDEX(SA!$C$4:$E$11,MATCH(Details!S379,SA!$C$4:$C$11,0),MATCH(Details!V379,SA!$C$4:$E$4,0)),0)*Y379/(F379-E379+1)</f>
        <v>8124.57</v>
      </c>
      <c r="AF379" s="41">
        <f t="shared" si="111"/>
        <v>0</v>
      </c>
      <c r="AG379" s="41">
        <f t="shared" si="112"/>
        <v>0</v>
      </c>
      <c r="AH379" s="41">
        <f t="shared" si="113"/>
        <v>1462.4225999999999</v>
      </c>
      <c r="AI379" s="60">
        <f t="shared" si="114"/>
        <v>324.9828</v>
      </c>
      <c r="AJ379" s="60">
        <f t="shared" si="115"/>
        <v>1828.0282500000001</v>
      </c>
      <c r="AK379" s="60">
        <f t="shared" si="116"/>
        <v>5876.4013150684932</v>
      </c>
      <c r="AL379" s="60">
        <f t="shared" si="117"/>
        <v>4319.1549665753428</v>
      </c>
      <c r="AM379" s="41">
        <f t="shared" si="118"/>
        <v>1652.4039834246571</v>
      </c>
      <c r="AN379" s="42">
        <f t="shared" si="119"/>
        <v>45715</v>
      </c>
      <c r="AO379" s="43">
        <f t="shared" si="120"/>
        <v>8124.57</v>
      </c>
    </row>
    <row r="380" spans="1:41" s="24" customFormat="1" ht="15.75" customHeight="1" x14ac:dyDescent="0.35">
      <c r="A380" s="36" t="s">
        <v>27</v>
      </c>
      <c r="B380" s="36">
        <v>202506</v>
      </c>
      <c r="C380" s="24" t="s">
        <v>128</v>
      </c>
      <c r="D380" s="24" t="s">
        <v>129</v>
      </c>
      <c r="E380" s="62">
        <v>45818</v>
      </c>
      <c r="F380" s="62">
        <v>46182</v>
      </c>
      <c r="G380" s="37" t="s">
        <v>507</v>
      </c>
      <c r="H380" s="36">
        <v>2155</v>
      </c>
      <c r="I380" s="63">
        <v>27944</v>
      </c>
      <c r="J380" s="24" t="s">
        <v>1156</v>
      </c>
      <c r="K380" s="63">
        <f t="shared" si="104"/>
        <v>45818</v>
      </c>
      <c r="L380" s="55">
        <f t="shared" si="105"/>
        <v>0.04</v>
      </c>
      <c r="M380" s="76">
        <v>0.22500000000000001</v>
      </c>
      <c r="N380" s="62">
        <v>45818</v>
      </c>
      <c r="O380" s="62">
        <v>46182</v>
      </c>
      <c r="P380" s="63"/>
      <c r="Q380" s="63"/>
      <c r="R380" s="82">
        <v>48</v>
      </c>
      <c r="S380" s="63" t="str">
        <f>VLOOKUP(R380,SA!$B$5:$C$11,2,1)</f>
        <v>46-55</v>
      </c>
      <c r="T380" s="38" t="s">
        <v>97</v>
      </c>
      <c r="U380" s="24" t="s">
        <v>115</v>
      </c>
      <c r="V380" s="24">
        <v>300000</v>
      </c>
      <c r="W380" s="39">
        <f t="shared" si="106"/>
        <v>0</v>
      </c>
      <c r="X380" s="29">
        <f t="shared" si="107"/>
        <v>0</v>
      </c>
      <c r="Y380" s="40">
        <f t="shared" si="108"/>
        <v>365</v>
      </c>
      <c r="Z380" s="38">
        <f t="shared" si="103"/>
        <v>46081</v>
      </c>
      <c r="AA380" s="41">
        <f t="shared" si="109"/>
        <v>264</v>
      </c>
      <c r="AB380" s="24" t="s">
        <v>125</v>
      </c>
      <c r="AC380" s="41">
        <f t="shared" si="110"/>
        <v>9586.9925999999996</v>
      </c>
      <c r="AD380" s="41">
        <v>1</v>
      </c>
      <c r="AE380" s="72">
        <f>IFERROR(INDEX(SA!$C$4:$E$11,MATCH(Details!S380,SA!$C$4:$C$11,0),MATCH(Details!V380,SA!$C$4:$E$4,0)),0)*Y380/(F380-E380+1)</f>
        <v>8124.57</v>
      </c>
      <c r="AF380" s="41">
        <f t="shared" si="111"/>
        <v>0</v>
      </c>
      <c r="AG380" s="41">
        <f t="shared" si="112"/>
        <v>0</v>
      </c>
      <c r="AH380" s="41">
        <f t="shared" si="113"/>
        <v>1462.4225999999999</v>
      </c>
      <c r="AI380" s="60">
        <f t="shared" si="114"/>
        <v>324.9828</v>
      </c>
      <c r="AJ380" s="60">
        <f t="shared" si="115"/>
        <v>1828.0282500000001</v>
      </c>
      <c r="AK380" s="60">
        <f t="shared" si="116"/>
        <v>5876.4013150684932</v>
      </c>
      <c r="AL380" s="60">
        <f t="shared" si="117"/>
        <v>4319.1549665753428</v>
      </c>
      <c r="AM380" s="41">
        <f t="shared" si="118"/>
        <v>1652.4039834246571</v>
      </c>
      <c r="AN380" s="42">
        <f t="shared" si="119"/>
        <v>45715</v>
      </c>
      <c r="AO380" s="43">
        <f t="shared" si="120"/>
        <v>8124.57</v>
      </c>
    </row>
    <row r="381" spans="1:41" s="24" customFormat="1" ht="15.75" customHeight="1" x14ac:dyDescent="0.35">
      <c r="A381" s="36" t="s">
        <v>27</v>
      </c>
      <c r="B381" s="36">
        <v>202506</v>
      </c>
      <c r="C381" s="24" t="s">
        <v>128</v>
      </c>
      <c r="D381" s="24" t="s">
        <v>129</v>
      </c>
      <c r="E381" s="62">
        <v>45818</v>
      </c>
      <c r="F381" s="62">
        <v>46182</v>
      </c>
      <c r="G381" s="37" t="s">
        <v>508</v>
      </c>
      <c r="H381" s="36">
        <v>2155</v>
      </c>
      <c r="I381" s="63">
        <v>38027</v>
      </c>
      <c r="J381" s="24" t="s">
        <v>1157</v>
      </c>
      <c r="K381" s="63">
        <f t="shared" si="104"/>
        <v>45818</v>
      </c>
      <c r="L381" s="55">
        <f t="shared" si="105"/>
        <v>0.04</v>
      </c>
      <c r="M381" s="76">
        <v>0.22500000000000001</v>
      </c>
      <c r="N381" s="62">
        <v>45818</v>
      </c>
      <c r="O381" s="62">
        <v>46182</v>
      </c>
      <c r="P381" s="63"/>
      <c r="Q381" s="63"/>
      <c r="R381" s="82">
        <v>21</v>
      </c>
      <c r="S381" s="63" t="str">
        <f>VLOOKUP(R381,SA!$B$5:$C$11,2,1)</f>
        <v>0-35</v>
      </c>
      <c r="T381" s="38" t="s">
        <v>97</v>
      </c>
      <c r="U381" s="24" t="s">
        <v>113</v>
      </c>
      <c r="V381" s="24">
        <v>300000</v>
      </c>
      <c r="W381" s="39">
        <f t="shared" si="106"/>
        <v>0</v>
      </c>
      <c r="X381" s="29">
        <f t="shared" si="107"/>
        <v>0</v>
      </c>
      <c r="Y381" s="40">
        <f t="shared" si="108"/>
        <v>365</v>
      </c>
      <c r="Z381" s="38">
        <f t="shared" si="103"/>
        <v>46081</v>
      </c>
      <c r="AA381" s="41">
        <f t="shared" si="109"/>
        <v>264</v>
      </c>
      <c r="AB381" s="24" t="s">
        <v>125</v>
      </c>
      <c r="AC381" s="41">
        <f t="shared" si="110"/>
        <v>3874.2114000000001</v>
      </c>
      <c r="AD381" s="41">
        <v>1</v>
      </c>
      <c r="AE381" s="72">
        <f>IFERROR(INDEX(SA!$C$4:$E$11,MATCH(Details!S381,SA!$C$4:$C$11,0),MATCH(Details!V381,SA!$C$4:$E$4,0)),0)*Y381/(F381-E381+1)</f>
        <v>3283.23</v>
      </c>
      <c r="AF381" s="41">
        <f t="shared" si="111"/>
        <v>0</v>
      </c>
      <c r="AG381" s="41">
        <f t="shared" si="112"/>
        <v>0</v>
      </c>
      <c r="AH381" s="41">
        <f t="shared" si="113"/>
        <v>590.98140000000001</v>
      </c>
      <c r="AI381" s="60">
        <f t="shared" si="114"/>
        <v>131.32920000000001</v>
      </c>
      <c r="AJ381" s="60">
        <f t="shared" si="115"/>
        <v>738.72675000000004</v>
      </c>
      <c r="AK381" s="60">
        <f t="shared" si="116"/>
        <v>2374.7197808219175</v>
      </c>
      <c r="AL381" s="60">
        <f t="shared" si="117"/>
        <v>1745.4190389041094</v>
      </c>
      <c r="AM381" s="41">
        <f t="shared" si="118"/>
        <v>667.7550110958905</v>
      </c>
      <c r="AN381" s="42">
        <f t="shared" si="119"/>
        <v>45715</v>
      </c>
      <c r="AO381" s="43">
        <f t="shared" si="120"/>
        <v>3283.23</v>
      </c>
    </row>
    <row r="382" spans="1:41" s="24" customFormat="1" ht="15.75" customHeight="1" x14ac:dyDescent="0.35">
      <c r="A382" s="36" t="s">
        <v>27</v>
      </c>
      <c r="B382" s="36">
        <v>202506</v>
      </c>
      <c r="C382" s="24" t="s">
        <v>128</v>
      </c>
      <c r="D382" s="24" t="s">
        <v>129</v>
      </c>
      <c r="E382" s="62">
        <v>45818</v>
      </c>
      <c r="F382" s="62">
        <v>46182</v>
      </c>
      <c r="G382" s="37" t="s">
        <v>509</v>
      </c>
      <c r="H382" s="36">
        <v>2159</v>
      </c>
      <c r="I382" s="63">
        <v>31797</v>
      </c>
      <c r="J382" s="24" t="s">
        <v>1158</v>
      </c>
      <c r="K382" s="63">
        <f t="shared" si="104"/>
        <v>45818</v>
      </c>
      <c r="L382" s="55">
        <f t="shared" si="105"/>
        <v>0.04</v>
      </c>
      <c r="M382" s="76">
        <v>0.22500000000000001</v>
      </c>
      <c r="N382" s="62">
        <v>45818</v>
      </c>
      <c r="O382" s="62">
        <v>46182</v>
      </c>
      <c r="P382" s="63"/>
      <c r="Q382" s="63"/>
      <c r="R382" s="82">
        <v>38</v>
      </c>
      <c r="S382" s="63" t="str">
        <f>VLOOKUP(R382,SA!$B$5:$C$11,2,1)</f>
        <v>36-45</v>
      </c>
      <c r="T382" s="38" t="s">
        <v>96</v>
      </c>
      <c r="U382" s="24" t="s">
        <v>56</v>
      </c>
      <c r="V382" s="24">
        <v>300000</v>
      </c>
      <c r="W382" s="39">
        <f t="shared" si="106"/>
        <v>300000</v>
      </c>
      <c r="X382" s="29">
        <f t="shared" si="107"/>
        <v>1</v>
      </c>
      <c r="Y382" s="40">
        <f t="shared" si="108"/>
        <v>365</v>
      </c>
      <c r="Z382" s="38">
        <f t="shared" si="103"/>
        <v>46081</v>
      </c>
      <c r="AA382" s="41">
        <f t="shared" si="109"/>
        <v>264</v>
      </c>
      <c r="AB382" s="24" t="s">
        <v>125</v>
      </c>
      <c r="AC382" s="41">
        <f t="shared" si="110"/>
        <v>5017.3245999999999</v>
      </c>
      <c r="AD382" s="41">
        <v>1</v>
      </c>
      <c r="AE382" s="72">
        <f>IFERROR(INDEX(SA!$C$4:$E$11,MATCH(Details!S382,SA!$C$4:$C$11,0),MATCH(Details!V382,SA!$C$4:$E$4,0)),0)*Y382/(F382-E382+1)</f>
        <v>4251.97</v>
      </c>
      <c r="AF382" s="41">
        <f t="shared" si="111"/>
        <v>0</v>
      </c>
      <c r="AG382" s="41">
        <f t="shared" si="112"/>
        <v>0</v>
      </c>
      <c r="AH382" s="41">
        <f t="shared" si="113"/>
        <v>765.3546</v>
      </c>
      <c r="AI382" s="60">
        <f t="shared" si="114"/>
        <v>170.0788</v>
      </c>
      <c r="AJ382" s="60">
        <f t="shared" si="115"/>
        <v>956.69325000000003</v>
      </c>
      <c r="AK382" s="60">
        <f t="shared" si="116"/>
        <v>3075.397479452055</v>
      </c>
      <c r="AL382" s="60">
        <f t="shared" si="117"/>
        <v>2260.4171473972606</v>
      </c>
      <c r="AM382" s="41">
        <f t="shared" si="118"/>
        <v>864.78080260273941</v>
      </c>
      <c r="AN382" s="42">
        <f t="shared" si="119"/>
        <v>45715</v>
      </c>
      <c r="AO382" s="43">
        <f t="shared" si="120"/>
        <v>4251.97</v>
      </c>
    </row>
    <row r="383" spans="1:41" s="24" customFormat="1" ht="15.75" customHeight="1" x14ac:dyDescent="0.35">
      <c r="A383" s="36" t="s">
        <v>27</v>
      </c>
      <c r="B383" s="36">
        <v>202506</v>
      </c>
      <c r="C383" s="24" t="s">
        <v>128</v>
      </c>
      <c r="D383" s="24" t="s">
        <v>129</v>
      </c>
      <c r="E383" s="62">
        <v>45818</v>
      </c>
      <c r="F383" s="62">
        <v>46182</v>
      </c>
      <c r="G383" s="37" t="s">
        <v>510</v>
      </c>
      <c r="H383" s="36">
        <v>2159</v>
      </c>
      <c r="I383" s="63">
        <v>41999</v>
      </c>
      <c r="J383" s="24" t="s">
        <v>1159</v>
      </c>
      <c r="K383" s="63">
        <f t="shared" si="104"/>
        <v>45818</v>
      </c>
      <c r="L383" s="55">
        <f t="shared" si="105"/>
        <v>0.04</v>
      </c>
      <c r="M383" s="76">
        <v>0.22500000000000001</v>
      </c>
      <c r="N383" s="62">
        <v>45818</v>
      </c>
      <c r="O383" s="62">
        <v>46182</v>
      </c>
      <c r="P383" s="63"/>
      <c r="Q383" s="63"/>
      <c r="R383" s="82">
        <v>10</v>
      </c>
      <c r="S383" s="63" t="str">
        <f>VLOOKUP(R383,SA!$B$5:$C$11,2,1)</f>
        <v>0-35</v>
      </c>
      <c r="T383" s="38" t="s">
        <v>96</v>
      </c>
      <c r="U383" s="24" t="s">
        <v>114</v>
      </c>
      <c r="V383" s="24">
        <v>300000</v>
      </c>
      <c r="W383" s="39">
        <f t="shared" si="106"/>
        <v>0</v>
      </c>
      <c r="X383" s="29">
        <f t="shared" si="107"/>
        <v>0</v>
      </c>
      <c r="Y383" s="40">
        <f t="shared" si="108"/>
        <v>365</v>
      </c>
      <c r="Z383" s="38">
        <f t="shared" si="103"/>
        <v>46081</v>
      </c>
      <c r="AA383" s="41">
        <f t="shared" si="109"/>
        <v>264</v>
      </c>
      <c r="AB383" s="24" t="s">
        <v>125</v>
      </c>
      <c r="AC383" s="41">
        <f t="shared" si="110"/>
        <v>3874.2114000000001</v>
      </c>
      <c r="AD383" s="41">
        <v>1</v>
      </c>
      <c r="AE383" s="72">
        <f>IFERROR(INDEX(SA!$C$4:$E$11,MATCH(Details!S383,SA!$C$4:$C$11,0),MATCH(Details!V383,SA!$C$4:$E$4,0)),0)*Y383/(F383-E383+1)</f>
        <v>3283.23</v>
      </c>
      <c r="AF383" s="41">
        <f t="shared" si="111"/>
        <v>0</v>
      </c>
      <c r="AG383" s="41">
        <f t="shared" si="112"/>
        <v>0</v>
      </c>
      <c r="AH383" s="41">
        <f t="shared" si="113"/>
        <v>590.98140000000001</v>
      </c>
      <c r="AI383" s="60">
        <f t="shared" si="114"/>
        <v>131.32920000000001</v>
      </c>
      <c r="AJ383" s="60">
        <f t="shared" si="115"/>
        <v>738.72675000000004</v>
      </c>
      <c r="AK383" s="60">
        <f t="shared" si="116"/>
        <v>2374.7197808219175</v>
      </c>
      <c r="AL383" s="60">
        <f t="shared" si="117"/>
        <v>1745.4190389041094</v>
      </c>
      <c r="AM383" s="41">
        <f t="shared" si="118"/>
        <v>667.7550110958905</v>
      </c>
      <c r="AN383" s="42">
        <f t="shared" si="119"/>
        <v>45715</v>
      </c>
      <c r="AO383" s="43">
        <f t="shared" si="120"/>
        <v>3283.23</v>
      </c>
    </row>
    <row r="384" spans="1:41" s="24" customFormat="1" ht="15.75" customHeight="1" x14ac:dyDescent="0.35">
      <c r="A384" s="36" t="s">
        <v>27</v>
      </c>
      <c r="B384" s="36">
        <v>202506</v>
      </c>
      <c r="C384" s="24" t="s">
        <v>128</v>
      </c>
      <c r="D384" s="24" t="s">
        <v>129</v>
      </c>
      <c r="E384" s="62">
        <v>45818</v>
      </c>
      <c r="F384" s="62">
        <v>46182</v>
      </c>
      <c r="G384" s="37" t="s">
        <v>511</v>
      </c>
      <c r="H384" s="36">
        <v>2159</v>
      </c>
      <c r="I384" s="63">
        <v>41623</v>
      </c>
      <c r="J384" s="24" t="s">
        <v>1160</v>
      </c>
      <c r="K384" s="63">
        <f t="shared" si="104"/>
        <v>45818</v>
      </c>
      <c r="L384" s="55">
        <f t="shared" si="105"/>
        <v>0.04</v>
      </c>
      <c r="M384" s="76">
        <v>0.22500000000000001</v>
      </c>
      <c r="N384" s="62">
        <v>45818</v>
      </c>
      <c r="O384" s="62">
        <v>46182</v>
      </c>
      <c r="P384" s="63"/>
      <c r="Q384" s="63"/>
      <c r="R384" s="82">
        <v>11</v>
      </c>
      <c r="S384" s="63" t="str">
        <f>VLOOKUP(R384,SA!$B$5:$C$11,2,1)</f>
        <v>0-35</v>
      </c>
      <c r="T384" s="38" t="s">
        <v>96</v>
      </c>
      <c r="U384" s="24" t="s">
        <v>114</v>
      </c>
      <c r="V384" s="24">
        <v>300000</v>
      </c>
      <c r="W384" s="39">
        <f t="shared" si="106"/>
        <v>0</v>
      </c>
      <c r="X384" s="29">
        <f t="shared" si="107"/>
        <v>0</v>
      </c>
      <c r="Y384" s="40">
        <f t="shared" si="108"/>
        <v>365</v>
      </c>
      <c r="Z384" s="38">
        <f t="shared" si="103"/>
        <v>46081</v>
      </c>
      <c r="AA384" s="41">
        <f t="shared" si="109"/>
        <v>264</v>
      </c>
      <c r="AB384" s="24" t="s">
        <v>125</v>
      </c>
      <c r="AC384" s="41">
        <f t="shared" si="110"/>
        <v>3874.2114000000001</v>
      </c>
      <c r="AD384" s="41">
        <v>1</v>
      </c>
      <c r="AE384" s="72">
        <f>IFERROR(INDEX(SA!$C$4:$E$11,MATCH(Details!S384,SA!$C$4:$C$11,0),MATCH(Details!V384,SA!$C$4:$E$4,0)),0)*Y384/(F384-E384+1)</f>
        <v>3283.23</v>
      </c>
      <c r="AF384" s="41">
        <f t="shared" si="111"/>
        <v>0</v>
      </c>
      <c r="AG384" s="41">
        <f t="shared" si="112"/>
        <v>0</v>
      </c>
      <c r="AH384" s="41">
        <f t="shared" si="113"/>
        <v>590.98140000000001</v>
      </c>
      <c r="AI384" s="60">
        <f t="shared" si="114"/>
        <v>131.32920000000001</v>
      </c>
      <c r="AJ384" s="60">
        <f t="shared" si="115"/>
        <v>738.72675000000004</v>
      </c>
      <c r="AK384" s="60">
        <f t="shared" si="116"/>
        <v>2374.7197808219175</v>
      </c>
      <c r="AL384" s="60">
        <f t="shared" si="117"/>
        <v>1745.4190389041094</v>
      </c>
      <c r="AM384" s="41">
        <f t="shared" si="118"/>
        <v>667.7550110958905</v>
      </c>
      <c r="AN384" s="42">
        <f t="shared" si="119"/>
        <v>45715</v>
      </c>
      <c r="AO384" s="43">
        <f t="shared" si="120"/>
        <v>3283.23</v>
      </c>
    </row>
    <row r="385" spans="1:41" s="24" customFormat="1" ht="15.75" customHeight="1" x14ac:dyDescent="0.35">
      <c r="A385" s="36" t="s">
        <v>27</v>
      </c>
      <c r="B385" s="36">
        <v>202506</v>
      </c>
      <c r="C385" s="24" t="s">
        <v>128</v>
      </c>
      <c r="D385" s="24" t="s">
        <v>129</v>
      </c>
      <c r="E385" s="62">
        <v>45818</v>
      </c>
      <c r="F385" s="62">
        <v>46182</v>
      </c>
      <c r="G385" s="37" t="s">
        <v>512</v>
      </c>
      <c r="H385" s="36">
        <v>2159</v>
      </c>
      <c r="I385" s="63">
        <v>32329</v>
      </c>
      <c r="J385" s="24" t="s">
        <v>1161</v>
      </c>
      <c r="K385" s="63">
        <f t="shared" si="104"/>
        <v>45818</v>
      </c>
      <c r="L385" s="55">
        <f t="shared" si="105"/>
        <v>0.04</v>
      </c>
      <c r="M385" s="76">
        <v>0.22500000000000001</v>
      </c>
      <c r="N385" s="62">
        <v>45818</v>
      </c>
      <c r="O385" s="62">
        <v>46182</v>
      </c>
      <c r="P385" s="63"/>
      <c r="Q385" s="63"/>
      <c r="R385" s="82">
        <v>36</v>
      </c>
      <c r="S385" s="63" t="str">
        <f>VLOOKUP(R385,SA!$B$5:$C$11,2,1)</f>
        <v>36-45</v>
      </c>
      <c r="T385" s="38" t="s">
        <v>97</v>
      </c>
      <c r="U385" s="24" t="s">
        <v>115</v>
      </c>
      <c r="V385" s="24">
        <v>300000</v>
      </c>
      <c r="W385" s="39">
        <f t="shared" si="106"/>
        <v>0</v>
      </c>
      <c r="X385" s="29">
        <f t="shared" si="107"/>
        <v>0</v>
      </c>
      <c r="Y385" s="40">
        <f t="shared" si="108"/>
        <v>365</v>
      </c>
      <c r="Z385" s="38">
        <f t="shared" si="103"/>
        <v>46081</v>
      </c>
      <c r="AA385" s="41">
        <f t="shared" si="109"/>
        <v>264</v>
      </c>
      <c r="AB385" s="24" t="s">
        <v>125</v>
      </c>
      <c r="AC385" s="41">
        <f t="shared" si="110"/>
        <v>5017.3245999999999</v>
      </c>
      <c r="AD385" s="41">
        <v>1</v>
      </c>
      <c r="AE385" s="72">
        <f>IFERROR(INDEX(SA!$C$4:$E$11,MATCH(Details!S385,SA!$C$4:$C$11,0),MATCH(Details!V385,SA!$C$4:$E$4,0)),0)*Y385/(F385-E385+1)</f>
        <v>4251.97</v>
      </c>
      <c r="AF385" s="41">
        <f t="shared" si="111"/>
        <v>0</v>
      </c>
      <c r="AG385" s="41">
        <f t="shared" si="112"/>
        <v>0</v>
      </c>
      <c r="AH385" s="41">
        <f t="shared" si="113"/>
        <v>765.3546</v>
      </c>
      <c r="AI385" s="60">
        <f t="shared" si="114"/>
        <v>170.0788</v>
      </c>
      <c r="AJ385" s="60">
        <f t="shared" si="115"/>
        <v>956.69325000000003</v>
      </c>
      <c r="AK385" s="60">
        <f t="shared" si="116"/>
        <v>3075.397479452055</v>
      </c>
      <c r="AL385" s="60">
        <f t="shared" si="117"/>
        <v>2260.4171473972606</v>
      </c>
      <c r="AM385" s="41">
        <f t="shared" si="118"/>
        <v>864.78080260273941</v>
      </c>
      <c r="AN385" s="42">
        <f t="shared" si="119"/>
        <v>45715</v>
      </c>
      <c r="AO385" s="43">
        <f t="shared" si="120"/>
        <v>4251.97</v>
      </c>
    </row>
    <row r="386" spans="1:41" s="24" customFormat="1" ht="15.75" customHeight="1" x14ac:dyDescent="0.35">
      <c r="A386" s="36" t="s">
        <v>27</v>
      </c>
      <c r="B386" s="36">
        <v>202506</v>
      </c>
      <c r="C386" s="24" t="s">
        <v>128</v>
      </c>
      <c r="D386" s="24" t="s">
        <v>129</v>
      </c>
      <c r="E386" s="62">
        <v>45818</v>
      </c>
      <c r="F386" s="62">
        <v>46182</v>
      </c>
      <c r="G386" s="37" t="s">
        <v>513</v>
      </c>
      <c r="H386" s="36">
        <v>2162</v>
      </c>
      <c r="I386" s="63">
        <v>26728</v>
      </c>
      <c r="J386" s="24" t="s">
        <v>1162</v>
      </c>
      <c r="K386" s="63">
        <f t="shared" si="104"/>
        <v>45818</v>
      </c>
      <c r="L386" s="55">
        <f t="shared" si="105"/>
        <v>0.04</v>
      </c>
      <c r="M386" s="76">
        <v>0.22500000000000001</v>
      </c>
      <c r="N386" s="62">
        <v>45818</v>
      </c>
      <c r="O386" s="62">
        <v>46182</v>
      </c>
      <c r="P386" s="63"/>
      <c r="Q386" s="63"/>
      <c r="R386" s="82">
        <v>52</v>
      </c>
      <c r="S386" s="63" t="str">
        <f>VLOOKUP(R386,SA!$B$5:$C$11,2,1)</f>
        <v>46-55</v>
      </c>
      <c r="T386" s="38" t="s">
        <v>96</v>
      </c>
      <c r="U386" s="24" t="s">
        <v>56</v>
      </c>
      <c r="V386" s="24">
        <v>300000</v>
      </c>
      <c r="W386" s="39">
        <f t="shared" si="106"/>
        <v>300000</v>
      </c>
      <c r="X386" s="29">
        <f t="shared" si="107"/>
        <v>1</v>
      </c>
      <c r="Y386" s="40">
        <f t="shared" si="108"/>
        <v>365</v>
      </c>
      <c r="Z386" s="38">
        <f t="shared" si="103"/>
        <v>46081</v>
      </c>
      <c r="AA386" s="41">
        <f t="shared" si="109"/>
        <v>264</v>
      </c>
      <c r="AB386" s="24" t="s">
        <v>125</v>
      </c>
      <c r="AC386" s="41">
        <f t="shared" si="110"/>
        <v>9586.9925999999996</v>
      </c>
      <c r="AD386" s="41">
        <v>1</v>
      </c>
      <c r="AE386" s="72">
        <f>IFERROR(INDEX(SA!$C$4:$E$11,MATCH(Details!S386,SA!$C$4:$C$11,0),MATCH(Details!V386,SA!$C$4:$E$4,0)),0)*Y386/(F386-E386+1)</f>
        <v>8124.57</v>
      </c>
      <c r="AF386" s="41">
        <f t="shared" si="111"/>
        <v>0</v>
      </c>
      <c r="AG386" s="41">
        <f t="shared" si="112"/>
        <v>0</v>
      </c>
      <c r="AH386" s="41">
        <f t="shared" si="113"/>
        <v>1462.4225999999999</v>
      </c>
      <c r="AI386" s="60">
        <f t="shared" si="114"/>
        <v>324.9828</v>
      </c>
      <c r="AJ386" s="60">
        <f t="shared" si="115"/>
        <v>1828.0282500000001</v>
      </c>
      <c r="AK386" s="60">
        <f t="shared" si="116"/>
        <v>5876.4013150684932</v>
      </c>
      <c r="AL386" s="60">
        <f t="shared" si="117"/>
        <v>4319.1549665753428</v>
      </c>
      <c r="AM386" s="41">
        <f t="shared" si="118"/>
        <v>1652.4039834246571</v>
      </c>
      <c r="AN386" s="42">
        <f t="shared" si="119"/>
        <v>45715</v>
      </c>
      <c r="AO386" s="43">
        <f t="shared" si="120"/>
        <v>8124.57</v>
      </c>
    </row>
    <row r="387" spans="1:41" s="24" customFormat="1" ht="15.75" customHeight="1" x14ac:dyDescent="0.35">
      <c r="A387" s="36" t="s">
        <v>27</v>
      </c>
      <c r="B387" s="36">
        <v>202506</v>
      </c>
      <c r="C387" s="24" t="s">
        <v>128</v>
      </c>
      <c r="D387" s="24" t="s">
        <v>129</v>
      </c>
      <c r="E387" s="62">
        <v>45818</v>
      </c>
      <c r="F387" s="62">
        <v>46182</v>
      </c>
      <c r="G387" s="37" t="s">
        <v>514</v>
      </c>
      <c r="H387" s="36">
        <v>2162</v>
      </c>
      <c r="I387" s="63">
        <v>40909</v>
      </c>
      <c r="J387" s="24" t="s">
        <v>1163</v>
      </c>
      <c r="K387" s="63">
        <f t="shared" si="104"/>
        <v>45818</v>
      </c>
      <c r="L387" s="55">
        <f t="shared" si="105"/>
        <v>0.04</v>
      </c>
      <c r="M387" s="76">
        <v>0.22500000000000001</v>
      </c>
      <c r="N387" s="62">
        <v>45818</v>
      </c>
      <c r="O387" s="62">
        <v>46182</v>
      </c>
      <c r="P387" s="63"/>
      <c r="Q387" s="63"/>
      <c r="R387" s="82">
        <v>13</v>
      </c>
      <c r="S387" s="63" t="str">
        <f>VLOOKUP(R387,SA!$B$5:$C$11,2,1)</f>
        <v>0-35</v>
      </c>
      <c r="T387" s="38" t="s">
        <v>96</v>
      </c>
      <c r="U387" s="24" t="s">
        <v>114</v>
      </c>
      <c r="V387" s="24">
        <v>300000</v>
      </c>
      <c r="W387" s="39">
        <f t="shared" si="106"/>
        <v>0</v>
      </c>
      <c r="X387" s="29">
        <f t="shared" si="107"/>
        <v>0</v>
      </c>
      <c r="Y387" s="40">
        <f t="shared" si="108"/>
        <v>365</v>
      </c>
      <c r="Z387" s="38">
        <f t="shared" ref="Z387:Z450" si="121">$Z$1</f>
        <v>46081</v>
      </c>
      <c r="AA387" s="41">
        <f t="shared" si="109"/>
        <v>264</v>
      </c>
      <c r="AB387" s="24" t="s">
        <v>125</v>
      </c>
      <c r="AC387" s="41">
        <f t="shared" si="110"/>
        <v>3874.2114000000001</v>
      </c>
      <c r="AD387" s="41">
        <v>1</v>
      </c>
      <c r="AE387" s="72">
        <f>IFERROR(INDEX(SA!$C$4:$E$11,MATCH(Details!S387,SA!$C$4:$C$11,0),MATCH(Details!V387,SA!$C$4:$E$4,0)),0)*Y387/(F387-E387+1)</f>
        <v>3283.23</v>
      </c>
      <c r="AF387" s="41">
        <f t="shared" si="111"/>
        <v>0</v>
      </c>
      <c r="AG387" s="41">
        <f t="shared" si="112"/>
        <v>0</v>
      </c>
      <c r="AH387" s="41">
        <f t="shared" si="113"/>
        <v>590.98140000000001</v>
      </c>
      <c r="AI387" s="60">
        <f t="shared" si="114"/>
        <v>131.32920000000001</v>
      </c>
      <c r="AJ387" s="60">
        <f t="shared" si="115"/>
        <v>738.72675000000004</v>
      </c>
      <c r="AK387" s="60">
        <f t="shared" si="116"/>
        <v>2374.7197808219175</v>
      </c>
      <c r="AL387" s="60">
        <f t="shared" si="117"/>
        <v>1745.4190389041094</v>
      </c>
      <c r="AM387" s="41">
        <f t="shared" si="118"/>
        <v>667.7550110958905</v>
      </c>
      <c r="AN387" s="42">
        <f t="shared" si="119"/>
        <v>45715</v>
      </c>
      <c r="AO387" s="43">
        <f t="shared" si="120"/>
        <v>3283.23</v>
      </c>
    </row>
    <row r="388" spans="1:41" s="24" customFormat="1" ht="15.75" customHeight="1" x14ac:dyDescent="0.35">
      <c r="A388" s="36" t="s">
        <v>27</v>
      </c>
      <c r="B388" s="36">
        <v>202506</v>
      </c>
      <c r="C388" s="24" t="s">
        <v>128</v>
      </c>
      <c r="D388" s="24" t="s">
        <v>129</v>
      </c>
      <c r="E388" s="62">
        <v>45818</v>
      </c>
      <c r="F388" s="62">
        <v>46182</v>
      </c>
      <c r="G388" s="37" t="s">
        <v>515</v>
      </c>
      <c r="H388" s="36">
        <v>2162</v>
      </c>
      <c r="I388" s="63">
        <v>33130</v>
      </c>
      <c r="J388" s="24" t="s">
        <v>1164</v>
      </c>
      <c r="K388" s="63">
        <f t="shared" ref="K388:K451" si="122">N388</f>
        <v>45818</v>
      </c>
      <c r="L388" s="55">
        <f t="shared" ref="L388:L451" si="123">IF(K388&gt;=DATE(2022,4,1),4%,5%)</f>
        <v>0.04</v>
      </c>
      <c r="M388" s="76">
        <v>0.22500000000000001</v>
      </c>
      <c r="N388" s="62">
        <v>45818</v>
      </c>
      <c r="O388" s="62">
        <v>46182</v>
      </c>
      <c r="P388" s="63"/>
      <c r="Q388" s="63"/>
      <c r="R388" s="82">
        <v>34</v>
      </c>
      <c r="S388" s="63" t="str">
        <f>VLOOKUP(R388,SA!$B$5:$C$11,2,1)</f>
        <v>0-35</v>
      </c>
      <c r="T388" s="38" t="s">
        <v>97</v>
      </c>
      <c r="U388" s="24" t="s">
        <v>115</v>
      </c>
      <c r="V388" s="24">
        <v>300000</v>
      </c>
      <c r="W388" s="39">
        <f t="shared" ref="W388:W451" si="124">IF(U388="self",V388,0)</f>
        <v>0</v>
      </c>
      <c r="X388" s="29">
        <f t="shared" ref="X388:X451" si="125">IF(U388="self",1,0)</f>
        <v>0</v>
      </c>
      <c r="Y388" s="40">
        <f t="shared" ref="Y388:Y451" si="126">O388-N388+1</f>
        <v>365</v>
      </c>
      <c r="Z388" s="38">
        <f t="shared" si="121"/>
        <v>46081</v>
      </c>
      <c r="AA388" s="41">
        <f t="shared" ref="AA388:AA451" si="127">IF(MIN((Z388-N388)+1,Y388)&lt;0,0,MIN((Z388-N388)+1,Y388))</f>
        <v>264</v>
      </c>
      <c r="AB388" s="24" t="s">
        <v>125</v>
      </c>
      <c r="AC388" s="41">
        <f t="shared" ref="AC388:AC451" si="128">AE388+AF388+AG388+AH388</f>
        <v>3874.2114000000001</v>
      </c>
      <c r="AD388" s="41">
        <v>1</v>
      </c>
      <c r="AE388" s="72">
        <f>IFERROR(INDEX(SA!$C$4:$E$11,MATCH(Details!S388,SA!$C$4:$C$11,0),MATCH(Details!V388,SA!$C$4:$E$4,0)),0)*Y388/(F388-E388+1)</f>
        <v>3283.23</v>
      </c>
      <c r="AF388" s="41">
        <f t="shared" ref="AF388:AF451" si="129">IF(AB388="Karnataka",AE388*9%,0)</f>
        <v>0</v>
      </c>
      <c r="AG388" s="41">
        <f t="shared" ref="AG388:AG451" si="130">IF(AB388="Karnataka",AE388*9%,0)</f>
        <v>0</v>
      </c>
      <c r="AH388" s="41">
        <f t="shared" ref="AH388:AH451" si="131">IF(AF388+AG388&gt;0,0,AE388*18%)</f>
        <v>590.98140000000001</v>
      </c>
      <c r="AI388" s="60">
        <f t="shared" ref="AI388:AI451" si="132">AE388*L388</f>
        <v>131.32920000000001</v>
      </c>
      <c r="AJ388" s="60">
        <f t="shared" ref="AJ388:AJ451" si="133">$AE388*M388</f>
        <v>738.72675000000004</v>
      </c>
      <c r="AK388" s="60">
        <f t="shared" ref="AK388:AK451" si="134">(AE388)*AA388/Y388</f>
        <v>2374.7197808219175</v>
      </c>
      <c r="AL388" s="60">
        <f t="shared" ref="AL388:AL451" si="135">AK388*(1-L388-M388)</f>
        <v>1745.4190389041094</v>
      </c>
      <c r="AM388" s="41">
        <f t="shared" ref="AM388:AM451" si="136">AE388-AI388-AL388-AJ388</f>
        <v>667.7550110958905</v>
      </c>
      <c r="AN388" s="42">
        <f t="shared" ref="AN388:AN451" si="137">Z388-366</f>
        <v>45715</v>
      </c>
      <c r="AO388" s="43">
        <f t="shared" ref="AO388:AO451" si="138">IF(AND(O388&gt;Z388,N388&gt;AN388),AE388,0)</f>
        <v>3283.23</v>
      </c>
    </row>
    <row r="389" spans="1:41" s="24" customFormat="1" ht="15.75" customHeight="1" x14ac:dyDescent="0.35">
      <c r="A389" s="36" t="s">
        <v>27</v>
      </c>
      <c r="B389" s="36">
        <v>202506</v>
      </c>
      <c r="C389" s="24" t="s">
        <v>128</v>
      </c>
      <c r="D389" s="24" t="s">
        <v>129</v>
      </c>
      <c r="E389" s="62">
        <v>45818</v>
      </c>
      <c r="F389" s="62">
        <v>46182</v>
      </c>
      <c r="G389" s="37" t="s">
        <v>516</v>
      </c>
      <c r="H389" s="36">
        <v>2163</v>
      </c>
      <c r="I389" s="63">
        <v>27222</v>
      </c>
      <c r="J389" s="24" t="s">
        <v>1165</v>
      </c>
      <c r="K389" s="63">
        <f t="shared" si="122"/>
        <v>45818</v>
      </c>
      <c r="L389" s="55">
        <f t="shared" si="123"/>
        <v>0.04</v>
      </c>
      <c r="M389" s="76">
        <v>0.22500000000000001</v>
      </c>
      <c r="N389" s="62">
        <v>45818</v>
      </c>
      <c r="O389" s="62">
        <v>46182</v>
      </c>
      <c r="P389" s="63"/>
      <c r="Q389" s="63"/>
      <c r="R389" s="82">
        <v>50</v>
      </c>
      <c r="S389" s="63" t="str">
        <f>VLOOKUP(R389,SA!$B$5:$C$11,2,1)</f>
        <v>46-55</v>
      </c>
      <c r="T389" s="38" t="s">
        <v>96</v>
      </c>
      <c r="U389" s="24" t="s">
        <v>56</v>
      </c>
      <c r="V389" s="24">
        <v>300000</v>
      </c>
      <c r="W389" s="39">
        <f t="shared" si="124"/>
        <v>300000</v>
      </c>
      <c r="X389" s="29">
        <f t="shared" si="125"/>
        <v>1</v>
      </c>
      <c r="Y389" s="40">
        <f t="shared" si="126"/>
        <v>365</v>
      </c>
      <c r="Z389" s="38">
        <f t="shared" si="121"/>
        <v>46081</v>
      </c>
      <c r="AA389" s="41">
        <f t="shared" si="127"/>
        <v>264</v>
      </c>
      <c r="AB389" s="24" t="s">
        <v>125</v>
      </c>
      <c r="AC389" s="41">
        <f t="shared" si="128"/>
        <v>9586.9925999999996</v>
      </c>
      <c r="AD389" s="41">
        <v>1</v>
      </c>
      <c r="AE389" s="72">
        <f>IFERROR(INDEX(SA!$C$4:$E$11,MATCH(Details!S389,SA!$C$4:$C$11,0),MATCH(Details!V389,SA!$C$4:$E$4,0)),0)*Y389/(F389-E389+1)</f>
        <v>8124.57</v>
      </c>
      <c r="AF389" s="41">
        <f t="shared" si="129"/>
        <v>0</v>
      </c>
      <c r="AG389" s="41">
        <f t="shared" si="130"/>
        <v>0</v>
      </c>
      <c r="AH389" s="41">
        <f t="shared" si="131"/>
        <v>1462.4225999999999</v>
      </c>
      <c r="AI389" s="60">
        <f t="shared" si="132"/>
        <v>324.9828</v>
      </c>
      <c r="AJ389" s="60">
        <f t="shared" si="133"/>
        <v>1828.0282500000001</v>
      </c>
      <c r="AK389" s="60">
        <f t="shared" si="134"/>
        <v>5876.4013150684932</v>
      </c>
      <c r="AL389" s="60">
        <f t="shared" si="135"/>
        <v>4319.1549665753428</v>
      </c>
      <c r="AM389" s="41">
        <f t="shared" si="136"/>
        <v>1652.4039834246571</v>
      </c>
      <c r="AN389" s="42">
        <f t="shared" si="137"/>
        <v>45715</v>
      </c>
      <c r="AO389" s="43">
        <f t="shared" si="138"/>
        <v>8124.57</v>
      </c>
    </row>
    <row r="390" spans="1:41" s="24" customFormat="1" ht="15.75" customHeight="1" x14ac:dyDescent="0.35">
      <c r="A390" s="36" t="s">
        <v>27</v>
      </c>
      <c r="B390" s="36">
        <v>202506</v>
      </c>
      <c r="C390" s="24" t="s">
        <v>128</v>
      </c>
      <c r="D390" s="24" t="s">
        <v>129</v>
      </c>
      <c r="E390" s="62">
        <v>45818</v>
      </c>
      <c r="F390" s="62">
        <v>46182</v>
      </c>
      <c r="G390" s="37" t="s">
        <v>517</v>
      </c>
      <c r="H390" s="36">
        <v>2163</v>
      </c>
      <c r="I390" s="63">
        <v>27760</v>
      </c>
      <c r="J390" s="24" t="s">
        <v>1166</v>
      </c>
      <c r="K390" s="63">
        <f t="shared" si="122"/>
        <v>45818</v>
      </c>
      <c r="L390" s="55">
        <f t="shared" si="123"/>
        <v>0.04</v>
      </c>
      <c r="M390" s="76">
        <v>0.22500000000000001</v>
      </c>
      <c r="N390" s="62">
        <v>45818</v>
      </c>
      <c r="O390" s="62">
        <v>46182</v>
      </c>
      <c r="P390" s="63"/>
      <c r="Q390" s="63"/>
      <c r="R390" s="82">
        <v>49</v>
      </c>
      <c r="S390" s="63" t="str">
        <f>VLOOKUP(R390,SA!$B$5:$C$11,2,1)</f>
        <v>46-55</v>
      </c>
      <c r="T390" s="38" t="s">
        <v>97</v>
      </c>
      <c r="U390" s="24" t="s">
        <v>115</v>
      </c>
      <c r="V390" s="24">
        <v>300000</v>
      </c>
      <c r="W390" s="39">
        <f t="shared" si="124"/>
        <v>0</v>
      </c>
      <c r="X390" s="29">
        <f t="shared" si="125"/>
        <v>0</v>
      </c>
      <c r="Y390" s="40">
        <f t="shared" si="126"/>
        <v>365</v>
      </c>
      <c r="Z390" s="38">
        <f t="shared" si="121"/>
        <v>46081</v>
      </c>
      <c r="AA390" s="41">
        <f t="shared" si="127"/>
        <v>264</v>
      </c>
      <c r="AB390" s="24" t="s">
        <v>125</v>
      </c>
      <c r="AC390" s="41">
        <f t="shared" si="128"/>
        <v>9586.9925999999996</v>
      </c>
      <c r="AD390" s="41">
        <v>1</v>
      </c>
      <c r="AE390" s="72">
        <f>IFERROR(INDEX(SA!$C$4:$E$11,MATCH(Details!S390,SA!$C$4:$C$11,0),MATCH(Details!V390,SA!$C$4:$E$4,0)),0)*Y390/(F390-E390+1)</f>
        <v>8124.57</v>
      </c>
      <c r="AF390" s="41">
        <f t="shared" si="129"/>
        <v>0</v>
      </c>
      <c r="AG390" s="41">
        <f t="shared" si="130"/>
        <v>0</v>
      </c>
      <c r="AH390" s="41">
        <f t="shared" si="131"/>
        <v>1462.4225999999999</v>
      </c>
      <c r="AI390" s="60">
        <f t="shared" si="132"/>
        <v>324.9828</v>
      </c>
      <c r="AJ390" s="60">
        <f t="shared" si="133"/>
        <v>1828.0282500000001</v>
      </c>
      <c r="AK390" s="60">
        <f t="shared" si="134"/>
        <v>5876.4013150684932</v>
      </c>
      <c r="AL390" s="60">
        <f t="shared" si="135"/>
        <v>4319.1549665753428</v>
      </c>
      <c r="AM390" s="41">
        <f t="shared" si="136"/>
        <v>1652.4039834246571</v>
      </c>
      <c r="AN390" s="42">
        <f t="shared" si="137"/>
        <v>45715</v>
      </c>
      <c r="AO390" s="43">
        <f t="shared" si="138"/>
        <v>8124.57</v>
      </c>
    </row>
    <row r="391" spans="1:41" s="24" customFormat="1" ht="15.75" customHeight="1" x14ac:dyDescent="0.35">
      <c r="A391" s="36" t="s">
        <v>27</v>
      </c>
      <c r="B391" s="36">
        <v>202506</v>
      </c>
      <c r="C391" s="24" t="s">
        <v>128</v>
      </c>
      <c r="D391" s="24" t="s">
        <v>129</v>
      </c>
      <c r="E391" s="62">
        <v>45818</v>
      </c>
      <c r="F391" s="62">
        <v>46182</v>
      </c>
      <c r="G391" s="37" t="s">
        <v>518</v>
      </c>
      <c r="H391" s="36">
        <v>2163</v>
      </c>
      <c r="I391" s="63">
        <v>36779</v>
      </c>
      <c r="J391" s="24" t="s">
        <v>1167</v>
      </c>
      <c r="K391" s="63">
        <f t="shared" si="122"/>
        <v>45818</v>
      </c>
      <c r="L391" s="55">
        <f t="shared" si="123"/>
        <v>0.04</v>
      </c>
      <c r="M391" s="76">
        <v>0.22500000000000001</v>
      </c>
      <c r="N391" s="62">
        <v>45818</v>
      </c>
      <c r="O391" s="62">
        <v>46182</v>
      </c>
      <c r="P391" s="63"/>
      <c r="Q391" s="63"/>
      <c r="R391" s="82">
        <v>24</v>
      </c>
      <c r="S391" s="63" t="str">
        <f>VLOOKUP(R391,SA!$B$5:$C$11,2,1)</f>
        <v>0-35</v>
      </c>
      <c r="T391" s="38" t="s">
        <v>97</v>
      </c>
      <c r="U391" s="24" t="s">
        <v>113</v>
      </c>
      <c r="V391" s="24">
        <v>300000</v>
      </c>
      <c r="W391" s="39">
        <f t="shared" si="124"/>
        <v>0</v>
      </c>
      <c r="X391" s="29">
        <f t="shared" si="125"/>
        <v>0</v>
      </c>
      <c r="Y391" s="40">
        <f t="shared" si="126"/>
        <v>365</v>
      </c>
      <c r="Z391" s="38">
        <f t="shared" si="121"/>
        <v>46081</v>
      </c>
      <c r="AA391" s="41">
        <f t="shared" si="127"/>
        <v>264</v>
      </c>
      <c r="AB391" s="24" t="s">
        <v>125</v>
      </c>
      <c r="AC391" s="41">
        <f t="shared" si="128"/>
        <v>3874.2114000000001</v>
      </c>
      <c r="AD391" s="41">
        <v>1</v>
      </c>
      <c r="AE391" s="72">
        <f>IFERROR(INDEX(SA!$C$4:$E$11,MATCH(Details!S391,SA!$C$4:$C$11,0),MATCH(Details!V391,SA!$C$4:$E$4,0)),0)*Y391/(F391-E391+1)</f>
        <v>3283.23</v>
      </c>
      <c r="AF391" s="41">
        <f t="shared" si="129"/>
        <v>0</v>
      </c>
      <c r="AG391" s="41">
        <f t="shared" si="130"/>
        <v>0</v>
      </c>
      <c r="AH391" s="41">
        <f t="shared" si="131"/>
        <v>590.98140000000001</v>
      </c>
      <c r="AI391" s="60">
        <f t="shared" si="132"/>
        <v>131.32920000000001</v>
      </c>
      <c r="AJ391" s="60">
        <f t="shared" si="133"/>
        <v>738.72675000000004</v>
      </c>
      <c r="AK391" s="60">
        <f t="shared" si="134"/>
        <v>2374.7197808219175</v>
      </c>
      <c r="AL391" s="60">
        <f t="shared" si="135"/>
        <v>1745.4190389041094</v>
      </c>
      <c r="AM391" s="41">
        <f t="shared" si="136"/>
        <v>667.7550110958905</v>
      </c>
      <c r="AN391" s="42">
        <f t="shared" si="137"/>
        <v>45715</v>
      </c>
      <c r="AO391" s="43">
        <f t="shared" si="138"/>
        <v>3283.23</v>
      </c>
    </row>
    <row r="392" spans="1:41" s="24" customFormat="1" ht="15.75" customHeight="1" x14ac:dyDescent="0.35">
      <c r="A392" s="36" t="s">
        <v>27</v>
      </c>
      <c r="B392" s="36">
        <v>202506</v>
      </c>
      <c r="C392" s="24" t="s">
        <v>128</v>
      </c>
      <c r="D392" s="24" t="s">
        <v>129</v>
      </c>
      <c r="E392" s="62">
        <v>45818</v>
      </c>
      <c r="F392" s="62">
        <v>46182</v>
      </c>
      <c r="G392" s="37" t="s">
        <v>519</v>
      </c>
      <c r="H392" s="36">
        <v>2165</v>
      </c>
      <c r="I392" s="63">
        <v>31901</v>
      </c>
      <c r="J392" s="24" t="s">
        <v>1168</v>
      </c>
      <c r="K392" s="63">
        <f t="shared" si="122"/>
        <v>45818</v>
      </c>
      <c r="L392" s="55">
        <f t="shared" si="123"/>
        <v>0.04</v>
      </c>
      <c r="M392" s="76">
        <v>0.22500000000000001</v>
      </c>
      <c r="N392" s="62">
        <v>45818</v>
      </c>
      <c r="O392" s="62">
        <v>46182</v>
      </c>
      <c r="P392" s="63"/>
      <c r="Q392" s="63"/>
      <c r="R392" s="82">
        <v>38</v>
      </c>
      <c r="S392" s="63" t="str">
        <f>VLOOKUP(R392,SA!$B$5:$C$11,2,1)</f>
        <v>36-45</v>
      </c>
      <c r="T392" s="38" t="s">
        <v>96</v>
      </c>
      <c r="U392" s="24" t="s">
        <v>56</v>
      </c>
      <c r="V392" s="24">
        <v>300000</v>
      </c>
      <c r="W392" s="39">
        <f t="shared" si="124"/>
        <v>300000</v>
      </c>
      <c r="X392" s="29">
        <f t="shared" si="125"/>
        <v>1</v>
      </c>
      <c r="Y392" s="40">
        <f t="shared" si="126"/>
        <v>365</v>
      </c>
      <c r="Z392" s="38">
        <f t="shared" si="121"/>
        <v>46081</v>
      </c>
      <c r="AA392" s="41">
        <f t="shared" si="127"/>
        <v>264</v>
      </c>
      <c r="AB392" s="24" t="s">
        <v>125</v>
      </c>
      <c r="AC392" s="41">
        <f t="shared" si="128"/>
        <v>5017.3245999999999</v>
      </c>
      <c r="AD392" s="41">
        <v>1</v>
      </c>
      <c r="AE392" s="72">
        <f>IFERROR(INDEX(SA!$C$4:$E$11,MATCH(Details!S392,SA!$C$4:$C$11,0),MATCH(Details!V392,SA!$C$4:$E$4,0)),0)*Y392/(F392-E392+1)</f>
        <v>4251.97</v>
      </c>
      <c r="AF392" s="41">
        <f t="shared" si="129"/>
        <v>0</v>
      </c>
      <c r="AG392" s="41">
        <f t="shared" si="130"/>
        <v>0</v>
      </c>
      <c r="AH392" s="41">
        <f t="shared" si="131"/>
        <v>765.3546</v>
      </c>
      <c r="AI392" s="60">
        <f t="shared" si="132"/>
        <v>170.0788</v>
      </c>
      <c r="AJ392" s="60">
        <f t="shared" si="133"/>
        <v>956.69325000000003</v>
      </c>
      <c r="AK392" s="60">
        <f t="shared" si="134"/>
        <v>3075.397479452055</v>
      </c>
      <c r="AL392" s="60">
        <f t="shared" si="135"/>
        <v>2260.4171473972606</v>
      </c>
      <c r="AM392" s="41">
        <f t="shared" si="136"/>
        <v>864.78080260273941</v>
      </c>
      <c r="AN392" s="42">
        <f t="shared" si="137"/>
        <v>45715</v>
      </c>
      <c r="AO392" s="43">
        <f t="shared" si="138"/>
        <v>4251.97</v>
      </c>
    </row>
    <row r="393" spans="1:41" s="24" customFormat="1" ht="15.75" customHeight="1" x14ac:dyDescent="0.35">
      <c r="A393" s="36" t="s">
        <v>27</v>
      </c>
      <c r="B393" s="36">
        <v>202506</v>
      </c>
      <c r="C393" s="24" t="s">
        <v>128</v>
      </c>
      <c r="D393" s="24" t="s">
        <v>129</v>
      </c>
      <c r="E393" s="62">
        <v>45818</v>
      </c>
      <c r="F393" s="62">
        <v>46182</v>
      </c>
      <c r="G393" s="37" t="s">
        <v>520</v>
      </c>
      <c r="H393" s="36">
        <v>2165</v>
      </c>
      <c r="I393" s="63">
        <v>33604</v>
      </c>
      <c r="J393" s="24" t="s">
        <v>1169</v>
      </c>
      <c r="K393" s="63">
        <f t="shared" si="122"/>
        <v>45818</v>
      </c>
      <c r="L393" s="55">
        <f t="shared" si="123"/>
        <v>0.04</v>
      </c>
      <c r="M393" s="76">
        <v>0.22500000000000001</v>
      </c>
      <c r="N393" s="62">
        <v>45818</v>
      </c>
      <c r="O393" s="62">
        <v>46182</v>
      </c>
      <c r="P393" s="63"/>
      <c r="Q393" s="63"/>
      <c r="R393" s="82">
        <v>33</v>
      </c>
      <c r="S393" s="63" t="str">
        <f>VLOOKUP(R393,SA!$B$5:$C$11,2,1)</f>
        <v>0-35</v>
      </c>
      <c r="T393" s="38" t="s">
        <v>97</v>
      </c>
      <c r="U393" s="24" t="s">
        <v>115</v>
      </c>
      <c r="V393" s="24">
        <v>300000</v>
      </c>
      <c r="W393" s="39">
        <f t="shared" si="124"/>
        <v>0</v>
      </c>
      <c r="X393" s="29">
        <f t="shared" si="125"/>
        <v>0</v>
      </c>
      <c r="Y393" s="40">
        <f t="shared" si="126"/>
        <v>365</v>
      </c>
      <c r="Z393" s="38">
        <f t="shared" si="121"/>
        <v>46081</v>
      </c>
      <c r="AA393" s="41">
        <f t="shared" si="127"/>
        <v>264</v>
      </c>
      <c r="AB393" s="24" t="s">
        <v>125</v>
      </c>
      <c r="AC393" s="41">
        <f t="shared" si="128"/>
        <v>3874.2114000000001</v>
      </c>
      <c r="AD393" s="41">
        <v>1</v>
      </c>
      <c r="AE393" s="72">
        <f>IFERROR(INDEX(SA!$C$4:$E$11,MATCH(Details!S393,SA!$C$4:$C$11,0),MATCH(Details!V393,SA!$C$4:$E$4,0)),0)*Y393/(F393-E393+1)</f>
        <v>3283.23</v>
      </c>
      <c r="AF393" s="41">
        <f t="shared" si="129"/>
        <v>0</v>
      </c>
      <c r="AG393" s="41">
        <f t="shared" si="130"/>
        <v>0</v>
      </c>
      <c r="AH393" s="41">
        <f t="shared" si="131"/>
        <v>590.98140000000001</v>
      </c>
      <c r="AI393" s="60">
        <f t="shared" si="132"/>
        <v>131.32920000000001</v>
      </c>
      <c r="AJ393" s="60">
        <f t="shared" si="133"/>
        <v>738.72675000000004</v>
      </c>
      <c r="AK393" s="60">
        <f t="shared" si="134"/>
        <v>2374.7197808219175</v>
      </c>
      <c r="AL393" s="60">
        <f t="shared" si="135"/>
        <v>1745.4190389041094</v>
      </c>
      <c r="AM393" s="41">
        <f t="shared" si="136"/>
        <v>667.7550110958905</v>
      </c>
      <c r="AN393" s="42">
        <f t="shared" si="137"/>
        <v>45715</v>
      </c>
      <c r="AO393" s="43">
        <f t="shared" si="138"/>
        <v>3283.23</v>
      </c>
    </row>
    <row r="394" spans="1:41" s="24" customFormat="1" ht="15.75" customHeight="1" x14ac:dyDescent="0.35">
      <c r="A394" s="36" t="s">
        <v>27</v>
      </c>
      <c r="B394" s="36">
        <v>202506</v>
      </c>
      <c r="C394" s="24" t="s">
        <v>128</v>
      </c>
      <c r="D394" s="24" t="s">
        <v>129</v>
      </c>
      <c r="E394" s="62">
        <v>45818</v>
      </c>
      <c r="F394" s="62">
        <v>46182</v>
      </c>
      <c r="G394" s="37" t="s">
        <v>521</v>
      </c>
      <c r="H394" s="36">
        <v>2165</v>
      </c>
      <c r="I394" s="63">
        <v>42881</v>
      </c>
      <c r="J394" s="24" t="s">
        <v>1170</v>
      </c>
      <c r="K394" s="63">
        <f t="shared" si="122"/>
        <v>45818</v>
      </c>
      <c r="L394" s="55">
        <f t="shared" si="123"/>
        <v>0.04</v>
      </c>
      <c r="M394" s="76">
        <v>0.22500000000000001</v>
      </c>
      <c r="N394" s="62">
        <v>45818</v>
      </c>
      <c r="O394" s="62">
        <v>46182</v>
      </c>
      <c r="P394" s="63"/>
      <c r="Q394" s="63"/>
      <c r="R394" s="82">
        <v>8</v>
      </c>
      <c r="S394" s="63" t="str">
        <f>VLOOKUP(R394,SA!$B$5:$C$11,2,1)</f>
        <v>0-35</v>
      </c>
      <c r="T394" s="38" t="s">
        <v>96</v>
      </c>
      <c r="U394" s="24" t="s">
        <v>114</v>
      </c>
      <c r="V394" s="24">
        <v>300000</v>
      </c>
      <c r="W394" s="39">
        <f t="shared" si="124"/>
        <v>0</v>
      </c>
      <c r="X394" s="29">
        <f t="shared" si="125"/>
        <v>0</v>
      </c>
      <c r="Y394" s="40">
        <f t="shared" si="126"/>
        <v>365</v>
      </c>
      <c r="Z394" s="38">
        <f t="shared" si="121"/>
        <v>46081</v>
      </c>
      <c r="AA394" s="41">
        <f t="shared" si="127"/>
        <v>264</v>
      </c>
      <c r="AB394" s="24" t="s">
        <v>125</v>
      </c>
      <c r="AC394" s="41">
        <f t="shared" si="128"/>
        <v>3874.2114000000001</v>
      </c>
      <c r="AD394" s="41">
        <v>1</v>
      </c>
      <c r="AE394" s="72">
        <f>IFERROR(INDEX(SA!$C$4:$E$11,MATCH(Details!S394,SA!$C$4:$C$11,0),MATCH(Details!V394,SA!$C$4:$E$4,0)),0)*Y394/(F394-E394+1)</f>
        <v>3283.23</v>
      </c>
      <c r="AF394" s="41">
        <f t="shared" si="129"/>
        <v>0</v>
      </c>
      <c r="AG394" s="41">
        <f t="shared" si="130"/>
        <v>0</v>
      </c>
      <c r="AH394" s="41">
        <f t="shared" si="131"/>
        <v>590.98140000000001</v>
      </c>
      <c r="AI394" s="60">
        <f t="shared" si="132"/>
        <v>131.32920000000001</v>
      </c>
      <c r="AJ394" s="60">
        <f t="shared" si="133"/>
        <v>738.72675000000004</v>
      </c>
      <c r="AK394" s="60">
        <f t="shared" si="134"/>
        <v>2374.7197808219175</v>
      </c>
      <c r="AL394" s="60">
        <f t="shared" si="135"/>
        <v>1745.4190389041094</v>
      </c>
      <c r="AM394" s="41">
        <f t="shared" si="136"/>
        <v>667.7550110958905</v>
      </c>
      <c r="AN394" s="42">
        <f t="shared" si="137"/>
        <v>45715</v>
      </c>
      <c r="AO394" s="43">
        <f t="shared" si="138"/>
        <v>3283.23</v>
      </c>
    </row>
    <row r="395" spans="1:41" s="24" customFormat="1" ht="15.75" customHeight="1" x14ac:dyDescent="0.35">
      <c r="A395" s="36" t="s">
        <v>27</v>
      </c>
      <c r="B395" s="36">
        <v>202506</v>
      </c>
      <c r="C395" s="24" t="s">
        <v>128</v>
      </c>
      <c r="D395" s="24" t="s">
        <v>129</v>
      </c>
      <c r="E395" s="62">
        <v>45818</v>
      </c>
      <c r="F395" s="62">
        <v>46182</v>
      </c>
      <c r="G395" s="37" t="s">
        <v>522</v>
      </c>
      <c r="H395" s="36">
        <v>2165</v>
      </c>
      <c r="I395" s="63">
        <v>44148</v>
      </c>
      <c r="J395" s="24" t="s">
        <v>1171</v>
      </c>
      <c r="K395" s="63">
        <f t="shared" si="122"/>
        <v>45818</v>
      </c>
      <c r="L395" s="55">
        <f t="shared" si="123"/>
        <v>0.04</v>
      </c>
      <c r="M395" s="76">
        <v>0.22500000000000001</v>
      </c>
      <c r="N395" s="62">
        <v>45818</v>
      </c>
      <c r="O395" s="62">
        <v>46182</v>
      </c>
      <c r="P395" s="63"/>
      <c r="Q395" s="63"/>
      <c r="R395" s="82">
        <v>4</v>
      </c>
      <c r="S395" s="63" t="str">
        <f>VLOOKUP(R395,SA!$B$5:$C$11,2,1)</f>
        <v>0-35</v>
      </c>
      <c r="T395" s="38" t="s">
        <v>96</v>
      </c>
      <c r="U395" s="24" t="s">
        <v>114</v>
      </c>
      <c r="V395" s="24">
        <v>300000</v>
      </c>
      <c r="W395" s="39">
        <f t="shared" si="124"/>
        <v>0</v>
      </c>
      <c r="X395" s="29">
        <f t="shared" si="125"/>
        <v>0</v>
      </c>
      <c r="Y395" s="40">
        <f t="shared" si="126"/>
        <v>365</v>
      </c>
      <c r="Z395" s="38">
        <f t="shared" si="121"/>
        <v>46081</v>
      </c>
      <c r="AA395" s="41">
        <f t="shared" si="127"/>
        <v>264</v>
      </c>
      <c r="AB395" s="24" t="s">
        <v>125</v>
      </c>
      <c r="AC395" s="41">
        <f t="shared" si="128"/>
        <v>3874.2114000000001</v>
      </c>
      <c r="AD395" s="41">
        <v>1</v>
      </c>
      <c r="AE395" s="72">
        <f>IFERROR(INDEX(SA!$C$4:$E$11,MATCH(Details!S395,SA!$C$4:$C$11,0),MATCH(Details!V395,SA!$C$4:$E$4,0)),0)*Y395/(F395-E395+1)</f>
        <v>3283.23</v>
      </c>
      <c r="AF395" s="41">
        <f t="shared" si="129"/>
        <v>0</v>
      </c>
      <c r="AG395" s="41">
        <f t="shared" si="130"/>
        <v>0</v>
      </c>
      <c r="AH395" s="41">
        <f t="shared" si="131"/>
        <v>590.98140000000001</v>
      </c>
      <c r="AI395" s="60">
        <f t="shared" si="132"/>
        <v>131.32920000000001</v>
      </c>
      <c r="AJ395" s="60">
        <f t="shared" si="133"/>
        <v>738.72675000000004</v>
      </c>
      <c r="AK395" s="60">
        <f t="shared" si="134"/>
        <v>2374.7197808219175</v>
      </c>
      <c r="AL395" s="60">
        <f t="shared" si="135"/>
        <v>1745.4190389041094</v>
      </c>
      <c r="AM395" s="41">
        <f t="shared" si="136"/>
        <v>667.7550110958905</v>
      </c>
      <c r="AN395" s="42">
        <f t="shared" si="137"/>
        <v>45715</v>
      </c>
      <c r="AO395" s="43">
        <f t="shared" si="138"/>
        <v>3283.23</v>
      </c>
    </row>
    <row r="396" spans="1:41" s="24" customFormat="1" ht="15.75" customHeight="1" x14ac:dyDescent="0.35">
      <c r="A396" s="36" t="s">
        <v>27</v>
      </c>
      <c r="B396" s="36">
        <v>202506</v>
      </c>
      <c r="C396" s="24" t="s">
        <v>128</v>
      </c>
      <c r="D396" s="24" t="s">
        <v>129</v>
      </c>
      <c r="E396" s="62">
        <v>45818</v>
      </c>
      <c r="F396" s="62">
        <v>46182</v>
      </c>
      <c r="G396" s="37" t="s">
        <v>523</v>
      </c>
      <c r="H396" s="36">
        <v>2166</v>
      </c>
      <c r="I396" s="63">
        <v>32990</v>
      </c>
      <c r="J396" s="24" t="s">
        <v>1172</v>
      </c>
      <c r="K396" s="63">
        <f t="shared" si="122"/>
        <v>45818</v>
      </c>
      <c r="L396" s="55">
        <f t="shared" si="123"/>
        <v>0.04</v>
      </c>
      <c r="M396" s="76">
        <v>0.22500000000000001</v>
      </c>
      <c r="N396" s="62">
        <v>45818</v>
      </c>
      <c r="O396" s="62">
        <v>46182</v>
      </c>
      <c r="P396" s="63"/>
      <c r="Q396" s="63"/>
      <c r="R396" s="82">
        <v>35</v>
      </c>
      <c r="S396" s="63" t="str">
        <f>VLOOKUP(R396,SA!$B$5:$C$11,2,1)</f>
        <v>0-35</v>
      </c>
      <c r="T396" s="38" t="s">
        <v>96</v>
      </c>
      <c r="U396" s="24" t="s">
        <v>56</v>
      </c>
      <c r="V396" s="24">
        <v>300000</v>
      </c>
      <c r="W396" s="39">
        <f t="shared" si="124"/>
        <v>300000</v>
      </c>
      <c r="X396" s="29">
        <f t="shared" si="125"/>
        <v>1</v>
      </c>
      <c r="Y396" s="40">
        <f t="shared" si="126"/>
        <v>365</v>
      </c>
      <c r="Z396" s="38">
        <f t="shared" si="121"/>
        <v>46081</v>
      </c>
      <c r="AA396" s="41">
        <f t="shared" si="127"/>
        <v>264</v>
      </c>
      <c r="AB396" s="24" t="s">
        <v>125</v>
      </c>
      <c r="AC396" s="41">
        <f t="shared" si="128"/>
        <v>3874.2114000000001</v>
      </c>
      <c r="AD396" s="41">
        <v>1</v>
      </c>
      <c r="AE396" s="72">
        <f>IFERROR(INDEX(SA!$C$4:$E$11,MATCH(Details!S396,SA!$C$4:$C$11,0),MATCH(Details!V396,SA!$C$4:$E$4,0)),0)*Y396/(F396-E396+1)</f>
        <v>3283.23</v>
      </c>
      <c r="AF396" s="41">
        <f t="shared" si="129"/>
        <v>0</v>
      </c>
      <c r="AG396" s="41">
        <f t="shared" si="130"/>
        <v>0</v>
      </c>
      <c r="AH396" s="41">
        <f t="shared" si="131"/>
        <v>590.98140000000001</v>
      </c>
      <c r="AI396" s="60">
        <f t="shared" si="132"/>
        <v>131.32920000000001</v>
      </c>
      <c r="AJ396" s="60">
        <f t="shared" si="133"/>
        <v>738.72675000000004</v>
      </c>
      <c r="AK396" s="60">
        <f t="shared" si="134"/>
        <v>2374.7197808219175</v>
      </c>
      <c r="AL396" s="60">
        <f t="shared" si="135"/>
        <v>1745.4190389041094</v>
      </c>
      <c r="AM396" s="41">
        <f t="shared" si="136"/>
        <v>667.7550110958905</v>
      </c>
      <c r="AN396" s="42">
        <f t="shared" si="137"/>
        <v>45715</v>
      </c>
      <c r="AO396" s="43">
        <f t="shared" si="138"/>
        <v>3283.23</v>
      </c>
    </row>
    <row r="397" spans="1:41" s="24" customFormat="1" ht="15.75" customHeight="1" x14ac:dyDescent="0.35">
      <c r="A397" s="36" t="s">
        <v>27</v>
      </c>
      <c r="B397" s="36">
        <v>202506</v>
      </c>
      <c r="C397" s="24" t="s">
        <v>128</v>
      </c>
      <c r="D397" s="24" t="s">
        <v>129</v>
      </c>
      <c r="E397" s="62">
        <v>45818</v>
      </c>
      <c r="F397" s="62">
        <v>46182</v>
      </c>
      <c r="G397" s="37" t="s">
        <v>524</v>
      </c>
      <c r="H397" s="36">
        <v>2166</v>
      </c>
      <c r="I397" s="63">
        <v>35783</v>
      </c>
      <c r="J397" s="24" t="s">
        <v>1173</v>
      </c>
      <c r="K397" s="63">
        <f t="shared" si="122"/>
        <v>45818</v>
      </c>
      <c r="L397" s="55">
        <f t="shared" si="123"/>
        <v>0.04</v>
      </c>
      <c r="M397" s="76">
        <v>0.22500000000000001</v>
      </c>
      <c r="N397" s="62">
        <v>45818</v>
      </c>
      <c r="O397" s="62">
        <v>46182</v>
      </c>
      <c r="P397" s="63"/>
      <c r="Q397" s="63"/>
      <c r="R397" s="82">
        <v>27</v>
      </c>
      <c r="S397" s="63" t="str">
        <f>VLOOKUP(R397,SA!$B$5:$C$11,2,1)</f>
        <v>0-35</v>
      </c>
      <c r="T397" s="38" t="s">
        <v>97</v>
      </c>
      <c r="U397" s="24" t="s">
        <v>115</v>
      </c>
      <c r="V397" s="24">
        <v>300000</v>
      </c>
      <c r="W397" s="39">
        <f t="shared" si="124"/>
        <v>0</v>
      </c>
      <c r="X397" s="29">
        <f t="shared" si="125"/>
        <v>0</v>
      </c>
      <c r="Y397" s="40">
        <f t="shared" si="126"/>
        <v>365</v>
      </c>
      <c r="Z397" s="38">
        <f t="shared" si="121"/>
        <v>46081</v>
      </c>
      <c r="AA397" s="41">
        <f t="shared" si="127"/>
        <v>264</v>
      </c>
      <c r="AB397" s="24" t="s">
        <v>125</v>
      </c>
      <c r="AC397" s="41">
        <f t="shared" si="128"/>
        <v>3874.2114000000001</v>
      </c>
      <c r="AD397" s="41">
        <v>1</v>
      </c>
      <c r="AE397" s="72">
        <f>IFERROR(INDEX(SA!$C$4:$E$11,MATCH(Details!S397,SA!$C$4:$C$11,0),MATCH(Details!V397,SA!$C$4:$E$4,0)),0)*Y397/(F397-E397+1)</f>
        <v>3283.23</v>
      </c>
      <c r="AF397" s="41">
        <f t="shared" si="129"/>
        <v>0</v>
      </c>
      <c r="AG397" s="41">
        <f t="shared" si="130"/>
        <v>0</v>
      </c>
      <c r="AH397" s="41">
        <f t="shared" si="131"/>
        <v>590.98140000000001</v>
      </c>
      <c r="AI397" s="60">
        <f t="shared" si="132"/>
        <v>131.32920000000001</v>
      </c>
      <c r="AJ397" s="60">
        <f t="shared" si="133"/>
        <v>738.72675000000004</v>
      </c>
      <c r="AK397" s="60">
        <f t="shared" si="134"/>
        <v>2374.7197808219175</v>
      </c>
      <c r="AL397" s="60">
        <f t="shared" si="135"/>
        <v>1745.4190389041094</v>
      </c>
      <c r="AM397" s="41">
        <f t="shared" si="136"/>
        <v>667.7550110958905</v>
      </c>
      <c r="AN397" s="42">
        <f t="shared" si="137"/>
        <v>45715</v>
      </c>
      <c r="AO397" s="43">
        <f t="shared" si="138"/>
        <v>3283.23</v>
      </c>
    </row>
    <row r="398" spans="1:41" s="24" customFormat="1" ht="15.75" customHeight="1" x14ac:dyDescent="0.35">
      <c r="A398" s="36" t="s">
        <v>27</v>
      </c>
      <c r="B398" s="36">
        <v>202506</v>
      </c>
      <c r="C398" s="24" t="s">
        <v>128</v>
      </c>
      <c r="D398" s="24" t="s">
        <v>129</v>
      </c>
      <c r="E398" s="62">
        <v>45818</v>
      </c>
      <c r="F398" s="62">
        <v>46182</v>
      </c>
      <c r="G398" s="37" t="s">
        <v>525</v>
      </c>
      <c r="H398" s="36">
        <v>2166</v>
      </c>
      <c r="I398" s="63">
        <v>45545</v>
      </c>
      <c r="J398" s="24" t="s">
        <v>1174</v>
      </c>
      <c r="K398" s="63">
        <f t="shared" si="122"/>
        <v>45818</v>
      </c>
      <c r="L398" s="55">
        <f t="shared" si="123"/>
        <v>0.04</v>
      </c>
      <c r="M398" s="76">
        <v>0.22500000000000001</v>
      </c>
      <c r="N398" s="62">
        <v>45818</v>
      </c>
      <c r="O398" s="62">
        <v>46182</v>
      </c>
      <c r="P398" s="63"/>
      <c r="Q398" s="63"/>
      <c r="R398" s="82">
        <v>0</v>
      </c>
      <c r="S398" s="63" t="str">
        <f>VLOOKUP(R398,SA!$B$5:$C$11,2,1)</f>
        <v>0-35</v>
      </c>
      <c r="T398" s="38" t="s">
        <v>97</v>
      </c>
      <c r="U398" s="24" t="s">
        <v>113</v>
      </c>
      <c r="V398" s="24">
        <v>300000</v>
      </c>
      <c r="W398" s="39">
        <f t="shared" si="124"/>
        <v>0</v>
      </c>
      <c r="X398" s="29">
        <f t="shared" si="125"/>
        <v>0</v>
      </c>
      <c r="Y398" s="40">
        <f t="shared" si="126"/>
        <v>365</v>
      </c>
      <c r="Z398" s="38">
        <f t="shared" si="121"/>
        <v>46081</v>
      </c>
      <c r="AA398" s="41">
        <f t="shared" si="127"/>
        <v>264</v>
      </c>
      <c r="AB398" s="24" t="s">
        <v>125</v>
      </c>
      <c r="AC398" s="41">
        <f t="shared" si="128"/>
        <v>3874.2114000000001</v>
      </c>
      <c r="AD398" s="41">
        <v>1</v>
      </c>
      <c r="AE398" s="72">
        <f>IFERROR(INDEX(SA!$C$4:$E$11,MATCH(Details!S398,SA!$C$4:$C$11,0),MATCH(Details!V398,SA!$C$4:$E$4,0)),0)*Y398/(F398-E398+1)</f>
        <v>3283.23</v>
      </c>
      <c r="AF398" s="41">
        <f t="shared" si="129"/>
        <v>0</v>
      </c>
      <c r="AG398" s="41">
        <f t="shared" si="130"/>
        <v>0</v>
      </c>
      <c r="AH398" s="41">
        <f t="shared" si="131"/>
        <v>590.98140000000001</v>
      </c>
      <c r="AI398" s="60">
        <f t="shared" si="132"/>
        <v>131.32920000000001</v>
      </c>
      <c r="AJ398" s="60">
        <f t="shared" si="133"/>
        <v>738.72675000000004</v>
      </c>
      <c r="AK398" s="60">
        <f t="shared" si="134"/>
        <v>2374.7197808219175</v>
      </c>
      <c r="AL398" s="60">
        <f t="shared" si="135"/>
        <v>1745.4190389041094</v>
      </c>
      <c r="AM398" s="41">
        <f t="shared" si="136"/>
        <v>667.7550110958905</v>
      </c>
      <c r="AN398" s="42">
        <f t="shared" si="137"/>
        <v>45715</v>
      </c>
      <c r="AO398" s="43">
        <f t="shared" si="138"/>
        <v>3283.23</v>
      </c>
    </row>
    <row r="399" spans="1:41" s="24" customFormat="1" ht="15.75" customHeight="1" x14ac:dyDescent="0.35">
      <c r="A399" s="36" t="s">
        <v>27</v>
      </c>
      <c r="B399" s="36">
        <v>202506</v>
      </c>
      <c r="C399" s="24" t="s">
        <v>128</v>
      </c>
      <c r="D399" s="24" t="s">
        <v>129</v>
      </c>
      <c r="E399" s="62">
        <v>45818</v>
      </c>
      <c r="F399" s="62">
        <v>46182</v>
      </c>
      <c r="G399" s="37" t="s">
        <v>526</v>
      </c>
      <c r="H399" s="36">
        <v>2167</v>
      </c>
      <c r="I399" s="63">
        <v>33813</v>
      </c>
      <c r="J399" s="24" t="s">
        <v>1175</v>
      </c>
      <c r="K399" s="63">
        <f t="shared" si="122"/>
        <v>45818</v>
      </c>
      <c r="L399" s="55">
        <f t="shared" si="123"/>
        <v>0.04</v>
      </c>
      <c r="M399" s="76">
        <v>0.22500000000000001</v>
      </c>
      <c r="N399" s="62">
        <v>45818</v>
      </c>
      <c r="O399" s="62">
        <v>46182</v>
      </c>
      <c r="P399" s="63"/>
      <c r="Q399" s="63"/>
      <c r="R399" s="82">
        <v>32</v>
      </c>
      <c r="S399" s="63" t="str">
        <f>VLOOKUP(R399,SA!$B$5:$C$11,2,1)</f>
        <v>0-35</v>
      </c>
      <c r="T399" s="38" t="s">
        <v>96</v>
      </c>
      <c r="U399" s="24" t="s">
        <v>56</v>
      </c>
      <c r="V399" s="24">
        <v>300000</v>
      </c>
      <c r="W399" s="39">
        <f t="shared" si="124"/>
        <v>300000</v>
      </c>
      <c r="X399" s="29">
        <f t="shared" si="125"/>
        <v>1</v>
      </c>
      <c r="Y399" s="40">
        <f t="shared" si="126"/>
        <v>365</v>
      </c>
      <c r="Z399" s="38">
        <f t="shared" si="121"/>
        <v>46081</v>
      </c>
      <c r="AA399" s="41">
        <f t="shared" si="127"/>
        <v>264</v>
      </c>
      <c r="AB399" s="24" t="s">
        <v>125</v>
      </c>
      <c r="AC399" s="41">
        <f t="shared" si="128"/>
        <v>3874.2114000000001</v>
      </c>
      <c r="AD399" s="41">
        <v>1</v>
      </c>
      <c r="AE399" s="72">
        <f>IFERROR(INDEX(SA!$C$4:$E$11,MATCH(Details!S399,SA!$C$4:$C$11,0),MATCH(Details!V399,SA!$C$4:$E$4,0)),0)*Y399/(F399-E399+1)</f>
        <v>3283.23</v>
      </c>
      <c r="AF399" s="41">
        <f t="shared" si="129"/>
        <v>0</v>
      </c>
      <c r="AG399" s="41">
        <f t="shared" si="130"/>
        <v>0</v>
      </c>
      <c r="AH399" s="41">
        <f t="shared" si="131"/>
        <v>590.98140000000001</v>
      </c>
      <c r="AI399" s="60">
        <f t="shared" si="132"/>
        <v>131.32920000000001</v>
      </c>
      <c r="AJ399" s="60">
        <f t="shared" si="133"/>
        <v>738.72675000000004</v>
      </c>
      <c r="AK399" s="60">
        <f t="shared" si="134"/>
        <v>2374.7197808219175</v>
      </c>
      <c r="AL399" s="60">
        <f t="shared" si="135"/>
        <v>1745.4190389041094</v>
      </c>
      <c r="AM399" s="41">
        <f t="shared" si="136"/>
        <v>667.7550110958905</v>
      </c>
      <c r="AN399" s="42">
        <f t="shared" si="137"/>
        <v>45715</v>
      </c>
      <c r="AO399" s="43">
        <f t="shared" si="138"/>
        <v>3283.23</v>
      </c>
    </row>
    <row r="400" spans="1:41" s="24" customFormat="1" ht="15.75" customHeight="1" x14ac:dyDescent="0.35">
      <c r="A400" s="36" t="s">
        <v>27</v>
      </c>
      <c r="B400" s="36">
        <v>202506</v>
      </c>
      <c r="C400" s="24" t="s">
        <v>128</v>
      </c>
      <c r="D400" s="24" t="s">
        <v>129</v>
      </c>
      <c r="E400" s="62">
        <v>45818</v>
      </c>
      <c r="F400" s="62">
        <v>46182</v>
      </c>
      <c r="G400" s="37" t="s">
        <v>527</v>
      </c>
      <c r="H400" s="36">
        <v>2167</v>
      </c>
      <c r="I400" s="63">
        <v>37747</v>
      </c>
      <c r="J400" s="24" t="s">
        <v>1176</v>
      </c>
      <c r="K400" s="63">
        <f t="shared" si="122"/>
        <v>45818</v>
      </c>
      <c r="L400" s="55">
        <f t="shared" si="123"/>
        <v>0.04</v>
      </c>
      <c r="M400" s="76">
        <v>0.22500000000000001</v>
      </c>
      <c r="N400" s="62">
        <v>45818</v>
      </c>
      <c r="O400" s="62">
        <v>46182</v>
      </c>
      <c r="P400" s="63"/>
      <c r="Q400" s="63"/>
      <c r="R400" s="82">
        <v>22</v>
      </c>
      <c r="S400" s="63" t="str">
        <f>VLOOKUP(R400,SA!$B$5:$C$11,2,1)</f>
        <v>0-35</v>
      </c>
      <c r="T400" s="38" t="s">
        <v>97</v>
      </c>
      <c r="U400" s="24" t="s">
        <v>115</v>
      </c>
      <c r="V400" s="24">
        <v>300000</v>
      </c>
      <c r="W400" s="39">
        <f t="shared" si="124"/>
        <v>0</v>
      </c>
      <c r="X400" s="29">
        <f t="shared" si="125"/>
        <v>0</v>
      </c>
      <c r="Y400" s="40">
        <f t="shared" si="126"/>
        <v>365</v>
      </c>
      <c r="Z400" s="38">
        <f t="shared" si="121"/>
        <v>46081</v>
      </c>
      <c r="AA400" s="41">
        <f t="shared" si="127"/>
        <v>264</v>
      </c>
      <c r="AB400" s="24" t="s">
        <v>125</v>
      </c>
      <c r="AC400" s="41">
        <f t="shared" si="128"/>
        <v>3874.2114000000001</v>
      </c>
      <c r="AD400" s="41">
        <v>1</v>
      </c>
      <c r="AE400" s="72">
        <f>IFERROR(INDEX(SA!$C$4:$E$11,MATCH(Details!S400,SA!$C$4:$C$11,0),MATCH(Details!V400,SA!$C$4:$E$4,0)),0)*Y400/(F400-E400+1)</f>
        <v>3283.23</v>
      </c>
      <c r="AF400" s="41">
        <f t="shared" si="129"/>
        <v>0</v>
      </c>
      <c r="AG400" s="41">
        <f t="shared" si="130"/>
        <v>0</v>
      </c>
      <c r="AH400" s="41">
        <f t="shared" si="131"/>
        <v>590.98140000000001</v>
      </c>
      <c r="AI400" s="60">
        <f t="shared" si="132"/>
        <v>131.32920000000001</v>
      </c>
      <c r="AJ400" s="60">
        <f t="shared" si="133"/>
        <v>738.72675000000004</v>
      </c>
      <c r="AK400" s="60">
        <f t="shared" si="134"/>
        <v>2374.7197808219175</v>
      </c>
      <c r="AL400" s="60">
        <f t="shared" si="135"/>
        <v>1745.4190389041094</v>
      </c>
      <c r="AM400" s="41">
        <f t="shared" si="136"/>
        <v>667.7550110958905</v>
      </c>
      <c r="AN400" s="42">
        <f t="shared" si="137"/>
        <v>45715</v>
      </c>
      <c r="AO400" s="43">
        <f t="shared" si="138"/>
        <v>3283.23</v>
      </c>
    </row>
    <row r="401" spans="1:41" s="24" customFormat="1" ht="15.75" customHeight="1" x14ac:dyDescent="0.35">
      <c r="A401" s="36" t="s">
        <v>27</v>
      </c>
      <c r="B401" s="36">
        <v>202506</v>
      </c>
      <c r="C401" s="24" t="s">
        <v>128</v>
      </c>
      <c r="D401" s="24" t="s">
        <v>129</v>
      </c>
      <c r="E401" s="62">
        <v>45818</v>
      </c>
      <c r="F401" s="62">
        <v>46182</v>
      </c>
      <c r="G401" s="37" t="s">
        <v>528</v>
      </c>
      <c r="H401" s="36">
        <v>2171</v>
      </c>
      <c r="I401" s="63">
        <v>30701</v>
      </c>
      <c r="J401" s="24" t="s">
        <v>1177</v>
      </c>
      <c r="K401" s="63">
        <f t="shared" si="122"/>
        <v>45818</v>
      </c>
      <c r="L401" s="55">
        <f t="shared" si="123"/>
        <v>0.04</v>
      </c>
      <c r="M401" s="76">
        <v>0.22500000000000001</v>
      </c>
      <c r="N401" s="62">
        <v>45818</v>
      </c>
      <c r="O401" s="62">
        <v>46182</v>
      </c>
      <c r="P401" s="63"/>
      <c r="Q401" s="63"/>
      <c r="R401" s="82">
        <v>41</v>
      </c>
      <c r="S401" s="63" t="str">
        <f>VLOOKUP(R401,SA!$B$5:$C$11,2,1)</f>
        <v>36-45</v>
      </c>
      <c r="T401" s="38" t="s">
        <v>96</v>
      </c>
      <c r="U401" s="24" t="s">
        <v>56</v>
      </c>
      <c r="V401" s="24">
        <v>300000</v>
      </c>
      <c r="W401" s="39">
        <f t="shared" si="124"/>
        <v>300000</v>
      </c>
      <c r="X401" s="29">
        <f t="shared" si="125"/>
        <v>1</v>
      </c>
      <c r="Y401" s="40">
        <f t="shared" si="126"/>
        <v>365</v>
      </c>
      <c r="Z401" s="38">
        <f t="shared" si="121"/>
        <v>46081</v>
      </c>
      <c r="AA401" s="41">
        <f t="shared" si="127"/>
        <v>264</v>
      </c>
      <c r="AB401" s="24" t="s">
        <v>125</v>
      </c>
      <c r="AC401" s="41">
        <f t="shared" si="128"/>
        <v>5017.3245999999999</v>
      </c>
      <c r="AD401" s="41">
        <v>1</v>
      </c>
      <c r="AE401" s="72">
        <f>IFERROR(INDEX(SA!$C$4:$E$11,MATCH(Details!S401,SA!$C$4:$C$11,0),MATCH(Details!V401,SA!$C$4:$E$4,0)),0)*Y401/(F401-E401+1)</f>
        <v>4251.97</v>
      </c>
      <c r="AF401" s="41">
        <f t="shared" si="129"/>
        <v>0</v>
      </c>
      <c r="AG401" s="41">
        <f t="shared" si="130"/>
        <v>0</v>
      </c>
      <c r="AH401" s="41">
        <f t="shared" si="131"/>
        <v>765.3546</v>
      </c>
      <c r="AI401" s="60">
        <f t="shared" si="132"/>
        <v>170.0788</v>
      </c>
      <c r="AJ401" s="60">
        <f t="shared" si="133"/>
        <v>956.69325000000003</v>
      </c>
      <c r="AK401" s="60">
        <f t="shared" si="134"/>
        <v>3075.397479452055</v>
      </c>
      <c r="AL401" s="60">
        <f t="shared" si="135"/>
        <v>2260.4171473972606</v>
      </c>
      <c r="AM401" s="41">
        <f t="shared" si="136"/>
        <v>864.78080260273941</v>
      </c>
      <c r="AN401" s="42">
        <f t="shared" si="137"/>
        <v>45715</v>
      </c>
      <c r="AO401" s="43">
        <f t="shared" si="138"/>
        <v>4251.97</v>
      </c>
    </row>
    <row r="402" spans="1:41" s="24" customFormat="1" ht="15.75" customHeight="1" x14ac:dyDescent="0.35">
      <c r="A402" s="36" t="s">
        <v>27</v>
      </c>
      <c r="B402" s="36">
        <v>202506</v>
      </c>
      <c r="C402" s="24" t="s">
        <v>128</v>
      </c>
      <c r="D402" s="24" t="s">
        <v>129</v>
      </c>
      <c r="E402" s="62">
        <v>45818</v>
      </c>
      <c r="F402" s="62">
        <v>46182</v>
      </c>
      <c r="G402" s="37" t="s">
        <v>529</v>
      </c>
      <c r="H402" s="36">
        <v>2171</v>
      </c>
      <c r="I402" s="63">
        <v>40479</v>
      </c>
      <c r="J402" s="24" t="s">
        <v>1178</v>
      </c>
      <c r="K402" s="63">
        <f t="shared" si="122"/>
        <v>45818</v>
      </c>
      <c r="L402" s="55">
        <f t="shared" si="123"/>
        <v>0.04</v>
      </c>
      <c r="M402" s="76">
        <v>0.22500000000000001</v>
      </c>
      <c r="N402" s="62">
        <v>45818</v>
      </c>
      <c r="O402" s="62">
        <v>46182</v>
      </c>
      <c r="P402" s="63"/>
      <c r="Q402" s="63"/>
      <c r="R402" s="82">
        <v>14</v>
      </c>
      <c r="S402" s="63" t="str">
        <f>VLOOKUP(R402,SA!$B$5:$C$11,2,1)</f>
        <v>0-35</v>
      </c>
      <c r="T402" s="38" t="s">
        <v>97</v>
      </c>
      <c r="U402" s="24" t="s">
        <v>113</v>
      </c>
      <c r="V402" s="24">
        <v>300000</v>
      </c>
      <c r="W402" s="39">
        <f t="shared" si="124"/>
        <v>0</v>
      </c>
      <c r="X402" s="29">
        <f t="shared" si="125"/>
        <v>0</v>
      </c>
      <c r="Y402" s="40">
        <f t="shared" si="126"/>
        <v>365</v>
      </c>
      <c r="Z402" s="38">
        <f t="shared" si="121"/>
        <v>46081</v>
      </c>
      <c r="AA402" s="41">
        <f t="shared" si="127"/>
        <v>264</v>
      </c>
      <c r="AB402" s="24" t="s">
        <v>125</v>
      </c>
      <c r="AC402" s="41">
        <f t="shared" si="128"/>
        <v>3874.2114000000001</v>
      </c>
      <c r="AD402" s="41">
        <v>1</v>
      </c>
      <c r="AE402" s="72">
        <f>IFERROR(INDEX(SA!$C$4:$E$11,MATCH(Details!S402,SA!$C$4:$C$11,0),MATCH(Details!V402,SA!$C$4:$E$4,0)),0)*Y402/(F402-E402+1)</f>
        <v>3283.23</v>
      </c>
      <c r="AF402" s="41">
        <f t="shared" si="129"/>
        <v>0</v>
      </c>
      <c r="AG402" s="41">
        <f t="shared" si="130"/>
        <v>0</v>
      </c>
      <c r="AH402" s="41">
        <f t="shared" si="131"/>
        <v>590.98140000000001</v>
      </c>
      <c r="AI402" s="60">
        <f t="shared" si="132"/>
        <v>131.32920000000001</v>
      </c>
      <c r="AJ402" s="60">
        <f t="shared" si="133"/>
        <v>738.72675000000004</v>
      </c>
      <c r="AK402" s="60">
        <f t="shared" si="134"/>
        <v>2374.7197808219175</v>
      </c>
      <c r="AL402" s="60">
        <f t="shared" si="135"/>
        <v>1745.4190389041094</v>
      </c>
      <c r="AM402" s="41">
        <f t="shared" si="136"/>
        <v>667.7550110958905</v>
      </c>
      <c r="AN402" s="42">
        <f t="shared" si="137"/>
        <v>45715</v>
      </c>
      <c r="AO402" s="43">
        <f t="shared" si="138"/>
        <v>3283.23</v>
      </c>
    </row>
    <row r="403" spans="1:41" s="24" customFormat="1" ht="15.75" customHeight="1" x14ac:dyDescent="0.35">
      <c r="A403" s="36" t="s">
        <v>27</v>
      </c>
      <c r="B403" s="36">
        <v>202506</v>
      </c>
      <c r="C403" s="24" t="s">
        <v>128</v>
      </c>
      <c r="D403" s="24" t="s">
        <v>129</v>
      </c>
      <c r="E403" s="62">
        <v>45818</v>
      </c>
      <c r="F403" s="62">
        <v>46182</v>
      </c>
      <c r="G403" s="37" t="s">
        <v>530</v>
      </c>
      <c r="H403" s="36">
        <v>2171</v>
      </c>
      <c r="I403" s="63">
        <v>32914</v>
      </c>
      <c r="J403" s="24" t="s">
        <v>1179</v>
      </c>
      <c r="K403" s="63">
        <f t="shared" si="122"/>
        <v>45818</v>
      </c>
      <c r="L403" s="55">
        <f t="shared" si="123"/>
        <v>0.04</v>
      </c>
      <c r="M403" s="76">
        <v>0.22500000000000001</v>
      </c>
      <c r="N403" s="62">
        <v>45818</v>
      </c>
      <c r="O403" s="62">
        <v>46182</v>
      </c>
      <c r="P403" s="63"/>
      <c r="Q403" s="63"/>
      <c r="R403" s="82">
        <v>35</v>
      </c>
      <c r="S403" s="63" t="str">
        <f>VLOOKUP(R403,SA!$B$5:$C$11,2,1)</f>
        <v>0-35</v>
      </c>
      <c r="T403" s="38" t="s">
        <v>97</v>
      </c>
      <c r="U403" s="24" t="s">
        <v>115</v>
      </c>
      <c r="V403" s="24">
        <v>300000</v>
      </c>
      <c r="W403" s="39">
        <f t="shared" si="124"/>
        <v>0</v>
      </c>
      <c r="X403" s="29">
        <f t="shared" si="125"/>
        <v>0</v>
      </c>
      <c r="Y403" s="40">
        <f t="shared" si="126"/>
        <v>365</v>
      </c>
      <c r="Z403" s="38">
        <f t="shared" si="121"/>
        <v>46081</v>
      </c>
      <c r="AA403" s="41">
        <f t="shared" si="127"/>
        <v>264</v>
      </c>
      <c r="AB403" s="24" t="s">
        <v>125</v>
      </c>
      <c r="AC403" s="41">
        <f t="shared" si="128"/>
        <v>3874.2114000000001</v>
      </c>
      <c r="AD403" s="41">
        <v>1</v>
      </c>
      <c r="AE403" s="72">
        <f>IFERROR(INDEX(SA!$C$4:$E$11,MATCH(Details!S403,SA!$C$4:$C$11,0),MATCH(Details!V403,SA!$C$4:$E$4,0)),0)*Y403/(F403-E403+1)</f>
        <v>3283.23</v>
      </c>
      <c r="AF403" s="41">
        <f t="shared" si="129"/>
        <v>0</v>
      </c>
      <c r="AG403" s="41">
        <f t="shared" si="130"/>
        <v>0</v>
      </c>
      <c r="AH403" s="41">
        <f t="shared" si="131"/>
        <v>590.98140000000001</v>
      </c>
      <c r="AI403" s="60">
        <f t="shared" si="132"/>
        <v>131.32920000000001</v>
      </c>
      <c r="AJ403" s="60">
        <f t="shared" si="133"/>
        <v>738.72675000000004</v>
      </c>
      <c r="AK403" s="60">
        <f t="shared" si="134"/>
        <v>2374.7197808219175</v>
      </c>
      <c r="AL403" s="60">
        <f t="shared" si="135"/>
        <v>1745.4190389041094</v>
      </c>
      <c r="AM403" s="41">
        <f t="shared" si="136"/>
        <v>667.7550110958905</v>
      </c>
      <c r="AN403" s="42">
        <f t="shared" si="137"/>
        <v>45715</v>
      </c>
      <c r="AO403" s="43">
        <f t="shared" si="138"/>
        <v>3283.23</v>
      </c>
    </row>
    <row r="404" spans="1:41" s="24" customFormat="1" ht="15.75" customHeight="1" x14ac:dyDescent="0.35">
      <c r="A404" s="36" t="s">
        <v>27</v>
      </c>
      <c r="B404" s="36">
        <v>202506</v>
      </c>
      <c r="C404" s="24" t="s">
        <v>128</v>
      </c>
      <c r="D404" s="24" t="s">
        <v>129</v>
      </c>
      <c r="E404" s="62">
        <v>45818</v>
      </c>
      <c r="F404" s="62">
        <v>46182</v>
      </c>
      <c r="G404" s="37" t="s">
        <v>531</v>
      </c>
      <c r="H404" s="36">
        <v>2172</v>
      </c>
      <c r="I404" s="63">
        <v>31612</v>
      </c>
      <c r="J404" s="24" t="s">
        <v>1180</v>
      </c>
      <c r="K404" s="63">
        <f t="shared" si="122"/>
        <v>45818</v>
      </c>
      <c r="L404" s="55">
        <f t="shared" si="123"/>
        <v>0.04</v>
      </c>
      <c r="M404" s="76">
        <v>0.22500000000000001</v>
      </c>
      <c r="N404" s="62">
        <v>45818</v>
      </c>
      <c r="O404" s="62">
        <v>46182</v>
      </c>
      <c r="P404" s="63"/>
      <c r="Q404" s="63"/>
      <c r="R404" s="82">
        <v>38</v>
      </c>
      <c r="S404" s="63" t="str">
        <f>VLOOKUP(R404,SA!$B$5:$C$11,2,1)</f>
        <v>36-45</v>
      </c>
      <c r="T404" s="38" t="s">
        <v>96</v>
      </c>
      <c r="U404" s="24" t="s">
        <v>56</v>
      </c>
      <c r="V404" s="24">
        <v>300000</v>
      </c>
      <c r="W404" s="39">
        <f t="shared" si="124"/>
        <v>300000</v>
      </c>
      <c r="X404" s="29">
        <f t="shared" si="125"/>
        <v>1</v>
      </c>
      <c r="Y404" s="40">
        <f t="shared" si="126"/>
        <v>365</v>
      </c>
      <c r="Z404" s="38">
        <f t="shared" si="121"/>
        <v>46081</v>
      </c>
      <c r="AA404" s="41">
        <f t="shared" si="127"/>
        <v>264</v>
      </c>
      <c r="AB404" s="24" t="s">
        <v>125</v>
      </c>
      <c r="AC404" s="41">
        <f t="shared" si="128"/>
        <v>5017.3245999999999</v>
      </c>
      <c r="AD404" s="41">
        <v>1</v>
      </c>
      <c r="AE404" s="72">
        <f>IFERROR(INDEX(SA!$C$4:$E$11,MATCH(Details!S404,SA!$C$4:$C$11,0),MATCH(Details!V404,SA!$C$4:$E$4,0)),0)*Y404/(F404-E404+1)</f>
        <v>4251.97</v>
      </c>
      <c r="AF404" s="41">
        <f t="shared" si="129"/>
        <v>0</v>
      </c>
      <c r="AG404" s="41">
        <f t="shared" si="130"/>
        <v>0</v>
      </c>
      <c r="AH404" s="41">
        <f t="shared" si="131"/>
        <v>765.3546</v>
      </c>
      <c r="AI404" s="60">
        <f t="shared" si="132"/>
        <v>170.0788</v>
      </c>
      <c r="AJ404" s="60">
        <f t="shared" si="133"/>
        <v>956.69325000000003</v>
      </c>
      <c r="AK404" s="60">
        <f t="shared" si="134"/>
        <v>3075.397479452055</v>
      </c>
      <c r="AL404" s="60">
        <f t="shared" si="135"/>
        <v>2260.4171473972606</v>
      </c>
      <c r="AM404" s="41">
        <f t="shared" si="136"/>
        <v>864.78080260273941</v>
      </c>
      <c r="AN404" s="42">
        <f t="shared" si="137"/>
        <v>45715</v>
      </c>
      <c r="AO404" s="43">
        <f t="shared" si="138"/>
        <v>4251.97</v>
      </c>
    </row>
    <row r="405" spans="1:41" s="24" customFormat="1" ht="15.75" customHeight="1" x14ac:dyDescent="0.35">
      <c r="A405" s="36" t="s">
        <v>27</v>
      </c>
      <c r="B405" s="36">
        <v>202506</v>
      </c>
      <c r="C405" s="24" t="s">
        <v>128</v>
      </c>
      <c r="D405" s="24" t="s">
        <v>129</v>
      </c>
      <c r="E405" s="62">
        <v>45818</v>
      </c>
      <c r="F405" s="62">
        <v>46182</v>
      </c>
      <c r="G405" s="37" t="s">
        <v>532</v>
      </c>
      <c r="H405" s="36">
        <v>2172</v>
      </c>
      <c r="I405" s="63">
        <v>34618</v>
      </c>
      <c r="J405" s="24" t="s">
        <v>1181</v>
      </c>
      <c r="K405" s="63">
        <f t="shared" si="122"/>
        <v>45818</v>
      </c>
      <c r="L405" s="55">
        <f t="shared" si="123"/>
        <v>0.04</v>
      </c>
      <c r="M405" s="76">
        <v>0.22500000000000001</v>
      </c>
      <c r="N405" s="62">
        <v>45818</v>
      </c>
      <c r="O405" s="62">
        <v>46182</v>
      </c>
      <c r="P405" s="63"/>
      <c r="Q405" s="63"/>
      <c r="R405" s="82">
        <v>30</v>
      </c>
      <c r="S405" s="63" t="str">
        <f>VLOOKUP(R405,SA!$B$5:$C$11,2,1)</f>
        <v>0-35</v>
      </c>
      <c r="T405" s="38" t="s">
        <v>97</v>
      </c>
      <c r="U405" s="24" t="s">
        <v>115</v>
      </c>
      <c r="V405" s="24">
        <v>300000</v>
      </c>
      <c r="W405" s="39">
        <f t="shared" si="124"/>
        <v>0</v>
      </c>
      <c r="X405" s="29">
        <f t="shared" si="125"/>
        <v>0</v>
      </c>
      <c r="Y405" s="40">
        <f t="shared" si="126"/>
        <v>365</v>
      </c>
      <c r="Z405" s="38">
        <f t="shared" si="121"/>
        <v>46081</v>
      </c>
      <c r="AA405" s="41">
        <f t="shared" si="127"/>
        <v>264</v>
      </c>
      <c r="AB405" s="24" t="s">
        <v>125</v>
      </c>
      <c r="AC405" s="41">
        <f t="shared" si="128"/>
        <v>3874.2114000000001</v>
      </c>
      <c r="AD405" s="41">
        <v>1</v>
      </c>
      <c r="AE405" s="72">
        <f>IFERROR(INDEX(SA!$C$4:$E$11,MATCH(Details!S405,SA!$C$4:$C$11,0),MATCH(Details!V405,SA!$C$4:$E$4,0)),0)*Y405/(F405-E405+1)</f>
        <v>3283.23</v>
      </c>
      <c r="AF405" s="41">
        <f t="shared" si="129"/>
        <v>0</v>
      </c>
      <c r="AG405" s="41">
        <f t="shared" si="130"/>
        <v>0</v>
      </c>
      <c r="AH405" s="41">
        <f t="shared" si="131"/>
        <v>590.98140000000001</v>
      </c>
      <c r="AI405" s="60">
        <f t="shared" si="132"/>
        <v>131.32920000000001</v>
      </c>
      <c r="AJ405" s="60">
        <f t="shared" si="133"/>
        <v>738.72675000000004</v>
      </c>
      <c r="AK405" s="60">
        <f t="shared" si="134"/>
        <v>2374.7197808219175</v>
      </c>
      <c r="AL405" s="60">
        <f t="shared" si="135"/>
        <v>1745.4190389041094</v>
      </c>
      <c r="AM405" s="41">
        <f t="shared" si="136"/>
        <v>667.7550110958905</v>
      </c>
      <c r="AN405" s="42">
        <f t="shared" si="137"/>
        <v>45715</v>
      </c>
      <c r="AO405" s="43">
        <f t="shared" si="138"/>
        <v>3283.23</v>
      </c>
    </row>
    <row r="406" spans="1:41" s="24" customFormat="1" ht="15.75" customHeight="1" x14ac:dyDescent="0.35">
      <c r="A406" s="36" t="s">
        <v>27</v>
      </c>
      <c r="B406" s="36">
        <v>202506</v>
      </c>
      <c r="C406" s="24" t="s">
        <v>128</v>
      </c>
      <c r="D406" s="24" t="s">
        <v>129</v>
      </c>
      <c r="E406" s="62">
        <v>45818</v>
      </c>
      <c r="F406" s="62">
        <v>46182</v>
      </c>
      <c r="G406" s="37" t="s">
        <v>533</v>
      </c>
      <c r="H406" s="36">
        <v>2172</v>
      </c>
      <c r="I406" s="63">
        <v>42247</v>
      </c>
      <c r="J406" s="24" t="s">
        <v>1182</v>
      </c>
      <c r="K406" s="63">
        <f t="shared" si="122"/>
        <v>45818</v>
      </c>
      <c r="L406" s="55">
        <f t="shared" si="123"/>
        <v>0.04</v>
      </c>
      <c r="M406" s="76">
        <v>0.22500000000000001</v>
      </c>
      <c r="N406" s="62">
        <v>45818</v>
      </c>
      <c r="O406" s="62">
        <v>46182</v>
      </c>
      <c r="P406" s="63"/>
      <c r="Q406" s="63"/>
      <c r="R406" s="82">
        <v>9</v>
      </c>
      <c r="S406" s="63" t="str">
        <f>VLOOKUP(R406,SA!$B$5:$C$11,2,1)</f>
        <v>0-35</v>
      </c>
      <c r="T406" s="38" t="s">
        <v>97</v>
      </c>
      <c r="U406" s="24" t="s">
        <v>113</v>
      </c>
      <c r="V406" s="24">
        <v>300000</v>
      </c>
      <c r="W406" s="39">
        <f t="shared" si="124"/>
        <v>0</v>
      </c>
      <c r="X406" s="29">
        <f t="shared" si="125"/>
        <v>0</v>
      </c>
      <c r="Y406" s="40">
        <f t="shared" si="126"/>
        <v>365</v>
      </c>
      <c r="Z406" s="38">
        <f t="shared" si="121"/>
        <v>46081</v>
      </c>
      <c r="AA406" s="41">
        <f t="shared" si="127"/>
        <v>264</v>
      </c>
      <c r="AB406" s="24" t="s">
        <v>125</v>
      </c>
      <c r="AC406" s="41">
        <f t="shared" si="128"/>
        <v>3874.2114000000001</v>
      </c>
      <c r="AD406" s="41">
        <v>1</v>
      </c>
      <c r="AE406" s="72">
        <f>IFERROR(INDEX(SA!$C$4:$E$11,MATCH(Details!S406,SA!$C$4:$C$11,0),MATCH(Details!V406,SA!$C$4:$E$4,0)),0)*Y406/(F406-E406+1)</f>
        <v>3283.23</v>
      </c>
      <c r="AF406" s="41">
        <f t="shared" si="129"/>
        <v>0</v>
      </c>
      <c r="AG406" s="41">
        <f t="shared" si="130"/>
        <v>0</v>
      </c>
      <c r="AH406" s="41">
        <f t="shared" si="131"/>
        <v>590.98140000000001</v>
      </c>
      <c r="AI406" s="60">
        <f t="shared" si="132"/>
        <v>131.32920000000001</v>
      </c>
      <c r="AJ406" s="60">
        <f t="shared" si="133"/>
        <v>738.72675000000004</v>
      </c>
      <c r="AK406" s="60">
        <f t="shared" si="134"/>
        <v>2374.7197808219175</v>
      </c>
      <c r="AL406" s="60">
        <f t="shared" si="135"/>
        <v>1745.4190389041094</v>
      </c>
      <c r="AM406" s="41">
        <f t="shared" si="136"/>
        <v>667.7550110958905</v>
      </c>
      <c r="AN406" s="42">
        <f t="shared" si="137"/>
        <v>45715</v>
      </c>
      <c r="AO406" s="43">
        <f t="shared" si="138"/>
        <v>3283.23</v>
      </c>
    </row>
    <row r="407" spans="1:41" s="24" customFormat="1" ht="15.75" customHeight="1" x14ac:dyDescent="0.35">
      <c r="A407" s="36" t="s">
        <v>27</v>
      </c>
      <c r="B407" s="36">
        <v>202506</v>
      </c>
      <c r="C407" s="24" t="s">
        <v>128</v>
      </c>
      <c r="D407" s="24" t="s">
        <v>129</v>
      </c>
      <c r="E407" s="62">
        <v>45818</v>
      </c>
      <c r="F407" s="62">
        <v>46182</v>
      </c>
      <c r="G407" s="37" t="s">
        <v>534</v>
      </c>
      <c r="H407" s="36">
        <v>2173</v>
      </c>
      <c r="I407" s="63">
        <v>25088</v>
      </c>
      <c r="J407" s="24" t="s">
        <v>1183</v>
      </c>
      <c r="K407" s="63">
        <f t="shared" si="122"/>
        <v>45818</v>
      </c>
      <c r="L407" s="55">
        <f t="shared" si="123"/>
        <v>0.04</v>
      </c>
      <c r="M407" s="76">
        <v>0.22500000000000001</v>
      </c>
      <c r="N407" s="62">
        <v>45818</v>
      </c>
      <c r="O407" s="62">
        <v>46182</v>
      </c>
      <c r="P407" s="63"/>
      <c r="Q407" s="63"/>
      <c r="R407" s="82">
        <v>56</v>
      </c>
      <c r="S407" s="63" t="str">
        <f>VLOOKUP(R407,SA!$B$5:$C$11,2,1)</f>
        <v>56-65</v>
      </c>
      <c r="T407" s="38" t="s">
        <v>96</v>
      </c>
      <c r="U407" s="24" t="s">
        <v>56</v>
      </c>
      <c r="V407" s="24">
        <v>300000</v>
      </c>
      <c r="W407" s="39">
        <f t="shared" si="124"/>
        <v>300000</v>
      </c>
      <c r="X407" s="29">
        <f t="shared" si="125"/>
        <v>1</v>
      </c>
      <c r="Y407" s="40">
        <f t="shared" si="126"/>
        <v>365</v>
      </c>
      <c r="Z407" s="38">
        <f t="shared" si="121"/>
        <v>46081</v>
      </c>
      <c r="AA407" s="41">
        <f t="shared" si="127"/>
        <v>264</v>
      </c>
      <c r="AB407" s="24" t="s">
        <v>125</v>
      </c>
      <c r="AC407" s="41">
        <f t="shared" si="128"/>
        <v>16811.448199999999</v>
      </c>
      <c r="AD407" s="41">
        <v>1</v>
      </c>
      <c r="AE407" s="72">
        <f>IFERROR(INDEX(SA!$C$4:$E$11,MATCH(Details!S407,SA!$C$4:$C$11,0),MATCH(Details!V407,SA!$C$4:$E$4,0)),0)*Y407/(F407-E407+1)</f>
        <v>14246.99</v>
      </c>
      <c r="AF407" s="41">
        <f t="shared" si="129"/>
        <v>0</v>
      </c>
      <c r="AG407" s="41">
        <f t="shared" si="130"/>
        <v>0</v>
      </c>
      <c r="AH407" s="41">
        <f t="shared" si="131"/>
        <v>2564.4582</v>
      </c>
      <c r="AI407" s="60">
        <f t="shared" si="132"/>
        <v>569.87959999999998</v>
      </c>
      <c r="AJ407" s="60">
        <f t="shared" si="133"/>
        <v>3205.5727499999998</v>
      </c>
      <c r="AK407" s="60">
        <f t="shared" si="134"/>
        <v>10304.672219178083</v>
      </c>
      <c r="AL407" s="60">
        <f t="shared" si="135"/>
        <v>7573.9340810958911</v>
      </c>
      <c r="AM407" s="41">
        <f t="shared" si="136"/>
        <v>2897.6035689041087</v>
      </c>
      <c r="AN407" s="42">
        <f t="shared" si="137"/>
        <v>45715</v>
      </c>
      <c r="AO407" s="43">
        <f t="shared" si="138"/>
        <v>14246.99</v>
      </c>
    </row>
    <row r="408" spans="1:41" s="24" customFormat="1" ht="15.75" customHeight="1" x14ac:dyDescent="0.35">
      <c r="A408" s="36" t="s">
        <v>27</v>
      </c>
      <c r="B408" s="36">
        <v>202506</v>
      </c>
      <c r="C408" s="24" t="s">
        <v>128</v>
      </c>
      <c r="D408" s="24" t="s">
        <v>129</v>
      </c>
      <c r="E408" s="62">
        <v>45818</v>
      </c>
      <c r="F408" s="62">
        <v>46182</v>
      </c>
      <c r="G408" s="37" t="s">
        <v>535</v>
      </c>
      <c r="H408" s="36">
        <v>2173</v>
      </c>
      <c r="I408" s="63">
        <v>26069</v>
      </c>
      <c r="J408" s="24" t="s">
        <v>1184</v>
      </c>
      <c r="K408" s="63">
        <f t="shared" si="122"/>
        <v>45818</v>
      </c>
      <c r="L408" s="55">
        <f t="shared" si="123"/>
        <v>0.04</v>
      </c>
      <c r="M408" s="76">
        <v>0.22500000000000001</v>
      </c>
      <c r="N408" s="62">
        <v>45818</v>
      </c>
      <c r="O408" s="62">
        <v>46182</v>
      </c>
      <c r="P408" s="63"/>
      <c r="Q408" s="63"/>
      <c r="R408" s="82">
        <v>54</v>
      </c>
      <c r="S408" s="63" t="str">
        <f>VLOOKUP(R408,SA!$B$5:$C$11,2,1)</f>
        <v>46-55</v>
      </c>
      <c r="T408" s="38" t="s">
        <v>97</v>
      </c>
      <c r="U408" s="24" t="s">
        <v>115</v>
      </c>
      <c r="V408" s="24">
        <v>300000</v>
      </c>
      <c r="W408" s="39">
        <f t="shared" si="124"/>
        <v>0</v>
      </c>
      <c r="X408" s="29">
        <f t="shared" si="125"/>
        <v>0</v>
      </c>
      <c r="Y408" s="40">
        <f t="shared" si="126"/>
        <v>365</v>
      </c>
      <c r="Z408" s="38">
        <f t="shared" si="121"/>
        <v>46081</v>
      </c>
      <c r="AA408" s="41">
        <f t="shared" si="127"/>
        <v>264</v>
      </c>
      <c r="AB408" s="24" t="s">
        <v>125</v>
      </c>
      <c r="AC408" s="41">
        <f t="shared" si="128"/>
        <v>9586.9925999999996</v>
      </c>
      <c r="AD408" s="41">
        <v>1</v>
      </c>
      <c r="AE408" s="72">
        <f>IFERROR(INDEX(SA!$C$4:$E$11,MATCH(Details!S408,SA!$C$4:$C$11,0),MATCH(Details!V408,SA!$C$4:$E$4,0)),0)*Y408/(F408-E408+1)</f>
        <v>8124.57</v>
      </c>
      <c r="AF408" s="41">
        <f t="shared" si="129"/>
        <v>0</v>
      </c>
      <c r="AG408" s="41">
        <f t="shared" si="130"/>
        <v>0</v>
      </c>
      <c r="AH408" s="41">
        <f t="shared" si="131"/>
        <v>1462.4225999999999</v>
      </c>
      <c r="AI408" s="60">
        <f t="shared" si="132"/>
        <v>324.9828</v>
      </c>
      <c r="AJ408" s="60">
        <f t="shared" si="133"/>
        <v>1828.0282500000001</v>
      </c>
      <c r="AK408" s="60">
        <f t="shared" si="134"/>
        <v>5876.4013150684932</v>
      </c>
      <c r="AL408" s="60">
        <f t="shared" si="135"/>
        <v>4319.1549665753428</v>
      </c>
      <c r="AM408" s="41">
        <f t="shared" si="136"/>
        <v>1652.4039834246571</v>
      </c>
      <c r="AN408" s="42">
        <f t="shared" si="137"/>
        <v>45715</v>
      </c>
      <c r="AO408" s="43">
        <f t="shared" si="138"/>
        <v>8124.57</v>
      </c>
    </row>
    <row r="409" spans="1:41" s="24" customFormat="1" ht="15.75" customHeight="1" x14ac:dyDescent="0.35">
      <c r="A409" s="36" t="s">
        <v>27</v>
      </c>
      <c r="B409" s="36">
        <v>202506</v>
      </c>
      <c r="C409" s="24" t="s">
        <v>128</v>
      </c>
      <c r="D409" s="24" t="s">
        <v>129</v>
      </c>
      <c r="E409" s="62">
        <v>45818</v>
      </c>
      <c r="F409" s="62">
        <v>46182</v>
      </c>
      <c r="G409" s="37" t="s">
        <v>536</v>
      </c>
      <c r="H409" s="36">
        <v>2174</v>
      </c>
      <c r="I409" s="63">
        <v>30590</v>
      </c>
      <c r="J409" s="24" t="s">
        <v>1185</v>
      </c>
      <c r="K409" s="63">
        <f t="shared" si="122"/>
        <v>45818</v>
      </c>
      <c r="L409" s="55">
        <f t="shared" si="123"/>
        <v>0.04</v>
      </c>
      <c r="M409" s="76">
        <v>0.22500000000000001</v>
      </c>
      <c r="N409" s="62">
        <v>45818</v>
      </c>
      <c r="O409" s="62">
        <v>46182</v>
      </c>
      <c r="P409" s="63"/>
      <c r="Q409" s="63"/>
      <c r="R409" s="82">
        <v>41</v>
      </c>
      <c r="S409" s="63" t="str">
        <f>VLOOKUP(R409,SA!$B$5:$C$11,2,1)</f>
        <v>36-45</v>
      </c>
      <c r="T409" s="38" t="s">
        <v>96</v>
      </c>
      <c r="U409" s="24" t="s">
        <v>56</v>
      </c>
      <c r="V409" s="24">
        <v>300000</v>
      </c>
      <c r="W409" s="39">
        <f t="shared" si="124"/>
        <v>300000</v>
      </c>
      <c r="X409" s="29">
        <f t="shared" si="125"/>
        <v>1</v>
      </c>
      <c r="Y409" s="40">
        <f t="shared" si="126"/>
        <v>365</v>
      </c>
      <c r="Z409" s="38">
        <f t="shared" si="121"/>
        <v>46081</v>
      </c>
      <c r="AA409" s="41">
        <f t="shared" si="127"/>
        <v>264</v>
      </c>
      <c r="AB409" s="24" t="s">
        <v>125</v>
      </c>
      <c r="AC409" s="41">
        <f t="shared" si="128"/>
        <v>5017.3245999999999</v>
      </c>
      <c r="AD409" s="41">
        <v>1</v>
      </c>
      <c r="AE409" s="72">
        <f>IFERROR(INDEX(SA!$C$4:$E$11,MATCH(Details!S409,SA!$C$4:$C$11,0),MATCH(Details!V409,SA!$C$4:$E$4,0)),0)*Y409/(F409-E409+1)</f>
        <v>4251.97</v>
      </c>
      <c r="AF409" s="41">
        <f t="shared" si="129"/>
        <v>0</v>
      </c>
      <c r="AG409" s="41">
        <f t="shared" si="130"/>
        <v>0</v>
      </c>
      <c r="AH409" s="41">
        <f t="shared" si="131"/>
        <v>765.3546</v>
      </c>
      <c r="AI409" s="60">
        <f t="shared" si="132"/>
        <v>170.0788</v>
      </c>
      <c r="AJ409" s="60">
        <f t="shared" si="133"/>
        <v>956.69325000000003</v>
      </c>
      <c r="AK409" s="60">
        <f t="shared" si="134"/>
        <v>3075.397479452055</v>
      </c>
      <c r="AL409" s="60">
        <f t="shared" si="135"/>
        <v>2260.4171473972606</v>
      </c>
      <c r="AM409" s="41">
        <f t="shared" si="136"/>
        <v>864.78080260273941</v>
      </c>
      <c r="AN409" s="42">
        <f t="shared" si="137"/>
        <v>45715</v>
      </c>
      <c r="AO409" s="43">
        <f t="shared" si="138"/>
        <v>4251.97</v>
      </c>
    </row>
    <row r="410" spans="1:41" s="24" customFormat="1" ht="15.75" customHeight="1" x14ac:dyDescent="0.35">
      <c r="A410" s="36" t="s">
        <v>27</v>
      </c>
      <c r="B410" s="36">
        <v>202506</v>
      </c>
      <c r="C410" s="24" t="s">
        <v>128</v>
      </c>
      <c r="D410" s="24" t="s">
        <v>129</v>
      </c>
      <c r="E410" s="62">
        <v>45818</v>
      </c>
      <c r="F410" s="62">
        <v>46182</v>
      </c>
      <c r="G410" s="37" t="s">
        <v>537</v>
      </c>
      <c r="H410" s="36">
        <v>2174</v>
      </c>
      <c r="I410" s="63">
        <v>42078</v>
      </c>
      <c r="J410" s="24" t="s">
        <v>1186</v>
      </c>
      <c r="K410" s="63">
        <f t="shared" si="122"/>
        <v>45818</v>
      </c>
      <c r="L410" s="55">
        <f t="shared" si="123"/>
        <v>0.04</v>
      </c>
      <c r="M410" s="76">
        <v>0.22500000000000001</v>
      </c>
      <c r="N410" s="62">
        <v>45818</v>
      </c>
      <c r="O410" s="62">
        <v>46182</v>
      </c>
      <c r="P410" s="63"/>
      <c r="Q410" s="63"/>
      <c r="R410" s="82">
        <v>10</v>
      </c>
      <c r="S410" s="63" t="str">
        <f>VLOOKUP(R410,SA!$B$5:$C$11,2,1)</f>
        <v>0-35</v>
      </c>
      <c r="T410" s="38" t="s">
        <v>96</v>
      </c>
      <c r="U410" s="24" t="s">
        <v>114</v>
      </c>
      <c r="V410" s="24">
        <v>300000</v>
      </c>
      <c r="W410" s="39">
        <f t="shared" si="124"/>
        <v>0</v>
      </c>
      <c r="X410" s="29">
        <f t="shared" si="125"/>
        <v>0</v>
      </c>
      <c r="Y410" s="40">
        <f t="shared" si="126"/>
        <v>365</v>
      </c>
      <c r="Z410" s="38">
        <f t="shared" si="121"/>
        <v>46081</v>
      </c>
      <c r="AA410" s="41">
        <f t="shared" si="127"/>
        <v>264</v>
      </c>
      <c r="AB410" s="24" t="s">
        <v>125</v>
      </c>
      <c r="AC410" s="41">
        <f t="shared" si="128"/>
        <v>3874.2114000000001</v>
      </c>
      <c r="AD410" s="41">
        <v>1</v>
      </c>
      <c r="AE410" s="72">
        <f>IFERROR(INDEX(SA!$C$4:$E$11,MATCH(Details!S410,SA!$C$4:$C$11,0),MATCH(Details!V410,SA!$C$4:$E$4,0)),0)*Y410/(F410-E410+1)</f>
        <v>3283.23</v>
      </c>
      <c r="AF410" s="41">
        <f t="shared" si="129"/>
        <v>0</v>
      </c>
      <c r="AG410" s="41">
        <f t="shared" si="130"/>
        <v>0</v>
      </c>
      <c r="AH410" s="41">
        <f t="shared" si="131"/>
        <v>590.98140000000001</v>
      </c>
      <c r="AI410" s="60">
        <f t="shared" si="132"/>
        <v>131.32920000000001</v>
      </c>
      <c r="AJ410" s="60">
        <f t="shared" si="133"/>
        <v>738.72675000000004</v>
      </c>
      <c r="AK410" s="60">
        <f t="shared" si="134"/>
        <v>2374.7197808219175</v>
      </c>
      <c r="AL410" s="60">
        <f t="shared" si="135"/>
        <v>1745.4190389041094</v>
      </c>
      <c r="AM410" s="41">
        <f t="shared" si="136"/>
        <v>667.7550110958905</v>
      </c>
      <c r="AN410" s="42">
        <f t="shared" si="137"/>
        <v>45715</v>
      </c>
      <c r="AO410" s="43">
        <f t="shared" si="138"/>
        <v>3283.23</v>
      </c>
    </row>
    <row r="411" spans="1:41" s="24" customFormat="1" ht="15.75" customHeight="1" x14ac:dyDescent="0.35">
      <c r="A411" s="36" t="s">
        <v>27</v>
      </c>
      <c r="B411" s="36">
        <v>202506</v>
      </c>
      <c r="C411" s="24" t="s">
        <v>128</v>
      </c>
      <c r="D411" s="24" t="s">
        <v>129</v>
      </c>
      <c r="E411" s="62">
        <v>45818</v>
      </c>
      <c r="F411" s="62">
        <v>46182</v>
      </c>
      <c r="G411" s="37" t="s">
        <v>538</v>
      </c>
      <c r="H411" s="36">
        <v>2174</v>
      </c>
      <c r="I411" s="63">
        <v>34846</v>
      </c>
      <c r="J411" s="24" t="s">
        <v>1187</v>
      </c>
      <c r="K411" s="63">
        <f t="shared" si="122"/>
        <v>45818</v>
      </c>
      <c r="L411" s="55">
        <f t="shared" si="123"/>
        <v>0.04</v>
      </c>
      <c r="M411" s="76">
        <v>0.22500000000000001</v>
      </c>
      <c r="N411" s="62">
        <v>45818</v>
      </c>
      <c r="O411" s="62">
        <v>46182</v>
      </c>
      <c r="P411" s="63"/>
      <c r="Q411" s="63"/>
      <c r="R411" s="82">
        <v>30</v>
      </c>
      <c r="S411" s="63" t="str">
        <f>VLOOKUP(R411,SA!$B$5:$C$11,2,1)</f>
        <v>0-35</v>
      </c>
      <c r="T411" s="38" t="s">
        <v>97</v>
      </c>
      <c r="U411" s="24" t="s">
        <v>115</v>
      </c>
      <c r="V411" s="24">
        <v>300000</v>
      </c>
      <c r="W411" s="39">
        <f t="shared" si="124"/>
        <v>0</v>
      </c>
      <c r="X411" s="29">
        <f t="shared" si="125"/>
        <v>0</v>
      </c>
      <c r="Y411" s="40">
        <f t="shared" si="126"/>
        <v>365</v>
      </c>
      <c r="Z411" s="38">
        <f t="shared" si="121"/>
        <v>46081</v>
      </c>
      <c r="AA411" s="41">
        <f t="shared" si="127"/>
        <v>264</v>
      </c>
      <c r="AB411" s="24" t="s">
        <v>125</v>
      </c>
      <c r="AC411" s="41">
        <f t="shared" si="128"/>
        <v>3874.2114000000001</v>
      </c>
      <c r="AD411" s="41">
        <v>1</v>
      </c>
      <c r="AE411" s="72">
        <f>IFERROR(INDEX(SA!$C$4:$E$11,MATCH(Details!S411,SA!$C$4:$C$11,0),MATCH(Details!V411,SA!$C$4:$E$4,0)),0)*Y411/(F411-E411+1)</f>
        <v>3283.23</v>
      </c>
      <c r="AF411" s="41">
        <f t="shared" si="129"/>
        <v>0</v>
      </c>
      <c r="AG411" s="41">
        <f t="shared" si="130"/>
        <v>0</v>
      </c>
      <c r="AH411" s="41">
        <f t="shared" si="131"/>
        <v>590.98140000000001</v>
      </c>
      <c r="AI411" s="60">
        <f t="shared" si="132"/>
        <v>131.32920000000001</v>
      </c>
      <c r="AJ411" s="60">
        <f t="shared" si="133"/>
        <v>738.72675000000004</v>
      </c>
      <c r="AK411" s="60">
        <f t="shared" si="134"/>
        <v>2374.7197808219175</v>
      </c>
      <c r="AL411" s="60">
        <f t="shared" si="135"/>
        <v>1745.4190389041094</v>
      </c>
      <c r="AM411" s="41">
        <f t="shared" si="136"/>
        <v>667.7550110958905</v>
      </c>
      <c r="AN411" s="42">
        <f t="shared" si="137"/>
        <v>45715</v>
      </c>
      <c r="AO411" s="43">
        <f t="shared" si="138"/>
        <v>3283.23</v>
      </c>
    </row>
    <row r="412" spans="1:41" s="24" customFormat="1" ht="15.75" customHeight="1" x14ac:dyDescent="0.35">
      <c r="A412" s="36" t="s">
        <v>27</v>
      </c>
      <c r="B412" s="36">
        <v>202506</v>
      </c>
      <c r="C412" s="24" t="s">
        <v>128</v>
      </c>
      <c r="D412" s="24" t="s">
        <v>129</v>
      </c>
      <c r="E412" s="62">
        <v>45818</v>
      </c>
      <c r="F412" s="62">
        <v>46182</v>
      </c>
      <c r="G412" s="37" t="s">
        <v>539</v>
      </c>
      <c r="H412" s="36">
        <v>2175</v>
      </c>
      <c r="I412" s="63">
        <v>24643</v>
      </c>
      <c r="J412" s="24" t="s">
        <v>1188</v>
      </c>
      <c r="K412" s="63">
        <f t="shared" si="122"/>
        <v>45818</v>
      </c>
      <c r="L412" s="55">
        <f t="shared" si="123"/>
        <v>0.04</v>
      </c>
      <c r="M412" s="76">
        <v>0.22500000000000001</v>
      </c>
      <c r="N412" s="62">
        <v>45818</v>
      </c>
      <c r="O412" s="62">
        <v>46182</v>
      </c>
      <c r="P412" s="63"/>
      <c r="Q412" s="63"/>
      <c r="R412" s="82">
        <v>57</v>
      </c>
      <c r="S412" s="63" t="str">
        <f>VLOOKUP(R412,SA!$B$5:$C$11,2,1)</f>
        <v>56-65</v>
      </c>
      <c r="T412" s="38" t="s">
        <v>96</v>
      </c>
      <c r="U412" s="24" t="s">
        <v>56</v>
      </c>
      <c r="V412" s="24">
        <v>300000</v>
      </c>
      <c r="W412" s="39">
        <f t="shared" si="124"/>
        <v>300000</v>
      </c>
      <c r="X412" s="29">
        <f t="shared" si="125"/>
        <v>1</v>
      </c>
      <c r="Y412" s="40">
        <f t="shared" si="126"/>
        <v>365</v>
      </c>
      <c r="Z412" s="38">
        <f t="shared" si="121"/>
        <v>46081</v>
      </c>
      <c r="AA412" s="41">
        <f t="shared" si="127"/>
        <v>264</v>
      </c>
      <c r="AB412" s="24" t="s">
        <v>125</v>
      </c>
      <c r="AC412" s="41">
        <f t="shared" si="128"/>
        <v>16811.448199999999</v>
      </c>
      <c r="AD412" s="41">
        <v>1</v>
      </c>
      <c r="AE412" s="72">
        <f>IFERROR(INDEX(SA!$C$4:$E$11,MATCH(Details!S412,SA!$C$4:$C$11,0),MATCH(Details!V412,SA!$C$4:$E$4,0)),0)*Y412/(F412-E412+1)</f>
        <v>14246.99</v>
      </c>
      <c r="AF412" s="41">
        <f t="shared" si="129"/>
        <v>0</v>
      </c>
      <c r="AG412" s="41">
        <f t="shared" si="130"/>
        <v>0</v>
      </c>
      <c r="AH412" s="41">
        <f t="shared" si="131"/>
        <v>2564.4582</v>
      </c>
      <c r="AI412" s="60">
        <f t="shared" si="132"/>
        <v>569.87959999999998</v>
      </c>
      <c r="AJ412" s="60">
        <f t="shared" si="133"/>
        <v>3205.5727499999998</v>
      </c>
      <c r="AK412" s="60">
        <f t="shared" si="134"/>
        <v>10304.672219178083</v>
      </c>
      <c r="AL412" s="60">
        <f t="shared" si="135"/>
        <v>7573.9340810958911</v>
      </c>
      <c r="AM412" s="41">
        <f t="shared" si="136"/>
        <v>2897.6035689041087</v>
      </c>
      <c r="AN412" s="42">
        <f t="shared" si="137"/>
        <v>45715</v>
      </c>
      <c r="AO412" s="43">
        <f t="shared" si="138"/>
        <v>14246.99</v>
      </c>
    </row>
    <row r="413" spans="1:41" s="24" customFormat="1" ht="15.75" customHeight="1" x14ac:dyDescent="0.35">
      <c r="A413" s="36" t="s">
        <v>27</v>
      </c>
      <c r="B413" s="36">
        <v>202506</v>
      </c>
      <c r="C413" s="24" t="s">
        <v>128</v>
      </c>
      <c r="D413" s="24" t="s">
        <v>129</v>
      </c>
      <c r="E413" s="62">
        <v>45818</v>
      </c>
      <c r="F413" s="62">
        <v>46182</v>
      </c>
      <c r="G413" s="37" t="s">
        <v>540</v>
      </c>
      <c r="H413" s="36">
        <v>2175</v>
      </c>
      <c r="I413" s="63">
        <v>40769</v>
      </c>
      <c r="J413" s="24" t="s">
        <v>1189</v>
      </c>
      <c r="K413" s="63">
        <f t="shared" si="122"/>
        <v>45818</v>
      </c>
      <c r="L413" s="55">
        <f t="shared" si="123"/>
        <v>0.04</v>
      </c>
      <c r="M413" s="76">
        <v>0.22500000000000001</v>
      </c>
      <c r="N413" s="62">
        <v>45818</v>
      </c>
      <c r="O413" s="62">
        <v>46182</v>
      </c>
      <c r="P413" s="63"/>
      <c r="Q413" s="63"/>
      <c r="R413" s="82">
        <v>13</v>
      </c>
      <c r="S413" s="63" t="str">
        <f>VLOOKUP(R413,SA!$B$5:$C$11,2,1)</f>
        <v>0-35</v>
      </c>
      <c r="T413" s="38" t="s">
        <v>96</v>
      </c>
      <c r="U413" s="24" t="s">
        <v>114</v>
      </c>
      <c r="V413" s="24">
        <v>300000</v>
      </c>
      <c r="W413" s="39">
        <f t="shared" si="124"/>
        <v>0</v>
      </c>
      <c r="X413" s="29">
        <f t="shared" si="125"/>
        <v>0</v>
      </c>
      <c r="Y413" s="40">
        <f t="shared" si="126"/>
        <v>365</v>
      </c>
      <c r="Z413" s="38">
        <f t="shared" si="121"/>
        <v>46081</v>
      </c>
      <c r="AA413" s="41">
        <f t="shared" si="127"/>
        <v>264</v>
      </c>
      <c r="AB413" s="24" t="s">
        <v>125</v>
      </c>
      <c r="AC413" s="41">
        <f t="shared" si="128"/>
        <v>3874.2114000000001</v>
      </c>
      <c r="AD413" s="41">
        <v>1</v>
      </c>
      <c r="AE413" s="72">
        <f>IFERROR(INDEX(SA!$C$4:$E$11,MATCH(Details!S413,SA!$C$4:$C$11,0),MATCH(Details!V413,SA!$C$4:$E$4,0)),0)*Y413/(F413-E413+1)</f>
        <v>3283.23</v>
      </c>
      <c r="AF413" s="41">
        <f t="shared" si="129"/>
        <v>0</v>
      </c>
      <c r="AG413" s="41">
        <f t="shared" si="130"/>
        <v>0</v>
      </c>
      <c r="AH413" s="41">
        <f t="shared" si="131"/>
        <v>590.98140000000001</v>
      </c>
      <c r="AI413" s="60">
        <f t="shared" si="132"/>
        <v>131.32920000000001</v>
      </c>
      <c r="AJ413" s="60">
        <f t="shared" si="133"/>
        <v>738.72675000000004</v>
      </c>
      <c r="AK413" s="60">
        <f t="shared" si="134"/>
        <v>2374.7197808219175</v>
      </c>
      <c r="AL413" s="60">
        <f t="shared" si="135"/>
        <v>1745.4190389041094</v>
      </c>
      <c r="AM413" s="41">
        <f t="shared" si="136"/>
        <v>667.7550110958905</v>
      </c>
      <c r="AN413" s="42">
        <f t="shared" si="137"/>
        <v>45715</v>
      </c>
      <c r="AO413" s="43">
        <f t="shared" si="138"/>
        <v>3283.23</v>
      </c>
    </row>
    <row r="414" spans="1:41" s="24" customFormat="1" ht="15.75" customHeight="1" x14ac:dyDescent="0.35">
      <c r="A414" s="36" t="s">
        <v>27</v>
      </c>
      <c r="B414" s="36">
        <v>202506</v>
      </c>
      <c r="C414" s="24" t="s">
        <v>128</v>
      </c>
      <c r="D414" s="24" t="s">
        <v>129</v>
      </c>
      <c r="E414" s="62">
        <v>45818</v>
      </c>
      <c r="F414" s="62">
        <v>46182</v>
      </c>
      <c r="G414" s="37" t="s">
        <v>541</v>
      </c>
      <c r="H414" s="36">
        <v>2175</v>
      </c>
      <c r="I414" s="63">
        <v>32245</v>
      </c>
      <c r="J414" s="24" t="s">
        <v>1190</v>
      </c>
      <c r="K414" s="63">
        <f t="shared" si="122"/>
        <v>45818</v>
      </c>
      <c r="L414" s="55">
        <f t="shared" si="123"/>
        <v>0.04</v>
      </c>
      <c r="M414" s="76">
        <v>0.22500000000000001</v>
      </c>
      <c r="N414" s="62">
        <v>45818</v>
      </c>
      <c r="O414" s="62">
        <v>46182</v>
      </c>
      <c r="P414" s="63"/>
      <c r="Q414" s="63"/>
      <c r="R414" s="82">
        <v>37</v>
      </c>
      <c r="S414" s="63" t="str">
        <f>VLOOKUP(R414,SA!$B$5:$C$11,2,1)</f>
        <v>36-45</v>
      </c>
      <c r="T414" s="38" t="s">
        <v>97</v>
      </c>
      <c r="U414" s="24" t="s">
        <v>115</v>
      </c>
      <c r="V414" s="24">
        <v>300000</v>
      </c>
      <c r="W414" s="39">
        <f t="shared" si="124"/>
        <v>0</v>
      </c>
      <c r="X414" s="29">
        <f t="shared" si="125"/>
        <v>0</v>
      </c>
      <c r="Y414" s="40">
        <f t="shared" si="126"/>
        <v>365</v>
      </c>
      <c r="Z414" s="38">
        <f t="shared" si="121"/>
        <v>46081</v>
      </c>
      <c r="AA414" s="41">
        <f t="shared" si="127"/>
        <v>264</v>
      </c>
      <c r="AB414" s="24" t="s">
        <v>125</v>
      </c>
      <c r="AC414" s="41">
        <f t="shared" si="128"/>
        <v>5017.3245999999999</v>
      </c>
      <c r="AD414" s="41">
        <v>1</v>
      </c>
      <c r="AE414" s="72">
        <f>IFERROR(INDEX(SA!$C$4:$E$11,MATCH(Details!S414,SA!$C$4:$C$11,0),MATCH(Details!V414,SA!$C$4:$E$4,0)),0)*Y414/(F414-E414+1)</f>
        <v>4251.97</v>
      </c>
      <c r="AF414" s="41">
        <f t="shared" si="129"/>
        <v>0</v>
      </c>
      <c r="AG414" s="41">
        <f t="shared" si="130"/>
        <v>0</v>
      </c>
      <c r="AH414" s="41">
        <f t="shared" si="131"/>
        <v>765.3546</v>
      </c>
      <c r="AI414" s="60">
        <f t="shared" si="132"/>
        <v>170.0788</v>
      </c>
      <c r="AJ414" s="60">
        <f t="shared" si="133"/>
        <v>956.69325000000003</v>
      </c>
      <c r="AK414" s="60">
        <f t="shared" si="134"/>
        <v>3075.397479452055</v>
      </c>
      <c r="AL414" s="60">
        <f t="shared" si="135"/>
        <v>2260.4171473972606</v>
      </c>
      <c r="AM414" s="41">
        <f t="shared" si="136"/>
        <v>864.78080260273941</v>
      </c>
      <c r="AN414" s="42">
        <f t="shared" si="137"/>
        <v>45715</v>
      </c>
      <c r="AO414" s="43">
        <f t="shared" si="138"/>
        <v>4251.97</v>
      </c>
    </row>
    <row r="415" spans="1:41" s="24" customFormat="1" ht="15.75" customHeight="1" x14ac:dyDescent="0.35">
      <c r="A415" s="36" t="s">
        <v>27</v>
      </c>
      <c r="B415" s="36">
        <v>202506</v>
      </c>
      <c r="C415" s="24" t="s">
        <v>128</v>
      </c>
      <c r="D415" s="24" t="s">
        <v>129</v>
      </c>
      <c r="E415" s="62">
        <v>45818</v>
      </c>
      <c r="F415" s="62">
        <v>46182</v>
      </c>
      <c r="G415" s="37" t="s">
        <v>542</v>
      </c>
      <c r="H415" s="36">
        <v>2177</v>
      </c>
      <c r="I415" s="63">
        <v>31540</v>
      </c>
      <c r="J415" s="24" t="s">
        <v>1191</v>
      </c>
      <c r="K415" s="63">
        <f t="shared" si="122"/>
        <v>45818</v>
      </c>
      <c r="L415" s="55">
        <f t="shared" si="123"/>
        <v>0.04</v>
      </c>
      <c r="M415" s="76">
        <v>0.22500000000000001</v>
      </c>
      <c r="N415" s="62">
        <v>45818</v>
      </c>
      <c r="O415" s="62">
        <v>46182</v>
      </c>
      <c r="P415" s="63"/>
      <c r="Q415" s="63"/>
      <c r="R415" s="82">
        <v>39</v>
      </c>
      <c r="S415" s="63" t="str">
        <f>VLOOKUP(R415,SA!$B$5:$C$11,2,1)</f>
        <v>36-45</v>
      </c>
      <c r="T415" s="38" t="s">
        <v>96</v>
      </c>
      <c r="U415" s="24" t="s">
        <v>56</v>
      </c>
      <c r="V415" s="24">
        <v>300000</v>
      </c>
      <c r="W415" s="39">
        <f t="shared" si="124"/>
        <v>300000</v>
      </c>
      <c r="X415" s="29">
        <f t="shared" si="125"/>
        <v>1</v>
      </c>
      <c r="Y415" s="40">
        <f t="shared" si="126"/>
        <v>365</v>
      </c>
      <c r="Z415" s="38">
        <f t="shared" si="121"/>
        <v>46081</v>
      </c>
      <c r="AA415" s="41">
        <f t="shared" si="127"/>
        <v>264</v>
      </c>
      <c r="AB415" s="24" t="s">
        <v>125</v>
      </c>
      <c r="AC415" s="41">
        <f t="shared" si="128"/>
        <v>5017.3245999999999</v>
      </c>
      <c r="AD415" s="41">
        <v>1</v>
      </c>
      <c r="AE415" s="72">
        <f>IFERROR(INDEX(SA!$C$4:$E$11,MATCH(Details!S415,SA!$C$4:$C$11,0),MATCH(Details!V415,SA!$C$4:$E$4,0)),0)*Y415/(F415-E415+1)</f>
        <v>4251.97</v>
      </c>
      <c r="AF415" s="41">
        <f t="shared" si="129"/>
        <v>0</v>
      </c>
      <c r="AG415" s="41">
        <f t="shared" si="130"/>
        <v>0</v>
      </c>
      <c r="AH415" s="41">
        <f t="shared" si="131"/>
        <v>765.3546</v>
      </c>
      <c r="AI415" s="60">
        <f t="shared" si="132"/>
        <v>170.0788</v>
      </c>
      <c r="AJ415" s="60">
        <f t="shared" si="133"/>
        <v>956.69325000000003</v>
      </c>
      <c r="AK415" s="60">
        <f t="shared" si="134"/>
        <v>3075.397479452055</v>
      </c>
      <c r="AL415" s="60">
        <f t="shared" si="135"/>
        <v>2260.4171473972606</v>
      </c>
      <c r="AM415" s="41">
        <f t="shared" si="136"/>
        <v>864.78080260273941</v>
      </c>
      <c r="AN415" s="42">
        <f t="shared" si="137"/>
        <v>45715</v>
      </c>
      <c r="AO415" s="43">
        <f t="shared" si="138"/>
        <v>4251.97</v>
      </c>
    </row>
    <row r="416" spans="1:41" s="24" customFormat="1" ht="15.75" customHeight="1" x14ac:dyDescent="0.35">
      <c r="A416" s="36" t="s">
        <v>27</v>
      </c>
      <c r="B416" s="36">
        <v>202506</v>
      </c>
      <c r="C416" s="24" t="s">
        <v>128</v>
      </c>
      <c r="D416" s="24" t="s">
        <v>129</v>
      </c>
      <c r="E416" s="62">
        <v>45818</v>
      </c>
      <c r="F416" s="62">
        <v>46182</v>
      </c>
      <c r="G416" s="37" t="s">
        <v>543</v>
      </c>
      <c r="H416" s="36">
        <v>2177</v>
      </c>
      <c r="I416" s="63">
        <v>33533</v>
      </c>
      <c r="J416" s="24" t="s">
        <v>1192</v>
      </c>
      <c r="K416" s="63">
        <f t="shared" si="122"/>
        <v>45818</v>
      </c>
      <c r="L416" s="55">
        <f t="shared" si="123"/>
        <v>0.04</v>
      </c>
      <c r="M416" s="76">
        <v>0.22500000000000001</v>
      </c>
      <c r="N416" s="62">
        <v>45818</v>
      </c>
      <c r="O416" s="62">
        <v>46182</v>
      </c>
      <c r="P416" s="63"/>
      <c r="Q416" s="63"/>
      <c r="R416" s="82">
        <v>33</v>
      </c>
      <c r="S416" s="63" t="str">
        <f>VLOOKUP(R416,SA!$B$5:$C$11,2,1)</f>
        <v>0-35</v>
      </c>
      <c r="T416" s="38" t="s">
        <v>97</v>
      </c>
      <c r="U416" s="24" t="s">
        <v>115</v>
      </c>
      <c r="V416" s="24">
        <v>300000</v>
      </c>
      <c r="W416" s="39">
        <f t="shared" si="124"/>
        <v>0</v>
      </c>
      <c r="X416" s="29">
        <f t="shared" si="125"/>
        <v>0</v>
      </c>
      <c r="Y416" s="40">
        <f t="shared" si="126"/>
        <v>365</v>
      </c>
      <c r="Z416" s="38">
        <f t="shared" si="121"/>
        <v>46081</v>
      </c>
      <c r="AA416" s="41">
        <f t="shared" si="127"/>
        <v>264</v>
      </c>
      <c r="AB416" s="24" t="s">
        <v>125</v>
      </c>
      <c r="AC416" s="41">
        <f t="shared" si="128"/>
        <v>3874.2114000000001</v>
      </c>
      <c r="AD416" s="41">
        <v>1</v>
      </c>
      <c r="AE416" s="72">
        <f>IFERROR(INDEX(SA!$C$4:$E$11,MATCH(Details!S416,SA!$C$4:$C$11,0),MATCH(Details!V416,SA!$C$4:$E$4,0)),0)*Y416/(F416-E416+1)</f>
        <v>3283.23</v>
      </c>
      <c r="AF416" s="41">
        <f t="shared" si="129"/>
        <v>0</v>
      </c>
      <c r="AG416" s="41">
        <f t="shared" si="130"/>
        <v>0</v>
      </c>
      <c r="AH416" s="41">
        <f t="shared" si="131"/>
        <v>590.98140000000001</v>
      </c>
      <c r="AI416" s="60">
        <f t="shared" si="132"/>
        <v>131.32920000000001</v>
      </c>
      <c r="AJ416" s="60">
        <f t="shared" si="133"/>
        <v>738.72675000000004</v>
      </c>
      <c r="AK416" s="60">
        <f t="shared" si="134"/>
        <v>2374.7197808219175</v>
      </c>
      <c r="AL416" s="60">
        <f t="shared" si="135"/>
        <v>1745.4190389041094</v>
      </c>
      <c r="AM416" s="41">
        <f t="shared" si="136"/>
        <v>667.7550110958905</v>
      </c>
      <c r="AN416" s="42">
        <f t="shared" si="137"/>
        <v>45715</v>
      </c>
      <c r="AO416" s="43">
        <f t="shared" si="138"/>
        <v>3283.23</v>
      </c>
    </row>
    <row r="417" spans="1:41" s="24" customFormat="1" ht="15.75" customHeight="1" x14ac:dyDescent="0.35">
      <c r="A417" s="36" t="s">
        <v>27</v>
      </c>
      <c r="B417" s="36">
        <v>202506</v>
      </c>
      <c r="C417" s="24" t="s">
        <v>128</v>
      </c>
      <c r="D417" s="24" t="s">
        <v>129</v>
      </c>
      <c r="E417" s="62">
        <v>45818</v>
      </c>
      <c r="F417" s="62">
        <v>46182</v>
      </c>
      <c r="G417" s="37" t="s">
        <v>544</v>
      </c>
      <c r="H417" s="36">
        <v>2177</v>
      </c>
      <c r="I417" s="63">
        <v>41707</v>
      </c>
      <c r="J417" s="24" t="s">
        <v>1193</v>
      </c>
      <c r="K417" s="63">
        <f t="shared" si="122"/>
        <v>45818</v>
      </c>
      <c r="L417" s="55">
        <f t="shared" si="123"/>
        <v>0.04</v>
      </c>
      <c r="M417" s="76">
        <v>0.22500000000000001</v>
      </c>
      <c r="N417" s="62">
        <v>45818</v>
      </c>
      <c r="O417" s="62">
        <v>46182</v>
      </c>
      <c r="P417" s="63"/>
      <c r="Q417" s="63"/>
      <c r="R417" s="82">
        <v>11</v>
      </c>
      <c r="S417" s="63" t="str">
        <f>VLOOKUP(R417,SA!$B$5:$C$11,2,1)</f>
        <v>0-35</v>
      </c>
      <c r="T417" s="38" t="s">
        <v>96</v>
      </c>
      <c r="U417" s="24" t="s">
        <v>114</v>
      </c>
      <c r="V417" s="24">
        <v>300000</v>
      </c>
      <c r="W417" s="39">
        <f t="shared" si="124"/>
        <v>0</v>
      </c>
      <c r="X417" s="29">
        <f t="shared" si="125"/>
        <v>0</v>
      </c>
      <c r="Y417" s="40">
        <f t="shared" si="126"/>
        <v>365</v>
      </c>
      <c r="Z417" s="38">
        <f t="shared" si="121"/>
        <v>46081</v>
      </c>
      <c r="AA417" s="41">
        <f t="shared" si="127"/>
        <v>264</v>
      </c>
      <c r="AB417" s="24" t="s">
        <v>125</v>
      </c>
      <c r="AC417" s="41">
        <f t="shared" si="128"/>
        <v>3874.2114000000001</v>
      </c>
      <c r="AD417" s="41">
        <v>1</v>
      </c>
      <c r="AE417" s="72">
        <f>IFERROR(INDEX(SA!$C$4:$E$11,MATCH(Details!S417,SA!$C$4:$C$11,0),MATCH(Details!V417,SA!$C$4:$E$4,0)),0)*Y417/(F417-E417+1)</f>
        <v>3283.23</v>
      </c>
      <c r="AF417" s="41">
        <f t="shared" si="129"/>
        <v>0</v>
      </c>
      <c r="AG417" s="41">
        <f t="shared" si="130"/>
        <v>0</v>
      </c>
      <c r="AH417" s="41">
        <f t="shared" si="131"/>
        <v>590.98140000000001</v>
      </c>
      <c r="AI417" s="60">
        <f t="shared" si="132"/>
        <v>131.32920000000001</v>
      </c>
      <c r="AJ417" s="60">
        <f t="shared" si="133"/>
        <v>738.72675000000004</v>
      </c>
      <c r="AK417" s="60">
        <f t="shared" si="134"/>
        <v>2374.7197808219175</v>
      </c>
      <c r="AL417" s="60">
        <f t="shared" si="135"/>
        <v>1745.4190389041094</v>
      </c>
      <c r="AM417" s="41">
        <f t="shared" si="136"/>
        <v>667.7550110958905</v>
      </c>
      <c r="AN417" s="42">
        <f t="shared" si="137"/>
        <v>45715</v>
      </c>
      <c r="AO417" s="43">
        <f t="shared" si="138"/>
        <v>3283.23</v>
      </c>
    </row>
    <row r="418" spans="1:41" s="24" customFormat="1" ht="15.75" customHeight="1" x14ac:dyDescent="0.35">
      <c r="A418" s="36" t="s">
        <v>27</v>
      </c>
      <c r="B418" s="36">
        <v>202506</v>
      </c>
      <c r="C418" s="24" t="s">
        <v>128</v>
      </c>
      <c r="D418" s="24" t="s">
        <v>129</v>
      </c>
      <c r="E418" s="62">
        <v>45818</v>
      </c>
      <c r="F418" s="62">
        <v>46182</v>
      </c>
      <c r="G418" s="37" t="s">
        <v>545</v>
      </c>
      <c r="H418" s="36">
        <v>2179</v>
      </c>
      <c r="I418" s="63">
        <v>33387</v>
      </c>
      <c r="J418" s="24" t="s">
        <v>1194</v>
      </c>
      <c r="K418" s="63">
        <f t="shared" si="122"/>
        <v>45818</v>
      </c>
      <c r="L418" s="55">
        <f t="shared" si="123"/>
        <v>0.04</v>
      </c>
      <c r="M418" s="76">
        <v>0.22500000000000001</v>
      </c>
      <c r="N418" s="62">
        <v>45818</v>
      </c>
      <c r="O418" s="62">
        <v>46182</v>
      </c>
      <c r="P418" s="63"/>
      <c r="Q418" s="63"/>
      <c r="R418" s="82">
        <v>34</v>
      </c>
      <c r="S418" s="63" t="str">
        <f>VLOOKUP(R418,SA!$B$5:$C$11,2,1)</f>
        <v>0-35</v>
      </c>
      <c r="T418" s="38" t="s">
        <v>96</v>
      </c>
      <c r="U418" s="24" t="s">
        <v>56</v>
      </c>
      <c r="V418" s="24">
        <v>300000</v>
      </c>
      <c r="W418" s="39">
        <f t="shared" si="124"/>
        <v>300000</v>
      </c>
      <c r="X418" s="29">
        <f t="shared" si="125"/>
        <v>1</v>
      </c>
      <c r="Y418" s="40">
        <f t="shared" si="126"/>
        <v>365</v>
      </c>
      <c r="Z418" s="38">
        <f t="shared" si="121"/>
        <v>46081</v>
      </c>
      <c r="AA418" s="41">
        <f t="shared" si="127"/>
        <v>264</v>
      </c>
      <c r="AB418" s="24" t="s">
        <v>125</v>
      </c>
      <c r="AC418" s="41">
        <f t="shared" si="128"/>
        <v>3874.2114000000001</v>
      </c>
      <c r="AD418" s="41">
        <v>1</v>
      </c>
      <c r="AE418" s="72">
        <f>IFERROR(INDEX(SA!$C$4:$E$11,MATCH(Details!S418,SA!$C$4:$C$11,0),MATCH(Details!V418,SA!$C$4:$E$4,0)),0)*Y418/(F418-E418+1)</f>
        <v>3283.23</v>
      </c>
      <c r="AF418" s="41">
        <f t="shared" si="129"/>
        <v>0</v>
      </c>
      <c r="AG418" s="41">
        <f t="shared" si="130"/>
        <v>0</v>
      </c>
      <c r="AH418" s="41">
        <f t="shared" si="131"/>
        <v>590.98140000000001</v>
      </c>
      <c r="AI418" s="60">
        <f t="shared" si="132"/>
        <v>131.32920000000001</v>
      </c>
      <c r="AJ418" s="60">
        <f t="shared" si="133"/>
        <v>738.72675000000004</v>
      </c>
      <c r="AK418" s="60">
        <f t="shared" si="134"/>
        <v>2374.7197808219175</v>
      </c>
      <c r="AL418" s="60">
        <f t="shared" si="135"/>
        <v>1745.4190389041094</v>
      </c>
      <c r="AM418" s="41">
        <f t="shared" si="136"/>
        <v>667.7550110958905</v>
      </c>
      <c r="AN418" s="42">
        <f t="shared" si="137"/>
        <v>45715</v>
      </c>
      <c r="AO418" s="43">
        <f t="shared" si="138"/>
        <v>3283.23</v>
      </c>
    </row>
    <row r="419" spans="1:41" s="24" customFormat="1" ht="15.75" customHeight="1" x14ac:dyDescent="0.35">
      <c r="A419" s="36" t="s">
        <v>27</v>
      </c>
      <c r="B419" s="36">
        <v>202506</v>
      </c>
      <c r="C419" s="24" t="s">
        <v>128</v>
      </c>
      <c r="D419" s="24" t="s">
        <v>129</v>
      </c>
      <c r="E419" s="62">
        <v>45818</v>
      </c>
      <c r="F419" s="62">
        <v>46182</v>
      </c>
      <c r="G419" s="37" t="s">
        <v>546</v>
      </c>
      <c r="H419" s="36">
        <v>2179</v>
      </c>
      <c r="I419" s="63">
        <v>36736</v>
      </c>
      <c r="J419" s="24" t="s">
        <v>1195</v>
      </c>
      <c r="K419" s="63">
        <f t="shared" si="122"/>
        <v>45818</v>
      </c>
      <c r="L419" s="55">
        <f t="shared" si="123"/>
        <v>0.04</v>
      </c>
      <c r="M419" s="76">
        <v>0.22500000000000001</v>
      </c>
      <c r="N419" s="62">
        <v>45818</v>
      </c>
      <c r="O419" s="62">
        <v>46182</v>
      </c>
      <c r="P419" s="63"/>
      <c r="Q419" s="63"/>
      <c r="R419" s="82">
        <v>24</v>
      </c>
      <c r="S419" s="63" t="str">
        <f>VLOOKUP(R419,SA!$B$5:$C$11,2,1)</f>
        <v>0-35</v>
      </c>
      <c r="T419" s="38" t="s">
        <v>97</v>
      </c>
      <c r="U419" s="24" t="s">
        <v>115</v>
      </c>
      <c r="V419" s="24">
        <v>300000</v>
      </c>
      <c r="W419" s="39">
        <f t="shared" si="124"/>
        <v>0</v>
      </c>
      <c r="X419" s="29">
        <f t="shared" si="125"/>
        <v>0</v>
      </c>
      <c r="Y419" s="40">
        <f t="shared" si="126"/>
        <v>365</v>
      </c>
      <c r="Z419" s="38">
        <f t="shared" si="121"/>
        <v>46081</v>
      </c>
      <c r="AA419" s="41">
        <f t="shared" si="127"/>
        <v>264</v>
      </c>
      <c r="AB419" s="24" t="s">
        <v>125</v>
      </c>
      <c r="AC419" s="41">
        <f t="shared" si="128"/>
        <v>3874.2114000000001</v>
      </c>
      <c r="AD419" s="41">
        <v>1</v>
      </c>
      <c r="AE419" s="72">
        <f>IFERROR(INDEX(SA!$C$4:$E$11,MATCH(Details!S419,SA!$C$4:$C$11,0),MATCH(Details!V419,SA!$C$4:$E$4,0)),0)*Y419/(F419-E419+1)</f>
        <v>3283.23</v>
      </c>
      <c r="AF419" s="41">
        <f t="shared" si="129"/>
        <v>0</v>
      </c>
      <c r="AG419" s="41">
        <f t="shared" si="130"/>
        <v>0</v>
      </c>
      <c r="AH419" s="41">
        <f t="shared" si="131"/>
        <v>590.98140000000001</v>
      </c>
      <c r="AI419" s="60">
        <f t="shared" si="132"/>
        <v>131.32920000000001</v>
      </c>
      <c r="AJ419" s="60">
        <f t="shared" si="133"/>
        <v>738.72675000000004</v>
      </c>
      <c r="AK419" s="60">
        <f t="shared" si="134"/>
        <v>2374.7197808219175</v>
      </c>
      <c r="AL419" s="60">
        <f t="shared" si="135"/>
        <v>1745.4190389041094</v>
      </c>
      <c r="AM419" s="41">
        <f t="shared" si="136"/>
        <v>667.7550110958905</v>
      </c>
      <c r="AN419" s="42">
        <f t="shared" si="137"/>
        <v>45715</v>
      </c>
      <c r="AO419" s="43">
        <f t="shared" si="138"/>
        <v>3283.23</v>
      </c>
    </row>
    <row r="420" spans="1:41" s="24" customFormat="1" ht="15.75" customHeight="1" x14ac:dyDescent="0.35">
      <c r="A420" s="36" t="s">
        <v>27</v>
      </c>
      <c r="B420" s="36">
        <v>202506</v>
      </c>
      <c r="C420" s="24" t="s">
        <v>128</v>
      </c>
      <c r="D420" s="24" t="s">
        <v>129</v>
      </c>
      <c r="E420" s="62">
        <v>45818</v>
      </c>
      <c r="F420" s="62">
        <v>46182</v>
      </c>
      <c r="G420" s="37" t="s">
        <v>547</v>
      </c>
      <c r="H420" s="36">
        <v>2183</v>
      </c>
      <c r="I420" s="63">
        <v>27546</v>
      </c>
      <c r="J420" s="24" t="s">
        <v>1196</v>
      </c>
      <c r="K420" s="63">
        <f t="shared" si="122"/>
        <v>45818</v>
      </c>
      <c r="L420" s="55">
        <f t="shared" si="123"/>
        <v>0.04</v>
      </c>
      <c r="M420" s="76">
        <v>0.22500000000000001</v>
      </c>
      <c r="N420" s="62">
        <v>45818</v>
      </c>
      <c r="O420" s="62">
        <v>46182</v>
      </c>
      <c r="P420" s="63"/>
      <c r="Q420" s="63"/>
      <c r="R420" s="82">
        <v>50</v>
      </c>
      <c r="S420" s="63" t="str">
        <f>VLOOKUP(R420,SA!$B$5:$C$11,2,1)</f>
        <v>46-55</v>
      </c>
      <c r="T420" s="38" t="s">
        <v>96</v>
      </c>
      <c r="U420" s="24" t="s">
        <v>56</v>
      </c>
      <c r="V420" s="24">
        <v>300000</v>
      </c>
      <c r="W420" s="39">
        <f t="shared" si="124"/>
        <v>300000</v>
      </c>
      <c r="X420" s="29">
        <f t="shared" si="125"/>
        <v>1</v>
      </c>
      <c r="Y420" s="40">
        <f t="shared" si="126"/>
        <v>365</v>
      </c>
      <c r="Z420" s="38">
        <f t="shared" si="121"/>
        <v>46081</v>
      </c>
      <c r="AA420" s="41">
        <f t="shared" si="127"/>
        <v>264</v>
      </c>
      <c r="AB420" s="24" t="s">
        <v>125</v>
      </c>
      <c r="AC420" s="41">
        <f t="shared" si="128"/>
        <v>9586.9925999999996</v>
      </c>
      <c r="AD420" s="41">
        <v>1</v>
      </c>
      <c r="AE420" s="72">
        <f>IFERROR(INDEX(SA!$C$4:$E$11,MATCH(Details!S420,SA!$C$4:$C$11,0),MATCH(Details!V420,SA!$C$4:$E$4,0)),0)*Y420/(F420-E420+1)</f>
        <v>8124.57</v>
      </c>
      <c r="AF420" s="41">
        <f t="shared" si="129"/>
        <v>0</v>
      </c>
      <c r="AG420" s="41">
        <f t="shared" si="130"/>
        <v>0</v>
      </c>
      <c r="AH420" s="41">
        <f t="shared" si="131"/>
        <v>1462.4225999999999</v>
      </c>
      <c r="AI420" s="60">
        <f t="shared" si="132"/>
        <v>324.9828</v>
      </c>
      <c r="AJ420" s="60">
        <f t="shared" si="133"/>
        <v>1828.0282500000001</v>
      </c>
      <c r="AK420" s="60">
        <f t="shared" si="134"/>
        <v>5876.4013150684932</v>
      </c>
      <c r="AL420" s="60">
        <f t="shared" si="135"/>
        <v>4319.1549665753428</v>
      </c>
      <c r="AM420" s="41">
        <f t="shared" si="136"/>
        <v>1652.4039834246571</v>
      </c>
      <c r="AN420" s="42">
        <f t="shared" si="137"/>
        <v>45715</v>
      </c>
      <c r="AO420" s="43">
        <f t="shared" si="138"/>
        <v>8124.57</v>
      </c>
    </row>
    <row r="421" spans="1:41" s="24" customFormat="1" ht="15.75" customHeight="1" x14ac:dyDescent="0.35">
      <c r="A421" s="36" t="s">
        <v>27</v>
      </c>
      <c r="B421" s="36">
        <v>202506</v>
      </c>
      <c r="C421" s="24" t="s">
        <v>128</v>
      </c>
      <c r="D421" s="24" t="s">
        <v>129</v>
      </c>
      <c r="E421" s="62">
        <v>45818</v>
      </c>
      <c r="F421" s="62">
        <v>46182</v>
      </c>
      <c r="G421" s="37" t="s">
        <v>548</v>
      </c>
      <c r="H421" s="36">
        <v>2183</v>
      </c>
      <c r="I421" s="63">
        <v>37164</v>
      </c>
      <c r="J421" s="24" t="s">
        <v>1197</v>
      </c>
      <c r="K421" s="63">
        <f t="shared" si="122"/>
        <v>45818</v>
      </c>
      <c r="L421" s="55">
        <f t="shared" si="123"/>
        <v>0.04</v>
      </c>
      <c r="M421" s="76">
        <v>0.22500000000000001</v>
      </c>
      <c r="N421" s="62">
        <v>45818</v>
      </c>
      <c r="O421" s="62">
        <v>46182</v>
      </c>
      <c r="P421" s="63"/>
      <c r="Q421" s="63"/>
      <c r="R421" s="82">
        <v>23</v>
      </c>
      <c r="S421" s="63" t="str">
        <f>VLOOKUP(R421,SA!$B$5:$C$11,2,1)</f>
        <v>0-35</v>
      </c>
      <c r="T421" s="38" t="s">
        <v>97</v>
      </c>
      <c r="U421" s="24" t="s">
        <v>113</v>
      </c>
      <c r="V421" s="24">
        <v>300000</v>
      </c>
      <c r="W421" s="39">
        <f t="shared" si="124"/>
        <v>0</v>
      </c>
      <c r="X421" s="29">
        <f t="shared" si="125"/>
        <v>0</v>
      </c>
      <c r="Y421" s="40">
        <f t="shared" si="126"/>
        <v>365</v>
      </c>
      <c r="Z421" s="38">
        <f t="shared" si="121"/>
        <v>46081</v>
      </c>
      <c r="AA421" s="41">
        <f t="shared" si="127"/>
        <v>264</v>
      </c>
      <c r="AB421" s="24" t="s">
        <v>125</v>
      </c>
      <c r="AC421" s="41">
        <f t="shared" si="128"/>
        <v>3874.2114000000001</v>
      </c>
      <c r="AD421" s="41">
        <v>1</v>
      </c>
      <c r="AE421" s="72">
        <f>IFERROR(INDEX(SA!$C$4:$E$11,MATCH(Details!S421,SA!$C$4:$C$11,0),MATCH(Details!V421,SA!$C$4:$E$4,0)),0)*Y421/(F421-E421+1)</f>
        <v>3283.23</v>
      </c>
      <c r="AF421" s="41">
        <f t="shared" si="129"/>
        <v>0</v>
      </c>
      <c r="AG421" s="41">
        <f t="shared" si="130"/>
        <v>0</v>
      </c>
      <c r="AH421" s="41">
        <f t="shared" si="131"/>
        <v>590.98140000000001</v>
      </c>
      <c r="AI421" s="60">
        <f t="shared" si="132"/>
        <v>131.32920000000001</v>
      </c>
      <c r="AJ421" s="60">
        <f t="shared" si="133"/>
        <v>738.72675000000004</v>
      </c>
      <c r="AK421" s="60">
        <f t="shared" si="134"/>
        <v>2374.7197808219175</v>
      </c>
      <c r="AL421" s="60">
        <f t="shared" si="135"/>
        <v>1745.4190389041094</v>
      </c>
      <c r="AM421" s="41">
        <f t="shared" si="136"/>
        <v>667.7550110958905</v>
      </c>
      <c r="AN421" s="42">
        <f t="shared" si="137"/>
        <v>45715</v>
      </c>
      <c r="AO421" s="43">
        <f t="shared" si="138"/>
        <v>3283.23</v>
      </c>
    </row>
    <row r="422" spans="1:41" s="24" customFormat="1" ht="15.75" customHeight="1" x14ac:dyDescent="0.35">
      <c r="A422" s="36" t="s">
        <v>27</v>
      </c>
      <c r="B422" s="36">
        <v>202506</v>
      </c>
      <c r="C422" s="24" t="s">
        <v>128</v>
      </c>
      <c r="D422" s="24" t="s">
        <v>129</v>
      </c>
      <c r="E422" s="62">
        <v>45818</v>
      </c>
      <c r="F422" s="62">
        <v>46182</v>
      </c>
      <c r="G422" s="37" t="s">
        <v>549</v>
      </c>
      <c r="H422" s="36">
        <v>2183</v>
      </c>
      <c r="I422" s="63">
        <v>30902</v>
      </c>
      <c r="J422" s="24" t="s">
        <v>1198</v>
      </c>
      <c r="K422" s="63">
        <f t="shared" si="122"/>
        <v>45818</v>
      </c>
      <c r="L422" s="55">
        <f t="shared" si="123"/>
        <v>0.04</v>
      </c>
      <c r="M422" s="76">
        <v>0.22500000000000001</v>
      </c>
      <c r="N422" s="62">
        <v>45818</v>
      </c>
      <c r="O422" s="62">
        <v>46182</v>
      </c>
      <c r="P422" s="63"/>
      <c r="Q422" s="63"/>
      <c r="R422" s="82">
        <v>40</v>
      </c>
      <c r="S422" s="63" t="str">
        <f>VLOOKUP(R422,SA!$B$5:$C$11,2,1)</f>
        <v>36-45</v>
      </c>
      <c r="T422" s="38" t="s">
        <v>97</v>
      </c>
      <c r="U422" s="24" t="s">
        <v>115</v>
      </c>
      <c r="V422" s="24">
        <v>300000</v>
      </c>
      <c r="W422" s="39">
        <f t="shared" si="124"/>
        <v>0</v>
      </c>
      <c r="X422" s="29">
        <f t="shared" si="125"/>
        <v>0</v>
      </c>
      <c r="Y422" s="40">
        <f t="shared" si="126"/>
        <v>365</v>
      </c>
      <c r="Z422" s="38">
        <f t="shared" si="121"/>
        <v>46081</v>
      </c>
      <c r="AA422" s="41">
        <f t="shared" si="127"/>
        <v>264</v>
      </c>
      <c r="AB422" s="24" t="s">
        <v>125</v>
      </c>
      <c r="AC422" s="41">
        <f t="shared" si="128"/>
        <v>5017.3245999999999</v>
      </c>
      <c r="AD422" s="41">
        <v>1</v>
      </c>
      <c r="AE422" s="72">
        <f>IFERROR(INDEX(SA!$C$4:$E$11,MATCH(Details!S422,SA!$C$4:$C$11,0),MATCH(Details!V422,SA!$C$4:$E$4,0)),0)*Y422/(F422-E422+1)</f>
        <v>4251.97</v>
      </c>
      <c r="AF422" s="41">
        <f t="shared" si="129"/>
        <v>0</v>
      </c>
      <c r="AG422" s="41">
        <f t="shared" si="130"/>
        <v>0</v>
      </c>
      <c r="AH422" s="41">
        <f t="shared" si="131"/>
        <v>765.3546</v>
      </c>
      <c r="AI422" s="60">
        <f t="shared" si="132"/>
        <v>170.0788</v>
      </c>
      <c r="AJ422" s="60">
        <f t="shared" si="133"/>
        <v>956.69325000000003</v>
      </c>
      <c r="AK422" s="60">
        <f t="shared" si="134"/>
        <v>3075.397479452055</v>
      </c>
      <c r="AL422" s="60">
        <f t="shared" si="135"/>
        <v>2260.4171473972606</v>
      </c>
      <c r="AM422" s="41">
        <f t="shared" si="136"/>
        <v>864.78080260273941</v>
      </c>
      <c r="AN422" s="42">
        <f t="shared" si="137"/>
        <v>45715</v>
      </c>
      <c r="AO422" s="43">
        <f t="shared" si="138"/>
        <v>4251.97</v>
      </c>
    </row>
    <row r="423" spans="1:41" s="24" customFormat="1" ht="15.75" customHeight="1" x14ac:dyDescent="0.35">
      <c r="A423" s="36" t="s">
        <v>27</v>
      </c>
      <c r="B423" s="36">
        <v>202506</v>
      </c>
      <c r="C423" s="24" t="s">
        <v>128</v>
      </c>
      <c r="D423" s="24" t="s">
        <v>129</v>
      </c>
      <c r="E423" s="62">
        <v>45818</v>
      </c>
      <c r="F423" s="62">
        <v>46182</v>
      </c>
      <c r="G423" s="37" t="s">
        <v>550</v>
      </c>
      <c r="H423" s="36">
        <v>2183</v>
      </c>
      <c r="I423" s="63">
        <v>37896</v>
      </c>
      <c r="J423" s="24" t="s">
        <v>1199</v>
      </c>
      <c r="K423" s="63">
        <f t="shared" si="122"/>
        <v>45818</v>
      </c>
      <c r="L423" s="55">
        <f t="shared" si="123"/>
        <v>0.04</v>
      </c>
      <c r="M423" s="76">
        <v>0.22500000000000001</v>
      </c>
      <c r="N423" s="62">
        <v>45818</v>
      </c>
      <c r="O423" s="62">
        <v>46182</v>
      </c>
      <c r="P423" s="63"/>
      <c r="Q423" s="63"/>
      <c r="R423" s="82">
        <v>21</v>
      </c>
      <c r="S423" s="63" t="str">
        <f>VLOOKUP(R423,SA!$B$5:$C$11,2,1)</f>
        <v>0-35</v>
      </c>
      <c r="T423" s="38" t="s">
        <v>96</v>
      </c>
      <c r="U423" s="24" t="s">
        <v>114</v>
      </c>
      <c r="V423" s="24">
        <v>300000</v>
      </c>
      <c r="W423" s="39">
        <f t="shared" si="124"/>
        <v>0</v>
      </c>
      <c r="X423" s="29">
        <f t="shared" si="125"/>
        <v>0</v>
      </c>
      <c r="Y423" s="40">
        <f t="shared" si="126"/>
        <v>365</v>
      </c>
      <c r="Z423" s="38">
        <f t="shared" si="121"/>
        <v>46081</v>
      </c>
      <c r="AA423" s="41">
        <f t="shared" si="127"/>
        <v>264</v>
      </c>
      <c r="AB423" s="24" t="s">
        <v>125</v>
      </c>
      <c r="AC423" s="41">
        <f t="shared" si="128"/>
        <v>3874.2114000000001</v>
      </c>
      <c r="AD423" s="41">
        <v>1</v>
      </c>
      <c r="AE423" s="72">
        <f>IFERROR(INDEX(SA!$C$4:$E$11,MATCH(Details!S423,SA!$C$4:$C$11,0),MATCH(Details!V423,SA!$C$4:$E$4,0)),0)*Y423/(F423-E423+1)</f>
        <v>3283.23</v>
      </c>
      <c r="AF423" s="41">
        <f t="shared" si="129"/>
        <v>0</v>
      </c>
      <c r="AG423" s="41">
        <f t="shared" si="130"/>
        <v>0</v>
      </c>
      <c r="AH423" s="41">
        <f t="shared" si="131"/>
        <v>590.98140000000001</v>
      </c>
      <c r="AI423" s="60">
        <f t="shared" si="132"/>
        <v>131.32920000000001</v>
      </c>
      <c r="AJ423" s="60">
        <f t="shared" si="133"/>
        <v>738.72675000000004</v>
      </c>
      <c r="AK423" s="60">
        <f t="shared" si="134"/>
        <v>2374.7197808219175</v>
      </c>
      <c r="AL423" s="60">
        <f t="shared" si="135"/>
        <v>1745.4190389041094</v>
      </c>
      <c r="AM423" s="41">
        <f t="shared" si="136"/>
        <v>667.7550110958905</v>
      </c>
      <c r="AN423" s="42">
        <f t="shared" si="137"/>
        <v>45715</v>
      </c>
      <c r="AO423" s="43">
        <f t="shared" si="138"/>
        <v>3283.23</v>
      </c>
    </row>
    <row r="424" spans="1:41" s="24" customFormat="1" ht="15.75" customHeight="1" x14ac:dyDescent="0.35">
      <c r="A424" s="36" t="s">
        <v>27</v>
      </c>
      <c r="B424" s="36">
        <v>202506</v>
      </c>
      <c r="C424" s="24" t="s">
        <v>128</v>
      </c>
      <c r="D424" s="24" t="s">
        <v>129</v>
      </c>
      <c r="E424" s="62">
        <v>45818</v>
      </c>
      <c r="F424" s="62">
        <v>46182</v>
      </c>
      <c r="G424" s="37" t="s">
        <v>551</v>
      </c>
      <c r="H424" s="36">
        <v>2188</v>
      </c>
      <c r="I424" s="63">
        <v>30796</v>
      </c>
      <c r="J424" s="24" t="s">
        <v>1200</v>
      </c>
      <c r="K424" s="63">
        <f t="shared" si="122"/>
        <v>45818</v>
      </c>
      <c r="L424" s="55">
        <f t="shared" si="123"/>
        <v>0.04</v>
      </c>
      <c r="M424" s="76">
        <v>0.22500000000000001</v>
      </c>
      <c r="N424" s="62">
        <v>45818</v>
      </c>
      <c r="O424" s="62">
        <v>46182</v>
      </c>
      <c r="P424" s="63"/>
      <c r="Q424" s="63"/>
      <c r="R424" s="82">
        <v>41</v>
      </c>
      <c r="S424" s="63" t="str">
        <f>VLOOKUP(R424,SA!$B$5:$C$11,2,1)</f>
        <v>36-45</v>
      </c>
      <c r="T424" s="38" t="s">
        <v>96</v>
      </c>
      <c r="U424" s="24" t="s">
        <v>56</v>
      </c>
      <c r="V424" s="24">
        <v>300000</v>
      </c>
      <c r="W424" s="39">
        <f t="shared" si="124"/>
        <v>300000</v>
      </c>
      <c r="X424" s="29">
        <f t="shared" si="125"/>
        <v>1</v>
      </c>
      <c r="Y424" s="40">
        <f t="shared" si="126"/>
        <v>365</v>
      </c>
      <c r="Z424" s="38">
        <f t="shared" si="121"/>
        <v>46081</v>
      </c>
      <c r="AA424" s="41">
        <f t="shared" si="127"/>
        <v>264</v>
      </c>
      <c r="AB424" s="24" t="s">
        <v>125</v>
      </c>
      <c r="AC424" s="41">
        <f t="shared" si="128"/>
        <v>5017.3245999999999</v>
      </c>
      <c r="AD424" s="41">
        <v>1</v>
      </c>
      <c r="AE424" s="72">
        <f>IFERROR(INDEX(SA!$C$4:$E$11,MATCH(Details!S424,SA!$C$4:$C$11,0),MATCH(Details!V424,SA!$C$4:$E$4,0)),0)*Y424/(F424-E424+1)</f>
        <v>4251.97</v>
      </c>
      <c r="AF424" s="41">
        <f t="shared" si="129"/>
        <v>0</v>
      </c>
      <c r="AG424" s="41">
        <f t="shared" si="130"/>
        <v>0</v>
      </c>
      <c r="AH424" s="41">
        <f t="shared" si="131"/>
        <v>765.3546</v>
      </c>
      <c r="AI424" s="60">
        <f t="shared" si="132"/>
        <v>170.0788</v>
      </c>
      <c r="AJ424" s="60">
        <f t="shared" si="133"/>
        <v>956.69325000000003</v>
      </c>
      <c r="AK424" s="60">
        <f t="shared" si="134"/>
        <v>3075.397479452055</v>
      </c>
      <c r="AL424" s="60">
        <f t="shared" si="135"/>
        <v>2260.4171473972606</v>
      </c>
      <c r="AM424" s="41">
        <f t="shared" si="136"/>
        <v>864.78080260273941</v>
      </c>
      <c r="AN424" s="42">
        <f t="shared" si="137"/>
        <v>45715</v>
      </c>
      <c r="AO424" s="43">
        <f t="shared" si="138"/>
        <v>4251.97</v>
      </c>
    </row>
    <row r="425" spans="1:41" s="24" customFormat="1" ht="15.75" customHeight="1" x14ac:dyDescent="0.35">
      <c r="A425" s="36" t="s">
        <v>27</v>
      </c>
      <c r="B425" s="36">
        <v>202506</v>
      </c>
      <c r="C425" s="24" t="s">
        <v>128</v>
      </c>
      <c r="D425" s="24" t="s">
        <v>129</v>
      </c>
      <c r="E425" s="62">
        <v>45818</v>
      </c>
      <c r="F425" s="62">
        <v>46182</v>
      </c>
      <c r="G425" s="37" t="s">
        <v>552</v>
      </c>
      <c r="H425" s="36">
        <v>2188</v>
      </c>
      <c r="I425" s="63">
        <v>34139</v>
      </c>
      <c r="J425" s="24" t="s">
        <v>1201</v>
      </c>
      <c r="K425" s="63">
        <f t="shared" si="122"/>
        <v>45818</v>
      </c>
      <c r="L425" s="55">
        <f t="shared" si="123"/>
        <v>0.04</v>
      </c>
      <c r="M425" s="76">
        <v>0.22500000000000001</v>
      </c>
      <c r="N425" s="62">
        <v>45818</v>
      </c>
      <c r="O425" s="62">
        <v>46182</v>
      </c>
      <c r="P425" s="63"/>
      <c r="Q425" s="63"/>
      <c r="R425" s="82">
        <v>31</v>
      </c>
      <c r="S425" s="63" t="str">
        <f>VLOOKUP(R425,SA!$B$5:$C$11,2,1)</f>
        <v>0-35</v>
      </c>
      <c r="T425" s="38" t="s">
        <v>97</v>
      </c>
      <c r="U425" s="24" t="s">
        <v>115</v>
      </c>
      <c r="V425" s="24">
        <v>300000</v>
      </c>
      <c r="W425" s="39">
        <f t="shared" si="124"/>
        <v>0</v>
      </c>
      <c r="X425" s="29">
        <f t="shared" si="125"/>
        <v>0</v>
      </c>
      <c r="Y425" s="40">
        <f t="shared" si="126"/>
        <v>365</v>
      </c>
      <c r="Z425" s="38">
        <f t="shared" si="121"/>
        <v>46081</v>
      </c>
      <c r="AA425" s="41">
        <f t="shared" si="127"/>
        <v>264</v>
      </c>
      <c r="AB425" s="24" t="s">
        <v>125</v>
      </c>
      <c r="AC425" s="41">
        <f t="shared" si="128"/>
        <v>3874.2114000000001</v>
      </c>
      <c r="AD425" s="41">
        <v>1</v>
      </c>
      <c r="AE425" s="72">
        <f>IFERROR(INDEX(SA!$C$4:$E$11,MATCH(Details!S425,SA!$C$4:$C$11,0),MATCH(Details!V425,SA!$C$4:$E$4,0)),0)*Y425/(F425-E425+1)</f>
        <v>3283.23</v>
      </c>
      <c r="AF425" s="41">
        <f t="shared" si="129"/>
        <v>0</v>
      </c>
      <c r="AG425" s="41">
        <f t="shared" si="130"/>
        <v>0</v>
      </c>
      <c r="AH425" s="41">
        <f t="shared" si="131"/>
        <v>590.98140000000001</v>
      </c>
      <c r="AI425" s="60">
        <f t="shared" si="132"/>
        <v>131.32920000000001</v>
      </c>
      <c r="AJ425" s="60">
        <f t="shared" si="133"/>
        <v>738.72675000000004</v>
      </c>
      <c r="AK425" s="60">
        <f t="shared" si="134"/>
        <v>2374.7197808219175</v>
      </c>
      <c r="AL425" s="60">
        <f t="shared" si="135"/>
        <v>1745.4190389041094</v>
      </c>
      <c r="AM425" s="41">
        <f t="shared" si="136"/>
        <v>667.7550110958905</v>
      </c>
      <c r="AN425" s="42">
        <f t="shared" si="137"/>
        <v>45715</v>
      </c>
      <c r="AO425" s="43">
        <f t="shared" si="138"/>
        <v>3283.23</v>
      </c>
    </row>
    <row r="426" spans="1:41" s="24" customFormat="1" ht="15.75" customHeight="1" x14ac:dyDescent="0.35">
      <c r="A426" s="36" t="s">
        <v>27</v>
      </c>
      <c r="B426" s="36">
        <v>202506</v>
      </c>
      <c r="C426" s="24" t="s">
        <v>128</v>
      </c>
      <c r="D426" s="24" t="s">
        <v>129</v>
      </c>
      <c r="E426" s="62">
        <v>45818</v>
      </c>
      <c r="F426" s="62">
        <v>46182</v>
      </c>
      <c r="G426" s="37" t="s">
        <v>553</v>
      </c>
      <c r="H426" s="36">
        <v>2188</v>
      </c>
      <c r="I426" s="63">
        <v>41255</v>
      </c>
      <c r="J426" s="24" t="s">
        <v>1202</v>
      </c>
      <c r="K426" s="63">
        <f t="shared" si="122"/>
        <v>45818</v>
      </c>
      <c r="L426" s="55">
        <f t="shared" si="123"/>
        <v>0.04</v>
      </c>
      <c r="M426" s="76">
        <v>0.22500000000000001</v>
      </c>
      <c r="N426" s="62">
        <v>45818</v>
      </c>
      <c r="O426" s="62">
        <v>46182</v>
      </c>
      <c r="P426" s="63"/>
      <c r="Q426" s="63"/>
      <c r="R426" s="82">
        <v>12</v>
      </c>
      <c r="S426" s="63" t="str">
        <f>VLOOKUP(R426,SA!$B$5:$C$11,2,1)</f>
        <v>0-35</v>
      </c>
      <c r="T426" s="38" t="s">
        <v>97</v>
      </c>
      <c r="U426" s="24" t="s">
        <v>113</v>
      </c>
      <c r="V426" s="24">
        <v>300000</v>
      </c>
      <c r="W426" s="39">
        <f t="shared" si="124"/>
        <v>0</v>
      </c>
      <c r="X426" s="29">
        <f t="shared" si="125"/>
        <v>0</v>
      </c>
      <c r="Y426" s="40">
        <f t="shared" si="126"/>
        <v>365</v>
      </c>
      <c r="Z426" s="38">
        <f t="shared" si="121"/>
        <v>46081</v>
      </c>
      <c r="AA426" s="41">
        <f t="shared" si="127"/>
        <v>264</v>
      </c>
      <c r="AB426" s="24" t="s">
        <v>125</v>
      </c>
      <c r="AC426" s="41">
        <f t="shared" si="128"/>
        <v>3874.2114000000001</v>
      </c>
      <c r="AD426" s="41">
        <v>1</v>
      </c>
      <c r="AE426" s="72">
        <f>IFERROR(INDEX(SA!$C$4:$E$11,MATCH(Details!S426,SA!$C$4:$C$11,0),MATCH(Details!V426,SA!$C$4:$E$4,0)),0)*Y426/(F426-E426+1)</f>
        <v>3283.23</v>
      </c>
      <c r="AF426" s="41">
        <f t="shared" si="129"/>
        <v>0</v>
      </c>
      <c r="AG426" s="41">
        <f t="shared" si="130"/>
        <v>0</v>
      </c>
      <c r="AH426" s="41">
        <f t="shared" si="131"/>
        <v>590.98140000000001</v>
      </c>
      <c r="AI426" s="60">
        <f t="shared" si="132"/>
        <v>131.32920000000001</v>
      </c>
      <c r="AJ426" s="60">
        <f t="shared" si="133"/>
        <v>738.72675000000004</v>
      </c>
      <c r="AK426" s="60">
        <f t="shared" si="134"/>
        <v>2374.7197808219175</v>
      </c>
      <c r="AL426" s="60">
        <f t="shared" si="135"/>
        <v>1745.4190389041094</v>
      </c>
      <c r="AM426" s="41">
        <f t="shared" si="136"/>
        <v>667.7550110958905</v>
      </c>
      <c r="AN426" s="42">
        <f t="shared" si="137"/>
        <v>45715</v>
      </c>
      <c r="AO426" s="43">
        <f t="shared" si="138"/>
        <v>3283.23</v>
      </c>
    </row>
    <row r="427" spans="1:41" s="24" customFormat="1" ht="15.75" customHeight="1" x14ac:dyDescent="0.35">
      <c r="A427" s="36" t="s">
        <v>27</v>
      </c>
      <c r="B427" s="36">
        <v>202506</v>
      </c>
      <c r="C427" s="24" t="s">
        <v>128</v>
      </c>
      <c r="D427" s="24" t="s">
        <v>129</v>
      </c>
      <c r="E427" s="62">
        <v>45818</v>
      </c>
      <c r="F427" s="62">
        <v>46182</v>
      </c>
      <c r="G427" s="37" t="s">
        <v>554</v>
      </c>
      <c r="H427" s="36">
        <v>2188</v>
      </c>
      <c r="I427" s="63">
        <v>42587</v>
      </c>
      <c r="J427" s="24" t="s">
        <v>1203</v>
      </c>
      <c r="K427" s="63">
        <f t="shared" si="122"/>
        <v>45818</v>
      </c>
      <c r="L427" s="55">
        <f t="shared" si="123"/>
        <v>0.04</v>
      </c>
      <c r="M427" s="76">
        <v>0.22500000000000001</v>
      </c>
      <c r="N427" s="62">
        <v>45818</v>
      </c>
      <c r="O427" s="62">
        <v>46182</v>
      </c>
      <c r="P427" s="63"/>
      <c r="Q427" s="63"/>
      <c r="R427" s="82">
        <v>8</v>
      </c>
      <c r="S427" s="63" t="str">
        <f>VLOOKUP(R427,SA!$B$5:$C$11,2,1)</f>
        <v>0-35</v>
      </c>
      <c r="T427" s="38" t="s">
        <v>96</v>
      </c>
      <c r="U427" s="24" t="s">
        <v>114</v>
      </c>
      <c r="V427" s="24">
        <v>300000</v>
      </c>
      <c r="W427" s="39">
        <f t="shared" si="124"/>
        <v>0</v>
      </c>
      <c r="X427" s="29">
        <f t="shared" si="125"/>
        <v>0</v>
      </c>
      <c r="Y427" s="40">
        <f t="shared" si="126"/>
        <v>365</v>
      </c>
      <c r="Z427" s="38">
        <f t="shared" si="121"/>
        <v>46081</v>
      </c>
      <c r="AA427" s="41">
        <f t="shared" si="127"/>
        <v>264</v>
      </c>
      <c r="AB427" s="24" t="s">
        <v>125</v>
      </c>
      <c r="AC427" s="41">
        <f t="shared" si="128"/>
        <v>3874.2114000000001</v>
      </c>
      <c r="AD427" s="41">
        <v>1</v>
      </c>
      <c r="AE427" s="72">
        <f>IFERROR(INDEX(SA!$C$4:$E$11,MATCH(Details!S427,SA!$C$4:$C$11,0),MATCH(Details!V427,SA!$C$4:$E$4,0)),0)*Y427/(F427-E427+1)</f>
        <v>3283.23</v>
      </c>
      <c r="AF427" s="41">
        <f t="shared" si="129"/>
        <v>0</v>
      </c>
      <c r="AG427" s="41">
        <f t="shared" si="130"/>
        <v>0</v>
      </c>
      <c r="AH427" s="41">
        <f t="shared" si="131"/>
        <v>590.98140000000001</v>
      </c>
      <c r="AI427" s="60">
        <f t="shared" si="132"/>
        <v>131.32920000000001</v>
      </c>
      <c r="AJ427" s="60">
        <f t="shared" si="133"/>
        <v>738.72675000000004</v>
      </c>
      <c r="AK427" s="60">
        <f t="shared" si="134"/>
        <v>2374.7197808219175</v>
      </c>
      <c r="AL427" s="60">
        <f t="shared" si="135"/>
        <v>1745.4190389041094</v>
      </c>
      <c r="AM427" s="41">
        <f t="shared" si="136"/>
        <v>667.7550110958905</v>
      </c>
      <c r="AN427" s="42">
        <f t="shared" si="137"/>
        <v>45715</v>
      </c>
      <c r="AO427" s="43">
        <f t="shared" si="138"/>
        <v>3283.23</v>
      </c>
    </row>
    <row r="428" spans="1:41" s="24" customFormat="1" ht="15.75" customHeight="1" x14ac:dyDescent="0.35">
      <c r="A428" s="36" t="s">
        <v>27</v>
      </c>
      <c r="B428" s="36">
        <v>202506</v>
      </c>
      <c r="C428" s="24" t="s">
        <v>128</v>
      </c>
      <c r="D428" s="24" t="s">
        <v>129</v>
      </c>
      <c r="E428" s="62">
        <v>45818</v>
      </c>
      <c r="F428" s="62">
        <v>46182</v>
      </c>
      <c r="G428" s="37" t="s">
        <v>555</v>
      </c>
      <c r="H428" s="36">
        <v>2194</v>
      </c>
      <c r="I428" s="63">
        <v>34208</v>
      </c>
      <c r="J428" s="24" t="s">
        <v>1204</v>
      </c>
      <c r="K428" s="63">
        <f t="shared" si="122"/>
        <v>45818</v>
      </c>
      <c r="L428" s="55">
        <f t="shared" si="123"/>
        <v>0.04</v>
      </c>
      <c r="M428" s="76">
        <v>0.22500000000000001</v>
      </c>
      <c r="N428" s="62">
        <v>45818</v>
      </c>
      <c r="O428" s="62">
        <v>46182</v>
      </c>
      <c r="P428" s="63"/>
      <c r="Q428" s="63"/>
      <c r="R428" s="82">
        <v>31</v>
      </c>
      <c r="S428" s="63" t="str">
        <f>VLOOKUP(R428,SA!$B$5:$C$11,2,1)</f>
        <v>0-35</v>
      </c>
      <c r="T428" s="38" t="s">
        <v>96</v>
      </c>
      <c r="U428" s="24" t="s">
        <v>56</v>
      </c>
      <c r="V428" s="24">
        <v>300000</v>
      </c>
      <c r="W428" s="39">
        <f t="shared" si="124"/>
        <v>300000</v>
      </c>
      <c r="X428" s="29">
        <f t="shared" si="125"/>
        <v>1</v>
      </c>
      <c r="Y428" s="40">
        <f t="shared" si="126"/>
        <v>365</v>
      </c>
      <c r="Z428" s="38">
        <f t="shared" si="121"/>
        <v>46081</v>
      </c>
      <c r="AA428" s="41">
        <f t="shared" si="127"/>
        <v>264</v>
      </c>
      <c r="AB428" s="24" t="s">
        <v>125</v>
      </c>
      <c r="AC428" s="41">
        <f t="shared" si="128"/>
        <v>3874.2114000000001</v>
      </c>
      <c r="AD428" s="41">
        <v>1</v>
      </c>
      <c r="AE428" s="72">
        <f>IFERROR(INDEX(SA!$C$4:$E$11,MATCH(Details!S428,SA!$C$4:$C$11,0),MATCH(Details!V428,SA!$C$4:$E$4,0)),0)*Y428/(F428-E428+1)</f>
        <v>3283.23</v>
      </c>
      <c r="AF428" s="41">
        <f t="shared" si="129"/>
        <v>0</v>
      </c>
      <c r="AG428" s="41">
        <f t="shared" si="130"/>
        <v>0</v>
      </c>
      <c r="AH428" s="41">
        <f t="shared" si="131"/>
        <v>590.98140000000001</v>
      </c>
      <c r="AI428" s="60">
        <f t="shared" si="132"/>
        <v>131.32920000000001</v>
      </c>
      <c r="AJ428" s="60">
        <f t="shared" si="133"/>
        <v>738.72675000000004</v>
      </c>
      <c r="AK428" s="60">
        <f t="shared" si="134"/>
        <v>2374.7197808219175</v>
      </c>
      <c r="AL428" s="60">
        <f t="shared" si="135"/>
        <v>1745.4190389041094</v>
      </c>
      <c r="AM428" s="41">
        <f t="shared" si="136"/>
        <v>667.7550110958905</v>
      </c>
      <c r="AN428" s="42">
        <f t="shared" si="137"/>
        <v>45715</v>
      </c>
      <c r="AO428" s="43">
        <f t="shared" si="138"/>
        <v>3283.23</v>
      </c>
    </row>
    <row r="429" spans="1:41" s="24" customFormat="1" ht="15.75" customHeight="1" x14ac:dyDescent="0.35">
      <c r="A429" s="36" t="s">
        <v>27</v>
      </c>
      <c r="B429" s="36">
        <v>202506</v>
      </c>
      <c r="C429" s="24" t="s">
        <v>128</v>
      </c>
      <c r="D429" s="24" t="s">
        <v>129</v>
      </c>
      <c r="E429" s="62">
        <v>45818</v>
      </c>
      <c r="F429" s="62">
        <v>46182</v>
      </c>
      <c r="G429" s="37" t="s">
        <v>556</v>
      </c>
      <c r="H429" s="36">
        <v>2195</v>
      </c>
      <c r="I429" s="63">
        <v>34311</v>
      </c>
      <c r="J429" s="24" t="s">
        <v>1205</v>
      </c>
      <c r="K429" s="63">
        <f t="shared" si="122"/>
        <v>45818</v>
      </c>
      <c r="L429" s="55">
        <f t="shared" si="123"/>
        <v>0.04</v>
      </c>
      <c r="M429" s="76">
        <v>0.22500000000000001</v>
      </c>
      <c r="N429" s="62">
        <v>45818</v>
      </c>
      <c r="O429" s="62">
        <v>46182</v>
      </c>
      <c r="P429" s="63"/>
      <c r="Q429" s="63"/>
      <c r="R429" s="82">
        <v>31</v>
      </c>
      <c r="S429" s="63" t="str">
        <f>VLOOKUP(R429,SA!$B$5:$C$11,2,1)</f>
        <v>0-35</v>
      </c>
      <c r="T429" s="38" t="s">
        <v>96</v>
      </c>
      <c r="U429" s="24" t="s">
        <v>56</v>
      </c>
      <c r="V429" s="24">
        <v>300000</v>
      </c>
      <c r="W429" s="39">
        <f t="shared" si="124"/>
        <v>300000</v>
      </c>
      <c r="X429" s="29">
        <f t="shared" si="125"/>
        <v>1</v>
      </c>
      <c r="Y429" s="40">
        <f t="shared" si="126"/>
        <v>365</v>
      </c>
      <c r="Z429" s="38">
        <f t="shared" si="121"/>
        <v>46081</v>
      </c>
      <c r="AA429" s="41">
        <f t="shared" si="127"/>
        <v>264</v>
      </c>
      <c r="AB429" s="24" t="s">
        <v>125</v>
      </c>
      <c r="AC429" s="41">
        <f t="shared" si="128"/>
        <v>3874.2114000000001</v>
      </c>
      <c r="AD429" s="41">
        <v>1</v>
      </c>
      <c r="AE429" s="72">
        <f>IFERROR(INDEX(SA!$C$4:$E$11,MATCH(Details!S429,SA!$C$4:$C$11,0),MATCH(Details!V429,SA!$C$4:$E$4,0)),0)*Y429/(F429-E429+1)</f>
        <v>3283.23</v>
      </c>
      <c r="AF429" s="41">
        <f t="shared" si="129"/>
        <v>0</v>
      </c>
      <c r="AG429" s="41">
        <f t="shared" si="130"/>
        <v>0</v>
      </c>
      <c r="AH429" s="41">
        <f t="shared" si="131"/>
        <v>590.98140000000001</v>
      </c>
      <c r="AI429" s="60">
        <f t="shared" si="132"/>
        <v>131.32920000000001</v>
      </c>
      <c r="AJ429" s="60">
        <f t="shared" si="133"/>
        <v>738.72675000000004</v>
      </c>
      <c r="AK429" s="60">
        <f t="shared" si="134"/>
        <v>2374.7197808219175</v>
      </c>
      <c r="AL429" s="60">
        <f t="shared" si="135"/>
        <v>1745.4190389041094</v>
      </c>
      <c r="AM429" s="41">
        <f t="shared" si="136"/>
        <v>667.7550110958905</v>
      </c>
      <c r="AN429" s="42">
        <f t="shared" si="137"/>
        <v>45715</v>
      </c>
      <c r="AO429" s="43">
        <f t="shared" si="138"/>
        <v>3283.23</v>
      </c>
    </row>
    <row r="430" spans="1:41" s="24" customFormat="1" ht="15.75" customHeight="1" x14ac:dyDescent="0.35">
      <c r="A430" s="36" t="s">
        <v>27</v>
      </c>
      <c r="B430" s="36">
        <v>202506</v>
      </c>
      <c r="C430" s="24" t="s">
        <v>128</v>
      </c>
      <c r="D430" s="24" t="s">
        <v>129</v>
      </c>
      <c r="E430" s="62">
        <v>45818</v>
      </c>
      <c r="F430" s="62">
        <v>46182</v>
      </c>
      <c r="G430" s="37" t="s">
        <v>557</v>
      </c>
      <c r="H430" s="36">
        <v>2198</v>
      </c>
      <c r="I430" s="63">
        <v>30779</v>
      </c>
      <c r="J430" s="24" t="s">
        <v>1206</v>
      </c>
      <c r="K430" s="63">
        <f t="shared" si="122"/>
        <v>45818</v>
      </c>
      <c r="L430" s="55">
        <f t="shared" si="123"/>
        <v>0.04</v>
      </c>
      <c r="M430" s="76">
        <v>0.22500000000000001</v>
      </c>
      <c r="N430" s="62">
        <v>45818</v>
      </c>
      <c r="O430" s="62">
        <v>46182</v>
      </c>
      <c r="P430" s="63"/>
      <c r="Q430" s="63"/>
      <c r="R430" s="82">
        <v>41</v>
      </c>
      <c r="S430" s="63" t="str">
        <f>VLOOKUP(R430,SA!$B$5:$C$11,2,1)</f>
        <v>36-45</v>
      </c>
      <c r="T430" s="38" t="s">
        <v>96</v>
      </c>
      <c r="U430" s="24" t="s">
        <v>56</v>
      </c>
      <c r="V430" s="24">
        <v>300000</v>
      </c>
      <c r="W430" s="39">
        <f t="shared" si="124"/>
        <v>300000</v>
      </c>
      <c r="X430" s="29">
        <f t="shared" si="125"/>
        <v>1</v>
      </c>
      <c r="Y430" s="40">
        <f t="shared" si="126"/>
        <v>365</v>
      </c>
      <c r="Z430" s="38">
        <f t="shared" si="121"/>
        <v>46081</v>
      </c>
      <c r="AA430" s="41">
        <f t="shared" si="127"/>
        <v>264</v>
      </c>
      <c r="AB430" s="24" t="s">
        <v>125</v>
      </c>
      <c r="AC430" s="41">
        <f t="shared" si="128"/>
        <v>5017.3245999999999</v>
      </c>
      <c r="AD430" s="41">
        <v>1</v>
      </c>
      <c r="AE430" s="72">
        <f>IFERROR(INDEX(SA!$C$4:$E$11,MATCH(Details!S430,SA!$C$4:$C$11,0),MATCH(Details!V430,SA!$C$4:$E$4,0)),0)*Y430/(F430-E430+1)</f>
        <v>4251.97</v>
      </c>
      <c r="AF430" s="41">
        <f t="shared" si="129"/>
        <v>0</v>
      </c>
      <c r="AG430" s="41">
        <f t="shared" si="130"/>
        <v>0</v>
      </c>
      <c r="AH430" s="41">
        <f t="shared" si="131"/>
        <v>765.3546</v>
      </c>
      <c r="AI430" s="60">
        <f t="shared" si="132"/>
        <v>170.0788</v>
      </c>
      <c r="AJ430" s="60">
        <f t="shared" si="133"/>
        <v>956.69325000000003</v>
      </c>
      <c r="AK430" s="60">
        <f t="shared" si="134"/>
        <v>3075.397479452055</v>
      </c>
      <c r="AL430" s="60">
        <f t="shared" si="135"/>
        <v>2260.4171473972606</v>
      </c>
      <c r="AM430" s="41">
        <f t="shared" si="136"/>
        <v>864.78080260273941</v>
      </c>
      <c r="AN430" s="42">
        <f t="shared" si="137"/>
        <v>45715</v>
      </c>
      <c r="AO430" s="43">
        <f t="shared" si="138"/>
        <v>4251.97</v>
      </c>
    </row>
    <row r="431" spans="1:41" s="24" customFormat="1" ht="15.75" customHeight="1" x14ac:dyDescent="0.35">
      <c r="A431" s="36" t="s">
        <v>27</v>
      </c>
      <c r="B431" s="36">
        <v>202506</v>
      </c>
      <c r="C431" s="24" t="s">
        <v>128</v>
      </c>
      <c r="D431" s="24" t="s">
        <v>129</v>
      </c>
      <c r="E431" s="62">
        <v>45818</v>
      </c>
      <c r="F431" s="62">
        <v>46182</v>
      </c>
      <c r="G431" s="37" t="s">
        <v>558</v>
      </c>
      <c r="H431" s="36">
        <v>2200</v>
      </c>
      <c r="I431" s="63">
        <v>34151</v>
      </c>
      <c r="J431" s="24" t="s">
        <v>1207</v>
      </c>
      <c r="K431" s="63">
        <f t="shared" si="122"/>
        <v>45818</v>
      </c>
      <c r="L431" s="55">
        <f t="shared" si="123"/>
        <v>0.04</v>
      </c>
      <c r="M431" s="76">
        <v>0.22500000000000001</v>
      </c>
      <c r="N431" s="62">
        <v>45818</v>
      </c>
      <c r="O431" s="62">
        <v>46182</v>
      </c>
      <c r="P431" s="63"/>
      <c r="Q431" s="63"/>
      <c r="R431" s="82">
        <v>31</v>
      </c>
      <c r="S431" s="63" t="str">
        <f>VLOOKUP(R431,SA!$B$5:$C$11,2,1)</f>
        <v>0-35</v>
      </c>
      <c r="T431" s="38" t="s">
        <v>96</v>
      </c>
      <c r="U431" s="24" t="s">
        <v>56</v>
      </c>
      <c r="V431" s="24">
        <v>300000</v>
      </c>
      <c r="W431" s="39">
        <f t="shared" si="124"/>
        <v>300000</v>
      </c>
      <c r="X431" s="29">
        <f t="shared" si="125"/>
        <v>1</v>
      </c>
      <c r="Y431" s="40">
        <f t="shared" si="126"/>
        <v>365</v>
      </c>
      <c r="Z431" s="38">
        <f t="shared" si="121"/>
        <v>46081</v>
      </c>
      <c r="AA431" s="41">
        <f t="shared" si="127"/>
        <v>264</v>
      </c>
      <c r="AB431" s="24" t="s">
        <v>125</v>
      </c>
      <c r="AC431" s="41">
        <f t="shared" si="128"/>
        <v>3874.2114000000001</v>
      </c>
      <c r="AD431" s="41">
        <v>1</v>
      </c>
      <c r="AE431" s="72">
        <f>IFERROR(INDEX(SA!$C$4:$E$11,MATCH(Details!S431,SA!$C$4:$C$11,0),MATCH(Details!V431,SA!$C$4:$E$4,0)),0)*Y431/(F431-E431+1)</f>
        <v>3283.23</v>
      </c>
      <c r="AF431" s="41">
        <f t="shared" si="129"/>
        <v>0</v>
      </c>
      <c r="AG431" s="41">
        <f t="shared" si="130"/>
        <v>0</v>
      </c>
      <c r="AH431" s="41">
        <f t="shared" si="131"/>
        <v>590.98140000000001</v>
      </c>
      <c r="AI431" s="60">
        <f t="shared" si="132"/>
        <v>131.32920000000001</v>
      </c>
      <c r="AJ431" s="60">
        <f t="shared" si="133"/>
        <v>738.72675000000004</v>
      </c>
      <c r="AK431" s="60">
        <f t="shared" si="134"/>
        <v>2374.7197808219175</v>
      </c>
      <c r="AL431" s="60">
        <f t="shared" si="135"/>
        <v>1745.4190389041094</v>
      </c>
      <c r="AM431" s="41">
        <f t="shared" si="136"/>
        <v>667.7550110958905</v>
      </c>
      <c r="AN431" s="42">
        <f t="shared" si="137"/>
        <v>45715</v>
      </c>
      <c r="AO431" s="43">
        <f t="shared" si="138"/>
        <v>3283.23</v>
      </c>
    </row>
    <row r="432" spans="1:41" s="24" customFormat="1" ht="15.75" customHeight="1" x14ac:dyDescent="0.35">
      <c r="A432" s="36" t="s">
        <v>27</v>
      </c>
      <c r="B432" s="36">
        <v>202506</v>
      </c>
      <c r="C432" s="24" t="s">
        <v>128</v>
      </c>
      <c r="D432" s="24" t="s">
        <v>129</v>
      </c>
      <c r="E432" s="62">
        <v>45818</v>
      </c>
      <c r="F432" s="62">
        <v>46182</v>
      </c>
      <c r="G432" s="37" t="s">
        <v>559</v>
      </c>
      <c r="H432" s="36">
        <v>2200</v>
      </c>
      <c r="I432" s="63">
        <v>36562</v>
      </c>
      <c r="J432" s="24" t="s">
        <v>1208</v>
      </c>
      <c r="K432" s="63">
        <f t="shared" si="122"/>
        <v>45818</v>
      </c>
      <c r="L432" s="55">
        <f t="shared" si="123"/>
        <v>0.04</v>
      </c>
      <c r="M432" s="76">
        <v>0.22500000000000001</v>
      </c>
      <c r="N432" s="62">
        <v>45818</v>
      </c>
      <c r="O432" s="62">
        <v>46182</v>
      </c>
      <c r="P432" s="63"/>
      <c r="Q432" s="63"/>
      <c r="R432" s="82">
        <v>25</v>
      </c>
      <c r="S432" s="63" t="str">
        <f>VLOOKUP(R432,SA!$B$5:$C$11,2,1)</f>
        <v>0-35</v>
      </c>
      <c r="T432" s="38" t="s">
        <v>97</v>
      </c>
      <c r="U432" s="24" t="s">
        <v>115</v>
      </c>
      <c r="V432" s="24">
        <v>300000</v>
      </c>
      <c r="W432" s="39">
        <f t="shared" si="124"/>
        <v>0</v>
      </c>
      <c r="X432" s="29">
        <f t="shared" si="125"/>
        <v>0</v>
      </c>
      <c r="Y432" s="40">
        <f t="shared" si="126"/>
        <v>365</v>
      </c>
      <c r="Z432" s="38">
        <f t="shared" si="121"/>
        <v>46081</v>
      </c>
      <c r="AA432" s="41">
        <f t="shared" si="127"/>
        <v>264</v>
      </c>
      <c r="AB432" s="24" t="s">
        <v>125</v>
      </c>
      <c r="AC432" s="41">
        <f t="shared" si="128"/>
        <v>3874.2114000000001</v>
      </c>
      <c r="AD432" s="41">
        <v>1</v>
      </c>
      <c r="AE432" s="72">
        <f>IFERROR(INDEX(SA!$C$4:$E$11,MATCH(Details!S432,SA!$C$4:$C$11,0),MATCH(Details!V432,SA!$C$4:$E$4,0)),0)*Y432/(F432-E432+1)</f>
        <v>3283.23</v>
      </c>
      <c r="AF432" s="41">
        <f t="shared" si="129"/>
        <v>0</v>
      </c>
      <c r="AG432" s="41">
        <f t="shared" si="130"/>
        <v>0</v>
      </c>
      <c r="AH432" s="41">
        <f t="shared" si="131"/>
        <v>590.98140000000001</v>
      </c>
      <c r="AI432" s="60">
        <f t="shared" si="132"/>
        <v>131.32920000000001</v>
      </c>
      <c r="AJ432" s="60">
        <f t="shared" si="133"/>
        <v>738.72675000000004</v>
      </c>
      <c r="AK432" s="60">
        <f t="shared" si="134"/>
        <v>2374.7197808219175</v>
      </c>
      <c r="AL432" s="60">
        <f t="shared" si="135"/>
        <v>1745.4190389041094</v>
      </c>
      <c r="AM432" s="41">
        <f t="shared" si="136"/>
        <v>667.7550110958905</v>
      </c>
      <c r="AN432" s="42">
        <f t="shared" si="137"/>
        <v>45715</v>
      </c>
      <c r="AO432" s="43">
        <f t="shared" si="138"/>
        <v>3283.23</v>
      </c>
    </row>
    <row r="433" spans="1:41" s="24" customFormat="1" ht="15.75" customHeight="1" x14ac:dyDescent="0.35">
      <c r="A433" s="36" t="s">
        <v>27</v>
      </c>
      <c r="B433" s="36">
        <v>202506</v>
      </c>
      <c r="C433" s="24" t="s">
        <v>128</v>
      </c>
      <c r="D433" s="24" t="s">
        <v>129</v>
      </c>
      <c r="E433" s="62">
        <v>45818</v>
      </c>
      <c r="F433" s="62">
        <v>46182</v>
      </c>
      <c r="G433" s="37" t="s">
        <v>560</v>
      </c>
      <c r="H433" s="36">
        <v>2206</v>
      </c>
      <c r="I433" s="63">
        <v>33729</v>
      </c>
      <c r="J433" s="24" t="s">
        <v>1209</v>
      </c>
      <c r="K433" s="63">
        <f t="shared" si="122"/>
        <v>45818</v>
      </c>
      <c r="L433" s="55">
        <f t="shared" si="123"/>
        <v>0.04</v>
      </c>
      <c r="M433" s="76">
        <v>0.22500000000000001</v>
      </c>
      <c r="N433" s="62">
        <v>45818</v>
      </c>
      <c r="O433" s="62">
        <v>46182</v>
      </c>
      <c r="P433" s="63"/>
      <c r="Q433" s="63"/>
      <c r="R433" s="82">
        <v>33</v>
      </c>
      <c r="S433" s="63" t="str">
        <f>VLOOKUP(R433,SA!$B$5:$C$11,2,1)</f>
        <v>0-35</v>
      </c>
      <c r="T433" s="38" t="s">
        <v>96</v>
      </c>
      <c r="U433" s="24" t="s">
        <v>56</v>
      </c>
      <c r="V433" s="24">
        <v>300000</v>
      </c>
      <c r="W433" s="39">
        <f t="shared" si="124"/>
        <v>300000</v>
      </c>
      <c r="X433" s="29">
        <f t="shared" si="125"/>
        <v>1</v>
      </c>
      <c r="Y433" s="40">
        <f t="shared" si="126"/>
        <v>365</v>
      </c>
      <c r="Z433" s="38">
        <f t="shared" si="121"/>
        <v>46081</v>
      </c>
      <c r="AA433" s="41">
        <f t="shared" si="127"/>
        <v>264</v>
      </c>
      <c r="AB433" s="24" t="s">
        <v>125</v>
      </c>
      <c r="AC433" s="41">
        <f t="shared" si="128"/>
        <v>3874.2114000000001</v>
      </c>
      <c r="AD433" s="41">
        <v>1</v>
      </c>
      <c r="AE433" s="72">
        <f>IFERROR(INDEX(SA!$C$4:$E$11,MATCH(Details!S433,SA!$C$4:$C$11,0),MATCH(Details!V433,SA!$C$4:$E$4,0)),0)*Y433/(F433-E433+1)</f>
        <v>3283.23</v>
      </c>
      <c r="AF433" s="41">
        <f t="shared" si="129"/>
        <v>0</v>
      </c>
      <c r="AG433" s="41">
        <f t="shared" si="130"/>
        <v>0</v>
      </c>
      <c r="AH433" s="41">
        <f t="shared" si="131"/>
        <v>590.98140000000001</v>
      </c>
      <c r="AI433" s="60">
        <f t="shared" si="132"/>
        <v>131.32920000000001</v>
      </c>
      <c r="AJ433" s="60">
        <f t="shared" si="133"/>
        <v>738.72675000000004</v>
      </c>
      <c r="AK433" s="60">
        <f t="shared" si="134"/>
        <v>2374.7197808219175</v>
      </c>
      <c r="AL433" s="60">
        <f t="shared" si="135"/>
        <v>1745.4190389041094</v>
      </c>
      <c r="AM433" s="41">
        <f t="shared" si="136"/>
        <v>667.7550110958905</v>
      </c>
      <c r="AN433" s="42">
        <f t="shared" si="137"/>
        <v>45715</v>
      </c>
      <c r="AO433" s="43">
        <f t="shared" si="138"/>
        <v>3283.23</v>
      </c>
    </row>
    <row r="434" spans="1:41" s="24" customFormat="1" ht="15.75" customHeight="1" x14ac:dyDescent="0.35">
      <c r="A434" s="36" t="s">
        <v>27</v>
      </c>
      <c r="B434" s="36">
        <v>202506</v>
      </c>
      <c r="C434" s="24" t="s">
        <v>128</v>
      </c>
      <c r="D434" s="24" t="s">
        <v>129</v>
      </c>
      <c r="E434" s="62">
        <v>45818</v>
      </c>
      <c r="F434" s="62">
        <v>46182</v>
      </c>
      <c r="G434" s="37" t="s">
        <v>561</v>
      </c>
      <c r="H434" s="36">
        <v>2206</v>
      </c>
      <c r="I434" s="63">
        <v>42564</v>
      </c>
      <c r="J434" s="24" t="s">
        <v>1210</v>
      </c>
      <c r="K434" s="63">
        <f t="shared" si="122"/>
        <v>45818</v>
      </c>
      <c r="L434" s="55">
        <f t="shared" si="123"/>
        <v>0.04</v>
      </c>
      <c r="M434" s="76">
        <v>0.22500000000000001</v>
      </c>
      <c r="N434" s="62">
        <v>45818</v>
      </c>
      <c r="O434" s="62">
        <v>46182</v>
      </c>
      <c r="P434" s="63"/>
      <c r="Q434" s="63"/>
      <c r="R434" s="82">
        <v>8</v>
      </c>
      <c r="S434" s="63" t="str">
        <f>VLOOKUP(R434,SA!$B$5:$C$11,2,1)</f>
        <v>0-35</v>
      </c>
      <c r="T434" s="38" t="s">
        <v>96</v>
      </c>
      <c r="U434" s="24" t="s">
        <v>114</v>
      </c>
      <c r="V434" s="24">
        <v>300000</v>
      </c>
      <c r="W434" s="39">
        <f t="shared" si="124"/>
        <v>0</v>
      </c>
      <c r="X434" s="29">
        <f t="shared" si="125"/>
        <v>0</v>
      </c>
      <c r="Y434" s="40">
        <f t="shared" si="126"/>
        <v>365</v>
      </c>
      <c r="Z434" s="38">
        <f t="shared" si="121"/>
        <v>46081</v>
      </c>
      <c r="AA434" s="41">
        <f t="shared" si="127"/>
        <v>264</v>
      </c>
      <c r="AB434" s="24" t="s">
        <v>125</v>
      </c>
      <c r="AC434" s="41">
        <f t="shared" si="128"/>
        <v>3874.2114000000001</v>
      </c>
      <c r="AD434" s="41">
        <v>1</v>
      </c>
      <c r="AE434" s="72">
        <f>IFERROR(INDEX(SA!$C$4:$E$11,MATCH(Details!S434,SA!$C$4:$C$11,0),MATCH(Details!V434,SA!$C$4:$E$4,0)),0)*Y434/(F434-E434+1)</f>
        <v>3283.23</v>
      </c>
      <c r="AF434" s="41">
        <f t="shared" si="129"/>
        <v>0</v>
      </c>
      <c r="AG434" s="41">
        <f t="shared" si="130"/>
        <v>0</v>
      </c>
      <c r="AH434" s="41">
        <f t="shared" si="131"/>
        <v>590.98140000000001</v>
      </c>
      <c r="AI434" s="60">
        <f t="shared" si="132"/>
        <v>131.32920000000001</v>
      </c>
      <c r="AJ434" s="60">
        <f t="shared" si="133"/>
        <v>738.72675000000004</v>
      </c>
      <c r="AK434" s="60">
        <f t="shared" si="134"/>
        <v>2374.7197808219175</v>
      </c>
      <c r="AL434" s="60">
        <f t="shared" si="135"/>
        <v>1745.4190389041094</v>
      </c>
      <c r="AM434" s="41">
        <f t="shared" si="136"/>
        <v>667.7550110958905</v>
      </c>
      <c r="AN434" s="42">
        <f t="shared" si="137"/>
        <v>45715</v>
      </c>
      <c r="AO434" s="43">
        <f t="shared" si="138"/>
        <v>3283.23</v>
      </c>
    </row>
    <row r="435" spans="1:41" s="24" customFormat="1" ht="15.75" customHeight="1" x14ac:dyDescent="0.35">
      <c r="A435" s="36" t="s">
        <v>27</v>
      </c>
      <c r="B435" s="36">
        <v>202506</v>
      </c>
      <c r="C435" s="24" t="s">
        <v>128</v>
      </c>
      <c r="D435" s="24" t="s">
        <v>129</v>
      </c>
      <c r="E435" s="62">
        <v>45818</v>
      </c>
      <c r="F435" s="62">
        <v>46182</v>
      </c>
      <c r="G435" s="37" t="s">
        <v>562</v>
      </c>
      <c r="H435" s="36">
        <v>2206</v>
      </c>
      <c r="I435" s="63">
        <v>33299</v>
      </c>
      <c r="J435" s="24" t="s">
        <v>1211</v>
      </c>
      <c r="K435" s="63">
        <f t="shared" si="122"/>
        <v>45818</v>
      </c>
      <c r="L435" s="55">
        <f t="shared" si="123"/>
        <v>0.04</v>
      </c>
      <c r="M435" s="76">
        <v>0.22500000000000001</v>
      </c>
      <c r="N435" s="62">
        <v>45818</v>
      </c>
      <c r="O435" s="62">
        <v>46182</v>
      </c>
      <c r="P435" s="63"/>
      <c r="Q435" s="63"/>
      <c r="R435" s="82">
        <v>34</v>
      </c>
      <c r="S435" s="63" t="str">
        <f>VLOOKUP(R435,SA!$B$5:$C$11,2,1)</f>
        <v>0-35</v>
      </c>
      <c r="T435" s="38" t="s">
        <v>97</v>
      </c>
      <c r="U435" s="24" t="s">
        <v>115</v>
      </c>
      <c r="V435" s="24">
        <v>300000</v>
      </c>
      <c r="W435" s="39">
        <f t="shared" si="124"/>
        <v>0</v>
      </c>
      <c r="X435" s="29">
        <f t="shared" si="125"/>
        <v>0</v>
      </c>
      <c r="Y435" s="40">
        <f t="shared" si="126"/>
        <v>365</v>
      </c>
      <c r="Z435" s="38">
        <f t="shared" si="121"/>
        <v>46081</v>
      </c>
      <c r="AA435" s="41">
        <f t="shared" si="127"/>
        <v>264</v>
      </c>
      <c r="AB435" s="24" t="s">
        <v>125</v>
      </c>
      <c r="AC435" s="41">
        <f t="shared" si="128"/>
        <v>3874.2114000000001</v>
      </c>
      <c r="AD435" s="41">
        <v>1</v>
      </c>
      <c r="AE435" s="72">
        <f>IFERROR(INDEX(SA!$C$4:$E$11,MATCH(Details!S435,SA!$C$4:$C$11,0),MATCH(Details!V435,SA!$C$4:$E$4,0)),0)*Y435/(F435-E435+1)</f>
        <v>3283.23</v>
      </c>
      <c r="AF435" s="41">
        <f t="shared" si="129"/>
        <v>0</v>
      </c>
      <c r="AG435" s="41">
        <f t="shared" si="130"/>
        <v>0</v>
      </c>
      <c r="AH435" s="41">
        <f t="shared" si="131"/>
        <v>590.98140000000001</v>
      </c>
      <c r="AI435" s="60">
        <f t="shared" si="132"/>
        <v>131.32920000000001</v>
      </c>
      <c r="AJ435" s="60">
        <f t="shared" si="133"/>
        <v>738.72675000000004</v>
      </c>
      <c r="AK435" s="60">
        <f t="shared" si="134"/>
        <v>2374.7197808219175</v>
      </c>
      <c r="AL435" s="60">
        <f t="shared" si="135"/>
        <v>1745.4190389041094</v>
      </c>
      <c r="AM435" s="41">
        <f t="shared" si="136"/>
        <v>667.7550110958905</v>
      </c>
      <c r="AN435" s="42">
        <f t="shared" si="137"/>
        <v>45715</v>
      </c>
      <c r="AO435" s="43">
        <f t="shared" si="138"/>
        <v>3283.23</v>
      </c>
    </row>
    <row r="436" spans="1:41" s="24" customFormat="1" ht="15.75" customHeight="1" x14ac:dyDescent="0.35">
      <c r="A436" s="36" t="s">
        <v>27</v>
      </c>
      <c r="B436" s="36">
        <v>202506</v>
      </c>
      <c r="C436" s="24" t="s">
        <v>128</v>
      </c>
      <c r="D436" s="24" t="s">
        <v>129</v>
      </c>
      <c r="E436" s="62">
        <v>45818</v>
      </c>
      <c r="F436" s="62">
        <v>46182</v>
      </c>
      <c r="G436" s="37" t="s">
        <v>563</v>
      </c>
      <c r="H436" s="36">
        <v>2212</v>
      </c>
      <c r="I436" s="63">
        <v>28845</v>
      </c>
      <c r="J436" s="24" t="s">
        <v>1212</v>
      </c>
      <c r="K436" s="63">
        <f t="shared" si="122"/>
        <v>45818</v>
      </c>
      <c r="L436" s="55">
        <f t="shared" si="123"/>
        <v>0.04</v>
      </c>
      <c r="M436" s="76">
        <v>0.22500000000000001</v>
      </c>
      <c r="N436" s="62">
        <v>45818</v>
      </c>
      <c r="O436" s="62">
        <v>46182</v>
      </c>
      <c r="P436" s="63"/>
      <c r="Q436" s="63"/>
      <c r="R436" s="82">
        <v>46</v>
      </c>
      <c r="S436" s="63" t="str">
        <f>VLOOKUP(R436,SA!$B$5:$C$11,2,1)</f>
        <v>46-55</v>
      </c>
      <c r="T436" s="38" t="s">
        <v>96</v>
      </c>
      <c r="U436" s="24" t="s">
        <v>56</v>
      </c>
      <c r="V436" s="24">
        <v>300000</v>
      </c>
      <c r="W436" s="39">
        <f t="shared" si="124"/>
        <v>300000</v>
      </c>
      <c r="X436" s="29">
        <f t="shared" si="125"/>
        <v>1</v>
      </c>
      <c r="Y436" s="40">
        <f t="shared" si="126"/>
        <v>365</v>
      </c>
      <c r="Z436" s="38">
        <f t="shared" si="121"/>
        <v>46081</v>
      </c>
      <c r="AA436" s="41">
        <f t="shared" si="127"/>
        <v>264</v>
      </c>
      <c r="AB436" s="24" t="s">
        <v>125</v>
      </c>
      <c r="AC436" s="41">
        <f t="shared" si="128"/>
        <v>9586.9925999999996</v>
      </c>
      <c r="AD436" s="41">
        <v>1</v>
      </c>
      <c r="AE436" s="72">
        <f>IFERROR(INDEX(SA!$C$4:$E$11,MATCH(Details!S436,SA!$C$4:$C$11,0),MATCH(Details!V436,SA!$C$4:$E$4,0)),0)*Y436/(F436-E436+1)</f>
        <v>8124.57</v>
      </c>
      <c r="AF436" s="41">
        <f t="shared" si="129"/>
        <v>0</v>
      </c>
      <c r="AG436" s="41">
        <f t="shared" si="130"/>
        <v>0</v>
      </c>
      <c r="AH436" s="41">
        <f t="shared" si="131"/>
        <v>1462.4225999999999</v>
      </c>
      <c r="AI436" s="60">
        <f t="shared" si="132"/>
        <v>324.9828</v>
      </c>
      <c r="AJ436" s="60">
        <f t="shared" si="133"/>
        <v>1828.0282500000001</v>
      </c>
      <c r="AK436" s="60">
        <f t="shared" si="134"/>
        <v>5876.4013150684932</v>
      </c>
      <c r="AL436" s="60">
        <f t="shared" si="135"/>
        <v>4319.1549665753428</v>
      </c>
      <c r="AM436" s="41">
        <f t="shared" si="136"/>
        <v>1652.4039834246571</v>
      </c>
      <c r="AN436" s="42">
        <f t="shared" si="137"/>
        <v>45715</v>
      </c>
      <c r="AO436" s="43">
        <f t="shared" si="138"/>
        <v>8124.57</v>
      </c>
    </row>
    <row r="437" spans="1:41" s="24" customFormat="1" ht="15.75" customHeight="1" x14ac:dyDescent="0.35">
      <c r="A437" s="36" t="s">
        <v>27</v>
      </c>
      <c r="B437" s="36">
        <v>202506</v>
      </c>
      <c r="C437" s="24" t="s">
        <v>128</v>
      </c>
      <c r="D437" s="24" t="s">
        <v>129</v>
      </c>
      <c r="E437" s="62">
        <v>45818</v>
      </c>
      <c r="F437" s="62">
        <v>46182</v>
      </c>
      <c r="G437" s="37" t="s">
        <v>564</v>
      </c>
      <c r="H437" s="36">
        <v>2212</v>
      </c>
      <c r="I437" s="63">
        <v>30886</v>
      </c>
      <c r="J437" s="24" t="s">
        <v>1213</v>
      </c>
      <c r="K437" s="63">
        <f t="shared" si="122"/>
        <v>45818</v>
      </c>
      <c r="L437" s="55">
        <f t="shared" si="123"/>
        <v>0.04</v>
      </c>
      <c r="M437" s="76">
        <v>0.22500000000000001</v>
      </c>
      <c r="N437" s="62">
        <v>45818</v>
      </c>
      <c r="O437" s="62">
        <v>46182</v>
      </c>
      <c r="P437" s="63"/>
      <c r="Q437" s="63"/>
      <c r="R437" s="82">
        <v>40</v>
      </c>
      <c r="S437" s="63" t="str">
        <f>VLOOKUP(R437,SA!$B$5:$C$11,2,1)</f>
        <v>36-45</v>
      </c>
      <c r="T437" s="38" t="s">
        <v>97</v>
      </c>
      <c r="U437" s="24" t="s">
        <v>115</v>
      </c>
      <c r="V437" s="24">
        <v>300000</v>
      </c>
      <c r="W437" s="39">
        <f t="shared" si="124"/>
        <v>0</v>
      </c>
      <c r="X437" s="29">
        <f t="shared" si="125"/>
        <v>0</v>
      </c>
      <c r="Y437" s="40">
        <f t="shared" si="126"/>
        <v>365</v>
      </c>
      <c r="Z437" s="38">
        <f t="shared" si="121"/>
        <v>46081</v>
      </c>
      <c r="AA437" s="41">
        <f t="shared" si="127"/>
        <v>264</v>
      </c>
      <c r="AB437" s="24" t="s">
        <v>125</v>
      </c>
      <c r="AC437" s="41">
        <f t="shared" si="128"/>
        <v>5017.3245999999999</v>
      </c>
      <c r="AD437" s="41">
        <v>1</v>
      </c>
      <c r="AE437" s="72">
        <f>IFERROR(INDEX(SA!$C$4:$E$11,MATCH(Details!S437,SA!$C$4:$C$11,0),MATCH(Details!V437,SA!$C$4:$E$4,0)),0)*Y437/(F437-E437+1)</f>
        <v>4251.97</v>
      </c>
      <c r="AF437" s="41">
        <f t="shared" si="129"/>
        <v>0</v>
      </c>
      <c r="AG437" s="41">
        <f t="shared" si="130"/>
        <v>0</v>
      </c>
      <c r="AH437" s="41">
        <f t="shared" si="131"/>
        <v>765.3546</v>
      </c>
      <c r="AI437" s="60">
        <f t="shared" si="132"/>
        <v>170.0788</v>
      </c>
      <c r="AJ437" s="60">
        <f t="shared" si="133"/>
        <v>956.69325000000003</v>
      </c>
      <c r="AK437" s="60">
        <f t="shared" si="134"/>
        <v>3075.397479452055</v>
      </c>
      <c r="AL437" s="60">
        <f t="shared" si="135"/>
        <v>2260.4171473972606</v>
      </c>
      <c r="AM437" s="41">
        <f t="shared" si="136"/>
        <v>864.78080260273941</v>
      </c>
      <c r="AN437" s="42">
        <f t="shared" si="137"/>
        <v>45715</v>
      </c>
      <c r="AO437" s="43">
        <f t="shared" si="138"/>
        <v>4251.97</v>
      </c>
    </row>
    <row r="438" spans="1:41" s="24" customFormat="1" ht="15.75" customHeight="1" x14ac:dyDescent="0.35">
      <c r="A438" s="36" t="s">
        <v>27</v>
      </c>
      <c r="B438" s="36">
        <v>202506</v>
      </c>
      <c r="C438" s="24" t="s">
        <v>128</v>
      </c>
      <c r="D438" s="24" t="s">
        <v>129</v>
      </c>
      <c r="E438" s="62">
        <v>45818</v>
      </c>
      <c r="F438" s="62">
        <v>46182</v>
      </c>
      <c r="G438" s="37" t="s">
        <v>565</v>
      </c>
      <c r="H438" s="36">
        <v>2212</v>
      </c>
      <c r="I438" s="63">
        <v>39655</v>
      </c>
      <c r="J438" s="24" t="s">
        <v>1214</v>
      </c>
      <c r="K438" s="63">
        <f t="shared" si="122"/>
        <v>45818</v>
      </c>
      <c r="L438" s="55">
        <f t="shared" si="123"/>
        <v>0.04</v>
      </c>
      <c r="M438" s="76">
        <v>0.22500000000000001</v>
      </c>
      <c r="N438" s="62">
        <v>45818</v>
      </c>
      <c r="O438" s="62">
        <v>46182</v>
      </c>
      <c r="P438" s="63"/>
      <c r="Q438" s="63"/>
      <c r="R438" s="82">
        <v>16</v>
      </c>
      <c r="S438" s="63" t="str">
        <f>VLOOKUP(R438,SA!$B$5:$C$11,2,1)</f>
        <v>0-35</v>
      </c>
      <c r="T438" s="38" t="s">
        <v>96</v>
      </c>
      <c r="U438" s="24" t="s">
        <v>114</v>
      </c>
      <c r="V438" s="24">
        <v>300000</v>
      </c>
      <c r="W438" s="39">
        <f t="shared" si="124"/>
        <v>0</v>
      </c>
      <c r="X438" s="29">
        <f t="shared" si="125"/>
        <v>0</v>
      </c>
      <c r="Y438" s="40">
        <f t="shared" si="126"/>
        <v>365</v>
      </c>
      <c r="Z438" s="38">
        <f t="shared" si="121"/>
        <v>46081</v>
      </c>
      <c r="AA438" s="41">
        <f t="shared" si="127"/>
        <v>264</v>
      </c>
      <c r="AB438" s="24" t="s">
        <v>125</v>
      </c>
      <c r="AC438" s="41">
        <f t="shared" si="128"/>
        <v>3874.2114000000001</v>
      </c>
      <c r="AD438" s="41">
        <v>1</v>
      </c>
      <c r="AE438" s="72">
        <f>IFERROR(INDEX(SA!$C$4:$E$11,MATCH(Details!S438,SA!$C$4:$C$11,0),MATCH(Details!V438,SA!$C$4:$E$4,0)),0)*Y438/(F438-E438+1)</f>
        <v>3283.23</v>
      </c>
      <c r="AF438" s="41">
        <f t="shared" si="129"/>
        <v>0</v>
      </c>
      <c r="AG438" s="41">
        <f t="shared" si="130"/>
        <v>0</v>
      </c>
      <c r="AH438" s="41">
        <f t="shared" si="131"/>
        <v>590.98140000000001</v>
      </c>
      <c r="AI438" s="60">
        <f t="shared" si="132"/>
        <v>131.32920000000001</v>
      </c>
      <c r="AJ438" s="60">
        <f t="shared" si="133"/>
        <v>738.72675000000004</v>
      </c>
      <c r="AK438" s="60">
        <f t="shared" si="134"/>
        <v>2374.7197808219175</v>
      </c>
      <c r="AL438" s="60">
        <f t="shared" si="135"/>
        <v>1745.4190389041094</v>
      </c>
      <c r="AM438" s="41">
        <f t="shared" si="136"/>
        <v>667.7550110958905</v>
      </c>
      <c r="AN438" s="42">
        <f t="shared" si="137"/>
        <v>45715</v>
      </c>
      <c r="AO438" s="43">
        <f t="shared" si="138"/>
        <v>3283.23</v>
      </c>
    </row>
    <row r="439" spans="1:41" s="24" customFormat="1" ht="15.75" customHeight="1" x14ac:dyDescent="0.35">
      <c r="A439" s="36" t="s">
        <v>27</v>
      </c>
      <c r="B439" s="36">
        <v>202506</v>
      </c>
      <c r="C439" s="24" t="s">
        <v>128</v>
      </c>
      <c r="D439" s="24" t="s">
        <v>129</v>
      </c>
      <c r="E439" s="62">
        <v>45818</v>
      </c>
      <c r="F439" s="62">
        <v>46182</v>
      </c>
      <c r="G439" s="37" t="s">
        <v>566</v>
      </c>
      <c r="H439" s="36">
        <v>2216</v>
      </c>
      <c r="I439" s="63">
        <v>33974</v>
      </c>
      <c r="J439" s="24" t="s">
        <v>1215</v>
      </c>
      <c r="K439" s="63">
        <f t="shared" si="122"/>
        <v>45818</v>
      </c>
      <c r="L439" s="55">
        <f t="shared" si="123"/>
        <v>0.04</v>
      </c>
      <c r="M439" s="76">
        <v>0.22500000000000001</v>
      </c>
      <c r="N439" s="62">
        <v>45818</v>
      </c>
      <c r="O439" s="62">
        <v>46182</v>
      </c>
      <c r="P439" s="63"/>
      <c r="Q439" s="63"/>
      <c r="R439" s="82">
        <v>32</v>
      </c>
      <c r="S439" s="63" t="str">
        <f>VLOOKUP(R439,SA!$B$5:$C$11,2,1)</f>
        <v>0-35</v>
      </c>
      <c r="T439" s="38" t="s">
        <v>96</v>
      </c>
      <c r="U439" s="24" t="s">
        <v>56</v>
      </c>
      <c r="V439" s="24">
        <v>300000</v>
      </c>
      <c r="W439" s="39">
        <f t="shared" si="124"/>
        <v>300000</v>
      </c>
      <c r="X439" s="29">
        <f t="shared" si="125"/>
        <v>1</v>
      </c>
      <c r="Y439" s="40">
        <f t="shared" si="126"/>
        <v>365</v>
      </c>
      <c r="Z439" s="38">
        <f t="shared" si="121"/>
        <v>46081</v>
      </c>
      <c r="AA439" s="41">
        <f t="shared" si="127"/>
        <v>264</v>
      </c>
      <c r="AB439" s="24" t="s">
        <v>125</v>
      </c>
      <c r="AC439" s="41">
        <f t="shared" si="128"/>
        <v>3874.2114000000001</v>
      </c>
      <c r="AD439" s="41">
        <v>1</v>
      </c>
      <c r="AE439" s="72">
        <f>IFERROR(INDEX(SA!$C$4:$E$11,MATCH(Details!S439,SA!$C$4:$C$11,0),MATCH(Details!V439,SA!$C$4:$E$4,0)),0)*Y439/(F439-E439+1)</f>
        <v>3283.23</v>
      </c>
      <c r="AF439" s="41">
        <f t="shared" si="129"/>
        <v>0</v>
      </c>
      <c r="AG439" s="41">
        <f t="shared" si="130"/>
        <v>0</v>
      </c>
      <c r="AH439" s="41">
        <f t="shared" si="131"/>
        <v>590.98140000000001</v>
      </c>
      <c r="AI439" s="60">
        <f t="shared" si="132"/>
        <v>131.32920000000001</v>
      </c>
      <c r="AJ439" s="60">
        <f t="shared" si="133"/>
        <v>738.72675000000004</v>
      </c>
      <c r="AK439" s="60">
        <f t="shared" si="134"/>
        <v>2374.7197808219175</v>
      </c>
      <c r="AL439" s="60">
        <f t="shared" si="135"/>
        <v>1745.4190389041094</v>
      </c>
      <c r="AM439" s="41">
        <f t="shared" si="136"/>
        <v>667.7550110958905</v>
      </c>
      <c r="AN439" s="42">
        <f t="shared" si="137"/>
        <v>45715</v>
      </c>
      <c r="AO439" s="43">
        <f t="shared" si="138"/>
        <v>3283.23</v>
      </c>
    </row>
    <row r="440" spans="1:41" s="24" customFormat="1" ht="15.75" customHeight="1" x14ac:dyDescent="0.35">
      <c r="A440" s="36" t="s">
        <v>27</v>
      </c>
      <c r="B440" s="36">
        <v>202506</v>
      </c>
      <c r="C440" s="24" t="s">
        <v>128</v>
      </c>
      <c r="D440" s="24" t="s">
        <v>129</v>
      </c>
      <c r="E440" s="62">
        <v>45818</v>
      </c>
      <c r="F440" s="62">
        <v>46182</v>
      </c>
      <c r="G440" s="37" t="s">
        <v>567</v>
      </c>
      <c r="H440" s="36">
        <v>2216</v>
      </c>
      <c r="I440" s="63">
        <v>36480</v>
      </c>
      <c r="J440" s="24" t="s">
        <v>1216</v>
      </c>
      <c r="K440" s="63">
        <f t="shared" si="122"/>
        <v>45818</v>
      </c>
      <c r="L440" s="55">
        <f t="shared" si="123"/>
        <v>0.04</v>
      </c>
      <c r="M440" s="76">
        <v>0.22500000000000001</v>
      </c>
      <c r="N440" s="62">
        <v>45818</v>
      </c>
      <c r="O440" s="62">
        <v>46182</v>
      </c>
      <c r="P440" s="63"/>
      <c r="Q440" s="63"/>
      <c r="R440" s="82">
        <v>25</v>
      </c>
      <c r="S440" s="63" t="str">
        <f>VLOOKUP(R440,SA!$B$5:$C$11,2,1)</f>
        <v>0-35</v>
      </c>
      <c r="T440" s="38" t="s">
        <v>97</v>
      </c>
      <c r="U440" s="24" t="s">
        <v>115</v>
      </c>
      <c r="V440" s="24">
        <v>300000</v>
      </c>
      <c r="W440" s="39">
        <f t="shared" si="124"/>
        <v>0</v>
      </c>
      <c r="X440" s="29">
        <f t="shared" si="125"/>
        <v>0</v>
      </c>
      <c r="Y440" s="40">
        <f t="shared" si="126"/>
        <v>365</v>
      </c>
      <c r="Z440" s="38">
        <f t="shared" si="121"/>
        <v>46081</v>
      </c>
      <c r="AA440" s="41">
        <f t="shared" si="127"/>
        <v>264</v>
      </c>
      <c r="AB440" s="24" t="s">
        <v>125</v>
      </c>
      <c r="AC440" s="41">
        <f t="shared" si="128"/>
        <v>3874.2114000000001</v>
      </c>
      <c r="AD440" s="41">
        <v>1</v>
      </c>
      <c r="AE440" s="72">
        <f>IFERROR(INDEX(SA!$C$4:$E$11,MATCH(Details!S440,SA!$C$4:$C$11,0),MATCH(Details!V440,SA!$C$4:$E$4,0)),0)*Y440/(F440-E440+1)</f>
        <v>3283.23</v>
      </c>
      <c r="AF440" s="41">
        <f t="shared" si="129"/>
        <v>0</v>
      </c>
      <c r="AG440" s="41">
        <f t="shared" si="130"/>
        <v>0</v>
      </c>
      <c r="AH440" s="41">
        <f t="shared" si="131"/>
        <v>590.98140000000001</v>
      </c>
      <c r="AI440" s="60">
        <f t="shared" si="132"/>
        <v>131.32920000000001</v>
      </c>
      <c r="AJ440" s="60">
        <f t="shared" si="133"/>
        <v>738.72675000000004</v>
      </c>
      <c r="AK440" s="60">
        <f t="shared" si="134"/>
        <v>2374.7197808219175</v>
      </c>
      <c r="AL440" s="60">
        <f t="shared" si="135"/>
        <v>1745.4190389041094</v>
      </c>
      <c r="AM440" s="41">
        <f t="shared" si="136"/>
        <v>667.7550110958905</v>
      </c>
      <c r="AN440" s="42">
        <f t="shared" si="137"/>
        <v>45715</v>
      </c>
      <c r="AO440" s="43">
        <f t="shared" si="138"/>
        <v>3283.23</v>
      </c>
    </row>
    <row r="441" spans="1:41" s="24" customFormat="1" ht="15.75" customHeight="1" x14ac:dyDescent="0.35">
      <c r="A441" s="36" t="s">
        <v>27</v>
      </c>
      <c r="B441" s="36">
        <v>202506</v>
      </c>
      <c r="C441" s="24" t="s">
        <v>128</v>
      </c>
      <c r="D441" s="24" t="s">
        <v>129</v>
      </c>
      <c r="E441" s="62">
        <v>45818</v>
      </c>
      <c r="F441" s="62">
        <v>46182</v>
      </c>
      <c r="G441" s="37" t="s">
        <v>568</v>
      </c>
      <c r="H441" s="36">
        <v>2216</v>
      </c>
      <c r="I441" s="63">
        <v>45550</v>
      </c>
      <c r="J441" s="24" t="s">
        <v>1217</v>
      </c>
      <c r="K441" s="63">
        <f t="shared" si="122"/>
        <v>45818</v>
      </c>
      <c r="L441" s="55">
        <f t="shared" si="123"/>
        <v>0.04</v>
      </c>
      <c r="M441" s="76">
        <v>0.22500000000000001</v>
      </c>
      <c r="N441" s="62">
        <v>45818</v>
      </c>
      <c r="O441" s="62">
        <v>46182</v>
      </c>
      <c r="P441" s="63"/>
      <c r="Q441" s="63"/>
      <c r="R441" s="82">
        <v>0</v>
      </c>
      <c r="S441" s="63" t="str">
        <f>VLOOKUP(R441,SA!$B$5:$C$11,2,1)</f>
        <v>0-35</v>
      </c>
      <c r="T441" s="38" t="s">
        <v>96</v>
      </c>
      <c r="U441" s="24" t="s">
        <v>114</v>
      </c>
      <c r="V441" s="24">
        <v>300000</v>
      </c>
      <c r="W441" s="39">
        <f t="shared" si="124"/>
        <v>0</v>
      </c>
      <c r="X441" s="29">
        <f t="shared" si="125"/>
        <v>0</v>
      </c>
      <c r="Y441" s="40">
        <f t="shared" si="126"/>
        <v>365</v>
      </c>
      <c r="Z441" s="38">
        <f t="shared" si="121"/>
        <v>46081</v>
      </c>
      <c r="AA441" s="41">
        <f t="shared" si="127"/>
        <v>264</v>
      </c>
      <c r="AB441" s="24" t="s">
        <v>125</v>
      </c>
      <c r="AC441" s="41">
        <f t="shared" si="128"/>
        <v>3874.2114000000001</v>
      </c>
      <c r="AD441" s="41">
        <v>1</v>
      </c>
      <c r="AE441" s="72">
        <f>IFERROR(INDEX(SA!$C$4:$E$11,MATCH(Details!S441,SA!$C$4:$C$11,0),MATCH(Details!V441,SA!$C$4:$E$4,0)),0)*Y441/(F441-E441+1)</f>
        <v>3283.23</v>
      </c>
      <c r="AF441" s="41">
        <f t="shared" si="129"/>
        <v>0</v>
      </c>
      <c r="AG441" s="41">
        <f t="shared" si="130"/>
        <v>0</v>
      </c>
      <c r="AH441" s="41">
        <f t="shared" si="131"/>
        <v>590.98140000000001</v>
      </c>
      <c r="AI441" s="60">
        <f t="shared" si="132"/>
        <v>131.32920000000001</v>
      </c>
      <c r="AJ441" s="60">
        <f t="shared" si="133"/>
        <v>738.72675000000004</v>
      </c>
      <c r="AK441" s="60">
        <f t="shared" si="134"/>
        <v>2374.7197808219175</v>
      </c>
      <c r="AL441" s="60">
        <f t="shared" si="135"/>
        <v>1745.4190389041094</v>
      </c>
      <c r="AM441" s="41">
        <f t="shared" si="136"/>
        <v>667.7550110958905</v>
      </c>
      <c r="AN441" s="42">
        <f t="shared" si="137"/>
        <v>45715</v>
      </c>
      <c r="AO441" s="43">
        <f t="shared" si="138"/>
        <v>3283.23</v>
      </c>
    </row>
    <row r="442" spans="1:41" s="24" customFormat="1" ht="15.75" customHeight="1" x14ac:dyDescent="0.35">
      <c r="A442" s="36" t="s">
        <v>27</v>
      </c>
      <c r="B442" s="36">
        <v>202506</v>
      </c>
      <c r="C442" s="24" t="s">
        <v>128</v>
      </c>
      <c r="D442" s="24" t="s">
        <v>129</v>
      </c>
      <c r="E442" s="62">
        <v>45818</v>
      </c>
      <c r="F442" s="62">
        <v>46182</v>
      </c>
      <c r="G442" s="37" t="s">
        <v>569</v>
      </c>
      <c r="H442" s="36">
        <v>2218</v>
      </c>
      <c r="I442" s="63">
        <v>31864</v>
      </c>
      <c r="J442" s="24" t="s">
        <v>1218</v>
      </c>
      <c r="K442" s="63">
        <f t="shared" si="122"/>
        <v>45818</v>
      </c>
      <c r="L442" s="55">
        <f t="shared" si="123"/>
        <v>0.04</v>
      </c>
      <c r="M442" s="76">
        <v>0.22500000000000001</v>
      </c>
      <c r="N442" s="62">
        <v>45818</v>
      </c>
      <c r="O442" s="62">
        <v>46182</v>
      </c>
      <c r="P442" s="63"/>
      <c r="Q442" s="63"/>
      <c r="R442" s="82">
        <v>38</v>
      </c>
      <c r="S442" s="63" t="str">
        <f>VLOOKUP(R442,SA!$B$5:$C$11,2,1)</f>
        <v>36-45</v>
      </c>
      <c r="T442" s="38" t="s">
        <v>97</v>
      </c>
      <c r="U442" s="24" t="s">
        <v>56</v>
      </c>
      <c r="V442" s="24">
        <v>1000000</v>
      </c>
      <c r="W442" s="39">
        <f t="shared" si="124"/>
        <v>1000000</v>
      </c>
      <c r="X442" s="29">
        <f t="shared" si="125"/>
        <v>1</v>
      </c>
      <c r="Y442" s="40">
        <f t="shared" si="126"/>
        <v>365</v>
      </c>
      <c r="Z442" s="38">
        <f t="shared" si="121"/>
        <v>46081</v>
      </c>
      <c r="AA442" s="41">
        <f t="shared" si="127"/>
        <v>264</v>
      </c>
      <c r="AB442" s="24" t="s">
        <v>125</v>
      </c>
      <c r="AC442" s="41">
        <f t="shared" si="128"/>
        <v>9014.0436000000009</v>
      </c>
      <c r="AD442" s="41">
        <v>1</v>
      </c>
      <c r="AE442" s="72">
        <f>IFERROR(INDEX(SA!$C$4:$E$11,MATCH(Details!S442,SA!$C$4:$C$11,0),MATCH(Details!V442,SA!$C$4:$E$4,0)),0)*Y442/(F442-E442+1)</f>
        <v>7639.02</v>
      </c>
      <c r="AF442" s="41">
        <f t="shared" si="129"/>
        <v>0</v>
      </c>
      <c r="AG442" s="41">
        <f t="shared" si="130"/>
        <v>0</v>
      </c>
      <c r="AH442" s="41">
        <f t="shared" si="131"/>
        <v>1375.0236</v>
      </c>
      <c r="AI442" s="60">
        <f t="shared" si="132"/>
        <v>305.56080000000003</v>
      </c>
      <c r="AJ442" s="60">
        <f t="shared" si="133"/>
        <v>1718.7795000000001</v>
      </c>
      <c r="AK442" s="60">
        <f t="shared" si="134"/>
        <v>5525.2089863013698</v>
      </c>
      <c r="AL442" s="60">
        <f t="shared" si="135"/>
        <v>4061.0286049315068</v>
      </c>
      <c r="AM442" s="41">
        <f t="shared" si="136"/>
        <v>1553.6510950684933</v>
      </c>
      <c r="AN442" s="42">
        <f t="shared" si="137"/>
        <v>45715</v>
      </c>
      <c r="AO442" s="43">
        <f t="shared" si="138"/>
        <v>7639.02</v>
      </c>
    </row>
    <row r="443" spans="1:41" s="24" customFormat="1" ht="15.75" customHeight="1" x14ac:dyDescent="0.35">
      <c r="A443" s="36" t="s">
        <v>27</v>
      </c>
      <c r="B443" s="36">
        <v>202506</v>
      </c>
      <c r="C443" s="24" t="s">
        <v>128</v>
      </c>
      <c r="D443" s="24" t="s">
        <v>129</v>
      </c>
      <c r="E443" s="62">
        <v>45818</v>
      </c>
      <c r="F443" s="62">
        <v>46182</v>
      </c>
      <c r="G443" s="37" t="s">
        <v>570</v>
      </c>
      <c r="H443" s="36">
        <v>2218</v>
      </c>
      <c r="I443" s="63">
        <v>32876</v>
      </c>
      <c r="J443" s="24" t="s">
        <v>1219</v>
      </c>
      <c r="K443" s="63">
        <f t="shared" si="122"/>
        <v>45818</v>
      </c>
      <c r="L443" s="55">
        <f t="shared" si="123"/>
        <v>0.04</v>
      </c>
      <c r="M443" s="76">
        <v>0.22500000000000001</v>
      </c>
      <c r="N443" s="62">
        <v>45818</v>
      </c>
      <c r="O443" s="62">
        <v>46182</v>
      </c>
      <c r="P443" s="63"/>
      <c r="Q443" s="63"/>
      <c r="R443" s="82">
        <v>35</v>
      </c>
      <c r="S443" s="63" t="str">
        <f>VLOOKUP(R443,SA!$B$5:$C$11,2,1)</f>
        <v>0-35</v>
      </c>
      <c r="T443" s="38" t="s">
        <v>96</v>
      </c>
      <c r="U443" s="24" t="s">
        <v>115</v>
      </c>
      <c r="V443" s="24">
        <v>1000000</v>
      </c>
      <c r="W443" s="39">
        <f t="shared" si="124"/>
        <v>0</v>
      </c>
      <c r="X443" s="29">
        <f t="shared" si="125"/>
        <v>0</v>
      </c>
      <c r="Y443" s="40">
        <f t="shared" si="126"/>
        <v>365</v>
      </c>
      <c r="Z443" s="38">
        <f t="shared" si="121"/>
        <v>46081</v>
      </c>
      <c r="AA443" s="41">
        <f t="shared" si="127"/>
        <v>264</v>
      </c>
      <c r="AB443" s="24" t="s">
        <v>125</v>
      </c>
      <c r="AC443" s="41">
        <f t="shared" si="128"/>
        <v>6363.9287999999997</v>
      </c>
      <c r="AD443" s="41">
        <v>1</v>
      </c>
      <c r="AE443" s="72">
        <f>IFERROR(INDEX(SA!$C$4:$E$11,MATCH(Details!S443,SA!$C$4:$C$11,0),MATCH(Details!V443,SA!$C$4:$E$4,0)),0)*Y443/(F443-E443+1)</f>
        <v>5393.16</v>
      </c>
      <c r="AF443" s="41">
        <f t="shared" si="129"/>
        <v>0</v>
      </c>
      <c r="AG443" s="41">
        <f t="shared" si="130"/>
        <v>0</v>
      </c>
      <c r="AH443" s="41">
        <f t="shared" si="131"/>
        <v>970.76879999999994</v>
      </c>
      <c r="AI443" s="60">
        <f t="shared" si="132"/>
        <v>215.72640000000001</v>
      </c>
      <c r="AJ443" s="60">
        <f t="shared" si="133"/>
        <v>1213.461</v>
      </c>
      <c r="AK443" s="60">
        <f t="shared" si="134"/>
        <v>3900.8061369863012</v>
      </c>
      <c r="AL443" s="60">
        <f t="shared" si="135"/>
        <v>2867.0925106849313</v>
      </c>
      <c r="AM443" s="41">
        <f t="shared" si="136"/>
        <v>1096.880089315069</v>
      </c>
      <c r="AN443" s="42">
        <f t="shared" si="137"/>
        <v>45715</v>
      </c>
      <c r="AO443" s="43">
        <f t="shared" si="138"/>
        <v>5393.16</v>
      </c>
    </row>
    <row r="444" spans="1:41" s="24" customFormat="1" ht="15.75" customHeight="1" x14ac:dyDescent="0.35">
      <c r="A444" s="36" t="s">
        <v>27</v>
      </c>
      <c r="B444" s="36">
        <v>202506</v>
      </c>
      <c r="C444" s="24" t="s">
        <v>128</v>
      </c>
      <c r="D444" s="24" t="s">
        <v>129</v>
      </c>
      <c r="E444" s="62">
        <v>45818</v>
      </c>
      <c r="F444" s="62">
        <v>46182</v>
      </c>
      <c r="G444" s="37" t="s">
        <v>571</v>
      </c>
      <c r="H444" s="36">
        <v>2218</v>
      </c>
      <c r="I444" s="63">
        <v>45466</v>
      </c>
      <c r="J444" s="24" t="s">
        <v>1220</v>
      </c>
      <c r="K444" s="63">
        <f t="shared" si="122"/>
        <v>45818</v>
      </c>
      <c r="L444" s="55">
        <f t="shared" si="123"/>
        <v>0.04</v>
      </c>
      <c r="M444" s="76">
        <v>0.22500000000000001</v>
      </c>
      <c r="N444" s="62">
        <v>45818</v>
      </c>
      <c r="O444" s="62">
        <v>46182</v>
      </c>
      <c r="P444" s="63"/>
      <c r="Q444" s="63"/>
      <c r="R444" s="82">
        <v>0</v>
      </c>
      <c r="S444" s="63" t="str">
        <f>VLOOKUP(R444,SA!$B$5:$C$11,2,1)</f>
        <v>0-35</v>
      </c>
      <c r="T444" s="38" t="s">
        <v>96</v>
      </c>
      <c r="U444" s="24" t="s">
        <v>114</v>
      </c>
      <c r="V444" s="24">
        <v>1000000</v>
      </c>
      <c r="W444" s="39">
        <f t="shared" si="124"/>
        <v>0</v>
      </c>
      <c r="X444" s="29">
        <f t="shared" si="125"/>
        <v>0</v>
      </c>
      <c r="Y444" s="40">
        <f t="shared" si="126"/>
        <v>365</v>
      </c>
      <c r="Z444" s="38">
        <f t="shared" si="121"/>
        <v>46081</v>
      </c>
      <c r="AA444" s="41">
        <f t="shared" si="127"/>
        <v>264</v>
      </c>
      <c r="AB444" s="24" t="s">
        <v>125</v>
      </c>
      <c r="AC444" s="41">
        <f t="shared" si="128"/>
        <v>6363.9287999999997</v>
      </c>
      <c r="AD444" s="41">
        <v>1</v>
      </c>
      <c r="AE444" s="72">
        <f>IFERROR(INDEX(SA!$C$4:$E$11,MATCH(Details!S444,SA!$C$4:$C$11,0),MATCH(Details!V444,SA!$C$4:$E$4,0)),0)*Y444/(F444-E444+1)</f>
        <v>5393.16</v>
      </c>
      <c r="AF444" s="41">
        <f t="shared" si="129"/>
        <v>0</v>
      </c>
      <c r="AG444" s="41">
        <f t="shared" si="130"/>
        <v>0</v>
      </c>
      <c r="AH444" s="41">
        <f t="shared" si="131"/>
        <v>970.76879999999994</v>
      </c>
      <c r="AI444" s="60">
        <f t="shared" si="132"/>
        <v>215.72640000000001</v>
      </c>
      <c r="AJ444" s="60">
        <f t="shared" si="133"/>
        <v>1213.461</v>
      </c>
      <c r="AK444" s="60">
        <f t="shared" si="134"/>
        <v>3900.8061369863012</v>
      </c>
      <c r="AL444" s="60">
        <f t="shared" si="135"/>
        <v>2867.0925106849313</v>
      </c>
      <c r="AM444" s="41">
        <f t="shared" si="136"/>
        <v>1096.880089315069</v>
      </c>
      <c r="AN444" s="42">
        <f t="shared" si="137"/>
        <v>45715</v>
      </c>
      <c r="AO444" s="43">
        <f t="shared" si="138"/>
        <v>5393.16</v>
      </c>
    </row>
    <row r="445" spans="1:41" s="24" customFormat="1" ht="15.75" customHeight="1" x14ac:dyDescent="0.35">
      <c r="A445" s="36" t="s">
        <v>27</v>
      </c>
      <c r="B445" s="36">
        <v>202506</v>
      </c>
      <c r="C445" s="24" t="s">
        <v>128</v>
      </c>
      <c r="D445" s="24" t="s">
        <v>129</v>
      </c>
      <c r="E445" s="62">
        <v>45818</v>
      </c>
      <c r="F445" s="62">
        <v>46182</v>
      </c>
      <c r="G445" s="37" t="s">
        <v>572</v>
      </c>
      <c r="H445" s="36">
        <v>2221</v>
      </c>
      <c r="I445" s="63">
        <v>32502</v>
      </c>
      <c r="J445" s="24" t="s">
        <v>1221</v>
      </c>
      <c r="K445" s="63">
        <f t="shared" si="122"/>
        <v>45818</v>
      </c>
      <c r="L445" s="55">
        <f t="shared" si="123"/>
        <v>0.04</v>
      </c>
      <c r="M445" s="76">
        <v>0.22500000000000001</v>
      </c>
      <c r="N445" s="62">
        <v>45818</v>
      </c>
      <c r="O445" s="62">
        <v>46182</v>
      </c>
      <c r="P445" s="63"/>
      <c r="Q445" s="63"/>
      <c r="R445" s="82">
        <v>36</v>
      </c>
      <c r="S445" s="63" t="str">
        <f>VLOOKUP(R445,SA!$B$5:$C$11,2,1)</f>
        <v>36-45</v>
      </c>
      <c r="T445" s="38" t="s">
        <v>96</v>
      </c>
      <c r="U445" s="24" t="s">
        <v>56</v>
      </c>
      <c r="V445" s="24">
        <v>300000</v>
      </c>
      <c r="W445" s="39">
        <f t="shared" si="124"/>
        <v>300000</v>
      </c>
      <c r="X445" s="29">
        <f t="shared" si="125"/>
        <v>1</v>
      </c>
      <c r="Y445" s="40">
        <f t="shared" si="126"/>
        <v>365</v>
      </c>
      <c r="Z445" s="38">
        <f t="shared" si="121"/>
        <v>46081</v>
      </c>
      <c r="AA445" s="41">
        <f t="shared" si="127"/>
        <v>264</v>
      </c>
      <c r="AB445" s="24" t="s">
        <v>125</v>
      </c>
      <c r="AC445" s="41">
        <f t="shared" si="128"/>
        <v>5017.3245999999999</v>
      </c>
      <c r="AD445" s="41">
        <v>1</v>
      </c>
      <c r="AE445" s="72">
        <f>IFERROR(INDEX(SA!$C$4:$E$11,MATCH(Details!S445,SA!$C$4:$C$11,0),MATCH(Details!V445,SA!$C$4:$E$4,0)),0)*Y445/(F445-E445+1)</f>
        <v>4251.97</v>
      </c>
      <c r="AF445" s="41">
        <f t="shared" si="129"/>
        <v>0</v>
      </c>
      <c r="AG445" s="41">
        <f t="shared" si="130"/>
        <v>0</v>
      </c>
      <c r="AH445" s="41">
        <f t="shared" si="131"/>
        <v>765.3546</v>
      </c>
      <c r="AI445" s="60">
        <f t="shared" si="132"/>
        <v>170.0788</v>
      </c>
      <c r="AJ445" s="60">
        <f t="shared" si="133"/>
        <v>956.69325000000003</v>
      </c>
      <c r="AK445" s="60">
        <f t="shared" si="134"/>
        <v>3075.397479452055</v>
      </c>
      <c r="AL445" s="60">
        <f t="shared" si="135"/>
        <v>2260.4171473972606</v>
      </c>
      <c r="AM445" s="41">
        <f t="shared" si="136"/>
        <v>864.78080260273941</v>
      </c>
      <c r="AN445" s="42">
        <f t="shared" si="137"/>
        <v>45715</v>
      </c>
      <c r="AO445" s="43">
        <f t="shared" si="138"/>
        <v>4251.97</v>
      </c>
    </row>
    <row r="446" spans="1:41" s="24" customFormat="1" ht="15.75" customHeight="1" x14ac:dyDescent="0.35">
      <c r="A446" s="36" t="s">
        <v>27</v>
      </c>
      <c r="B446" s="36">
        <v>202506</v>
      </c>
      <c r="C446" s="24" t="s">
        <v>128</v>
      </c>
      <c r="D446" s="24" t="s">
        <v>129</v>
      </c>
      <c r="E446" s="62">
        <v>45818</v>
      </c>
      <c r="F446" s="62">
        <v>46182</v>
      </c>
      <c r="G446" s="37" t="s">
        <v>573</v>
      </c>
      <c r="H446" s="36">
        <v>2221</v>
      </c>
      <c r="I446" s="63">
        <v>32976</v>
      </c>
      <c r="J446" s="24" t="s">
        <v>1222</v>
      </c>
      <c r="K446" s="63">
        <f t="shared" si="122"/>
        <v>45818</v>
      </c>
      <c r="L446" s="55">
        <f t="shared" si="123"/>
        <v>0.04</v>
      </c>
      <c r="M446" s="76">
        <v>0.22500000000000001</v>
      </c>
      <c r="N446" s="62">
        <v>45818</v>
      </c>
      <c r="O446" s="62">
        <v>46182</v>
      </c>
      <c r="P446" s="63"/>
      <c r="Q446" s="63"/>
      <c r="R446" s="82">
        <v>35</v>
      </c>
      <c r="S446" s="63" t="str">
        <f>VLOOKUP(R446,SA!$B$5:$C$11,2,1)</f>
        <v>0-35</v>
      </c>
      <c r="T446" s="38" t="s">
        <v>97</v>
      </c>
      <c r="U446" s="24" t="s">
        <v>115</v>
      </c>
      <c r="V446" s="24">
        <v>300000</v>
      </c>
      <c r="W446" s="39">
        <f t="shared" si="124"/>
        <v>0</v>
      </c>
      <c r="X446" s="29">
        <f t="shared" si="125"/>
        <v>0</v>
      </c>
      <c r="Y446" s="40">
        <f t="shared" si="126"/>
        <v>365</v>
      </c>
      <c r="Z446" s="38">
        <f t="shared" si="121"/>
        <v>46081</v>
      </c>
      <c r="AA446" s="41">
        <f t="shared" si="127"/>
        <v>264</v>
      </c>
      <c r="AB446" s="24" t="s">
        <v>125</v>
      </c>
      <c r="AC446" s="41">
        <f t="shared" si="128"/>
        <v>3874.2114000000001</v>
      </c>
      <c r="AD446" s="41">
        <v>1</v>
      </c>
      <c r="AE446" s="72">
        <f>IFERROR(INDEX(SA!$C$4:$E$11,MATCH(Details!S446,SA!$C$4:$C$11,0),MATCH(Details!V446,SA!$C$4:$E$4,0)),0)*Y446/(F446-E446+1)</f>
        <v>3283.23</v>
      </c>
      <c r="AF446" s="41">
        <f t="shared" si="129"/>
        <v>0</v>
      </c>
      <c r="AG446" s="41">
        <f t="shared" si="130"/>
        <v>0</v>
      </c>
      <c r="AH446" s="41">
        <f t="shared" si="131"/>
        <v>590.98140000000001</v>
      </c>
      <c r="AI446" s="60">
        <f t="shared" si="132"/>
        <v>131.32920000000001</v>
      </c>
      <c r="AJ446" s="60">
        <f t="shared" si="133"/>
        <v>738.72675000000004</v>
      </c>
      <c r="AK446" s="60">
        <f t="shared" si="134"/>
        <v>2374.7197808219175</v>
      </c>
      <c r="AL446" s="60">
        <f t="shared" si="135"/>
        <v>1745.4190389041094</v>
      </c>
      <c r="AM446" s="41">
        <f t="shared" si="136"/>
        <v>667.7550110958905</v>
      </c>
      <c r="AN446" s="42">
        <f t="shared" si="137"/>
        <v>45715</v>
      </c>
      <c r="AO446" s="43">
        <f t="shared" si="138"/>
        <v>3283.23</v>
      </c>
    </row>
    <row r="447" spans="1:41" s="24" customFormat="1" ht="15.75" customHeight="1" x14ac:dyDescent="0.35">
      <c r="A447" s="36" t="s">
        <v>27</v>
      </c>
      <c r="B447" s="36">
        <v>202506</v>
      </c>
      <c r="C447" s="24" t="s">
        <v>128</v>
      </c>
      <c r="D447" s="24" t="s">
        <v>129</v>
      </c>
      <c r="E447" s="62">
        <v>45818</v>
      </c>
      <c r="F447" s="62">
        <v>46182</v>
      </c>
      <c r="G447" s="37" t="s">
        <v>574</v>
      </c>
      <c r="H447" s="36">
        <v>2221</v>
      </c>
      <c r="I447" s="63">
        <v>44680</v>
      </c>
      <c r="J447" s="24" t="s">
        <v>1223</v>
      </c>
      <c r="K447" s="63">
        <f t="shared" si="122"/>
        <v>45818</v>
      </c>
      <c r="L447" s="55">
        <f t="shared" si="123"/>
        <v>0.04</v>
      </c>
      <c r="M447" s="76">
        <v>0.22500000000000001</v>
      </c>
      <c r="N447" s="62">
        <v>45818</v>
      </c>
      <c r="O447" s="62">
        <v>46182</v>
      </c>
      <c r="P447" s="63"/>
      <c r="Q447" s="63"/>
      <c r="R447" s="82">
        <v>3</v>
      </c>
      <c r="S447" s="63" t="str">
        <f>VLOOKUP(R447,SA!$B$5:$C$11,2,1)</f>
        <v>0-35</v>
      </c>
      <c r="T447" s="38" t="s">
        <v>97</v>
      </c>
      <c r="U447" s="24" t="s">
        <v>113</v>
      </c>
      <c r="V447" s="24">
        <v>300000</v>
      </c>
      <c r="W447" s="39">
        <f t="shared" si="124"/>
        <v>0</v>
      </c>
      <c r="X447" s="29">
        <f t="shared" si="125"/>
        <v>0</v>
      </c>
      <c r="Y447" s="40">
        <f t="shared" si="126"/>
        <v>365</v>
      </c>
      <c r="Z447" s="38">
        <f t="shared" si="121"/>
        <v>46081</v>
      </c>
      <c r="AA447" s="41">
        <f t="shared" si="127"/>
        <v>264</v>
      </c>
      <c r="AB447" s="24" t="s">
        <v>125</v>
      </c>
      <c r="AC447" s="41">
        <f t="shared" si="128"/>
        <v>3874.2114000000001</v>
      </c>
      <c r="AD447" s="41">
        <v>1</v>
      </c>
      <c r="AE447" s="72">
        <f>IFERROR(INDEX(SA!$C$4:$E$11,MATCH(Details!S447,SA!$C$4:$C$11,0),MATCH(Details!V447,SA!$C$4:$E$4,0)),0)*Y447/(F447-E447+1)</f>
        <v>3283.23</v>
      </c>
      <c r="AF447" s="41">
        <f t="shared" si="129"/>
        <v>0</v>
      </c>
      <c r="AG447" s="41">
        <f t="shared" si="130"/>
        <v>0</v>
      </c>
      <c r="AH447" s="41">
        <f t="shared" si="131"/>
        <v>590.98140000000001</v>
      </c>
      <c r="AI447" s="60">
        <f t="shared" si="132"/>
        <v>131.32920000000001</v>
      </c>
      <c r="AJ447" s="60">
        <f t="shared" si="133"/>
        <v>738.72675000000004</v>
      </c>
      <c r="AK447" s="60">
        <f t="shared" si="134"/>
        <v>2374.7197808219175</v>
      </c>
      <c r="AL447" s="60">
        <f t="shared" si="135"/>
        <v>1745.4190389041094</v>
      </c>
      <c r="AM447" s="41">
        <f t="shared" si="136"/>
        <v>667.7550110958905</v>
      </c>
      <c r="AN447" s="42">
        <f t="shared" si="137"/>
        <v>45715</v>
      </c>
      <c r="AO447" s="43">
        <f t="shared" si="138"/>
        <v>3283.23</v>
      </c>
    </row>
    <row r="448" spans="1:41" s="24" customFormat="1" ht="15.75" customHeight="1" x14ac:dyDescent="0.35">
      <c r="A448" s="36" t="s">
        <v>27</v>
      </c>
      <c r="B448" s="36">
        <v>202506</v>
      </c>
      <c r="C448" s="24" t="s">
        <v>128</v>
      </c>
      <c r="D448" s="24" t="s">
        <v>129</v>
      </c>
      <c r="E448" s="62">
        <v>45818</v>
      </c>
      <c r="F448" s="62">
        <v>46182</v>
      </c>
      <c r="G448" s="37" t="s">
        <v>575</v>
      </c>
      <c r="H448" s="36">
        <v>2222</v>
      </c>
      <c r="I448" s="63">
        <v>32502</v>
      </c>
      <c r="J448" s="24" t="s">
        <v>1224</v>
      </c>
      <c r="K448" s="63">
        <f t="shared" si="122"/>
        <v>45818</v>
      </c>
      <c r="L448" s="55">
        <f t="shared" si="123"/>
        <v>0.04</v>
      </c>
      <c r="M448" s="76">
        <v>0.22500000000000001</v>
      </c>
      <c r="N448" s="62">
        <v>45818</v>
      </c>
      <c r="O448" s="62">
        <v>46182</v>
      </c>
      <c r="P448" s="63"/>
      <c r="Q448" s="63"/>
      <c r="R448" s="82">
        <v>36</v>
      </c>
      <c r="S448" s="63" t="str">
        <f>VLOOKUP(R448,SA!$B$5:$C$11,2,1)</f>
        <v>36-45</v>
      </c>
      <c r="T448" s="38" t="s">
        <v>96</v>
      </c>
      <c r="U448" s="24" t="s">
        <v>56</v>
      </c>
      <c r="V448" s="24">
        <v>300000</v>
      </c>
      <c r="W448" s="39">
        <f t="shared" si="124"/>
        <v>300000</v>
      </c>
      <c r="X448" s="29">
        <f t="shared" si="125"/>
        <v>1</v>
      </c>
      <c r="Y448" s="40">
        <f t="shared" si="126"/>
        <v>365</v>
      </c>
      <c r="Z448" s="38">
        <f t="shared" si="121"/>
        <v>46081</v>
      </c>
      <c r="AA448" s="41">
        <f t="shared" si="127"/>
        <v>264</v>
      </c>
      <c r="AB448" s="24" t="s">
        <v>125</v>
      </c>
      <c r="AC448" s="41">
        <f t="shared" si="128"/>
        <v>5017.3245999999999</v>
      </c>
      <c r="AD448" s="41">
        <v>1</v>
      </c>
      <c r="AE448" s="72">
        <f>IFERROR(INDEX(SA!$C$4:$E$11,MATCH(Details!S448,SA!$C$4:$C$11,0),MATCH(Details!V448,SA!$C$4:$E$4,0)),0)*Y448/(F448-E448+1)</f>
        <v>4251.97</v>
      </c>
      <c r="AF448" s="41">
        <f t="shared" si="129"/>
        <v>0</v>
      </c>
      <c r="AG448" s="41">
        <f t="shared" si="130"/>
        <v>0</v>
      </c>
      <c r="AH448" s="41">
        <f t="shared" si="131"/>
        <v>765.3546</v>
      </c>
      <c r="AI448" s="60">
        <f t="shared" si="132"/>
        <v>170.0788</v>
      </c>
      <c r="AJ448" s="60">
        <f t="shared" si="133"/>
        <v>956.69325000000003</v>
      </c>
      <c r="AK448" s="60">
        <f t="shared" si="134"/>
        <v>3075.397479452055</v>
      </c>
      <c r="AL448" s="60">
        <f t="shared" si="135"/>
        <v>2260.4171473972606</v>
      </c>
      <c r="AM448" s="41">
        <f t="shared" si="136"/>
        <v>864.78080260273941</v>
      </c>
      <c r="AN448" s="42">
        <f t="shared" si="137"/>
        <v>45715</v>
      </c>
      <c r="AO448" s="43">
        <f t="shared" si="138"/>
        <v>4251.97</v>
      </c>
    </row>
    <row r="449" spans="1:41" s="24" customFormat="1" ht="15.75" customHeight="1" x14ac:dyDescent="0.35">
      <c r="A449" s="36" t="s">
        <v>27</v>
      </c>
      <c r="B449" s="36">
        <v>202506</v>
      </c>
      <c r="C449" s="24" t="s">
        <v>128</v>
      </c>
      <c r="D449" s="24" t="s">
        <v>129</v>
      </c>
      <c r="E449" s="62">
        <v>45818</v>
      </c>
      <c r="F449" s="62">
        <v>46182</v>
      </c>
      <c r="G449" s="37" t="s">
        <v>576</v>
      </c>
      <c r="H449" s="36">
        <v>2222</v>
      </c>
      <c r="I449" s="63">
        <v>34224</v>
      </c>
      <c r="J449" s="24" t="s">
        <v>1225</v>
      </c>
      <c r="K449" s="63">
        <f t="shared" si="122"/>
        <v>45818</v>
      </c>
      <c r="L449" s="55">
        <f t="shared" si="123"/>
        <v>0.04</v>
      </c>
      <c r="M449" s="76">
        <v>0.22500000000000001</v>
      </c>
      <c r="N449" s="62">
        <v>45818</v>
      </c>
      <c r="O449" s="62">
        <v>46182</v>
      </c>
      <c r="P449" s="63"/>
      <c r="Q449" s="63"/>
      <c r="R449" s="82">
        <v>31</v>
      </c>
      <c r="S449" s="63" t="str">
        <f>VLOOKUP(R449,SA!$B$5:$C$11,2,1)</f>
        <v>0-35</v>
      </c>
      <c r="T449" s="38" t="s">
        <v>97</v>
      </c>
      <c r="U449" s="24" t="s">
        <v>115</v>
      </c>
      <c r="V449" s="24">
        <v>300000</v>
      </c>
      <c r="W449" s="39">
        <f t="shared" si="124"/>
        <v>0</v>
      </c>
      <c r="X449" s="29">
        <f t="shared" si="125"/>
        <v>0</v>
      </c>
      <c r="Y449" s="40">
        <f t="shared" si="126"/>
        <v>365</v>
      </c>
      <c r="Z449" s="38">
        <f t="shared" si="121"/>
        <v>46081</v>
      </c>
      <c r="AA449" s="41">
        <f t="shared" si="127"/>
        <v>264</v>
      </c>
      <c r="AB449" s="24" t="s">
        <v>125</v>
      </c>
      <c r="AC449" s="41">
        <f t="shared" si="128"/>
        <v>3874.2114000000001</v>
      </c>
      <c r="AD449" s="41">
        <v>1</v>
      </c>
      <c r="AE449" s="72">
        <f>IFERROR(INDEX(SA!$C$4:$E$11,MATCH(Details!S449,SA!$C$4:$C$11,0),MATCH(Details!V449,SA!$C$4:$E$4,0)),0)*Y449/(F449-E449+1)</f>
        <v>3283.23</v>
      </c>
      <c r="AF449" s="41">
        <f t="shared" si="129"/>
        <v>0</v>
      </c>
      <c r="AG449" s="41">
        <f t="shared" si="130"/>
        <v>0</v>
      </c>
      <c r="AH449" s="41">
        <f t="shared" si="131"/>
        <v>590.98140000000001</v>
      </c>
      <c r="AI449" s="60">
        <f t="shared" si="132"/>
        <v>131.32920000000001</v>
      </c>
      <c r="AJ449" s="60">
        <f t="shared" si="133"/>
        <v>738.72675000000004</v>
      </c>
      <c r="AK449" s="60">
        <f t="shared" si="134"/>
        <v>2374.7197808219175</v>
      </c>
      <c r="AL449" s="60">
        <f t="shared" si="135"/>
        <v>1745.4190389041094</v>
      </c>
      <c r="AM449" s="41">
        <f t="shared" si="136"/>
        <v>667.7550110958905</v>
      </c>
      <c r="AN449" s="42">
        <f t="shared" si="137"/>
        <v>45715</v>
      </c>
      <c r="AO449" s="43">
        <f t="shared" si="138"/>
        <v>3283.23</v>
      </c>
    </row>
    <row r="450" spans="1:41" s="24" customFormat="1" ht="15.75" customHeight="1" x14ac:dyDescent="0.35">
      <c r="A450" s="36" t="s">
        <v>27</v>
      </c>
      <c r="B450" s="36">
        <v>202506</v>
      </c>
      <c r="C450" s="24" t="s">
        <v>128</v>
      </c>
      <c r="D450" s="24" t="s">
        <v>129</v>
      </c>
      <c r="E450" s="62">
        <v>45818</v>
      </c>
      <c r="F450" s="62">
        <v>46182</v>
      </c>
      <c r="G450" s="37" t="s">
        <v>577</v>
      </c>
      <c r="H450" s="36">
        <v>2222</v>
      </c>
      <c r="I450" s="63">
        <v>44944</v>
      </c>
      <c r="J450" s="24" t="s">
        <v>1226</v>
      </c>
      <c r="K450" s="63">
        <f t="shared" si="122"/>
        <v>45818</v>
      </c>
      <c r="L450" s="55">
        <f t="shared" si="123"/>
        <v>0.04</v>
      </c>
      <c r="M450" s="76">
        <v>0.22500000000000001</v>
      </c>
      <c r="N450" s="62">
        <v>45818</v>
      </c>
      <c r="O450" s="62">
        <v>46182</v>
      </c>
      <c r="P450" s="63"/>
      <c r="Q450" s="63"/>
      <c r="R450" s="82">
        <v>2</v>
      </c>
      <c r="S450" s="63" t="str">
        <f>VLOOKUP(R450,SA!$B$5:$C$11,2,1)</f>
        <v>0-35</v>
      </c>
      <c r="T450" s="38" t="s">
        <v>97</v>
      </c>
      <c r="U450" s="24" t="s">
        <v>113</v>
      </c>
      <c r="V450" s="24">
        <v>300000</v>
      </c>
      <c r="W450" s="39">
        <f t="shared" si="124"/>
        <v>0</v>
      </c>
      <c r="X450" s="29">
        <f t="shared" si="125"/>
        <v>0</v>
      </c>
      <c r="Y450" s="40">
        <f t="shared" si="126"/>
        <v>365</v>
      </c>
      <c r="Z450" s="38">
        <f t="shared" si="121"/>
        <v>46081</v>
      </c>
      <c r="AA450" s="41">
        <f t="shared" si="127"/>
        <v>264</v>
      </c>
      <c r="AB450" s="24" t="s">
        <v>125</v>
      </c>
      <c r="AC450" s="41">
        <f t="shared" si="128"/>
        <v>3874.2114000000001</v>
      </c>
      <c r="AD450" s="41">
        <v>1</v>
      </c>
      <c r="AE450" s="72">
        <f>IFERROR(INDEX(SA!$C$4:$E$11,MATCH(Details!S450,SA!$C$4:$C$11,0),MATCH(Details!V450,SA!$C$4:$E$4,0)),0)*Y450/(F450-E450+1)</f>
        <v>3283.23</v>
      </c>
      <c r="AF450" s="41">
        <f t="shared" si="129"/>
        <v>0</v>
      </c>
      <c r="AG450" s="41">
        <f t="shared" si="130"/>
        <v>0</v>
      </c>
      <c r="AH450" s="41">
        <f t="shared" si="131"/>
        <v>590.98140000000001</v>
      </c>
      <c r="AI450" s="60">
        <f t="shared" si="132"/>
        <v>131.32920000000001</v>
      </c>
      <c r="AJ450" s="60">
        <f t="shared" si="133"/>
        <v>738.72675000000004</v>
      </c>
      <c r="AK450" s="60">
        <f t="shared" si="134"/>
        <v>2374.7197808219175</v>
      </c>
      <c r="AL450" s="60">
        <f t="shared" si="135"/>
        <v>1745.4190389041094</v>
      </c>
      <c r="AM450" s="41">
        <f t="shared" si="136"/>
        <v>667.7550110958905</v>
      </c>
      <c r="AN450" s="42">
        <f t="shared" si="137"/>
        <v>45715</v>
      </c>
      <c r="AO450" s="43">
        <f t="shared" si="138"/>
        <v>3283.23</v>
      </c>
    </row>
    <row r="451" spans="1:41" s="24" customFormat="1" ht="15.75" customHeight="1" x14ac:dyDescent="0.35">
      <c r="A451" s="36" t="s">
        <v>27</v>
      </c>
      <c r="B451" s="36">
        <v>202506</v>
      </c>
      <c r="C451" s="24" t="s">
        <v>128</v>
      </c>
      <c r="D451" s="24" t="s">
        <v>129</v>
      </c>
      <c r="E451" s="62">
        <v>45818</v>
      </c>
      <c r="F451" s="62">
        <v>46182</v>
      </c>
      <c r="G451" s="37" t="s">
        <v>578</v>
      </c>
      <c r="H451" s="36">
        <v>2227</v>
      </c>
      <c r="I451" s="63">
        <v>31441</v>
      </c>
      <c r="J451" s="24" t="s">
        <v>1227</v>
      </c>
      <c r="K451" s="63">
        <f t="shared" si="122"/>
        <v>45818</v>
      </c>
      <c r="L451" s="55">
        <f t="shared" si="123"/>
        <v>0.04</v>
      </c>
      <c r="M451" s="76">
        <v>0.22500000000000001</v>
      </c>
      <c r="N451" s="62">
        <v>45818</v>
      </c>
      <c r="O451" s="62">
        <v>46182</v>
      </c>
      <c r="P451" s="63"/>
      <c r="Q451" s="63"/>
      <c r="R451" s="82">
        <v>39</v>
      </c>
      <c r="S451" s="63" t="str">
        <f>VLOOKUP(R451,SA!$B$5:$C$11,2,1)</f>
        <v>36-45</v>
      </c>
      <c r="T451" s="38" t="s">
        <v>96</v>
      </c>
      <c r="U451" s="24" t="s">
        <v>56</v>
      </c>
      <c r="V451" s="24">
        <v>300000</v>
      </c>
      <c r="W451" s="39">
        <f t="shared" si="124"/>
        <v>300000</v>
      </c>
      <c r="X451" s="29">
        <f t="shared" si="125"/>
        <v>1</v>
      </c>
      <c r="Y451" s="40">
        <f t="shared" si="126"/>
        <v>365</v>
      </c>
      <c r="Z451" s="38">
        <f t="shared" ref="Z451:Z514" si="139">$Z$1</f>
        <v>46081</v>
      </c>
      <c r="AA451" s="41">
        <f t="shared" si="127"/>
        <v>264</v>
      </c>
      <c r="AB451" s="24" t="s">
        <v>125</v>
      </c>
      <c r="AC451" s="41">
        <f t="shared" si="128"/>
        <v>5017.3245999999999</v>
      </c>
      <c r="AD451" s="41">
        <v>1</v>
      </c>
      <c r="AE451" s="72">
        <f>IFERROR(INDEX(SA!$C$4:$E$11,MATCH(Details!S451,SA!$C$4:$C$11,0),MATCH(Details!V451,SA!$C$4:$E$4,0)),0)*Y451/(F451-E451+1)</f>
        <v>4251.97</v>
      </c>
      <c r="AF451" s="41">
        <f t="shared" si="129"/>
        <v>0</v>
      </c>
      <c r="AG451" s="41">
        <f t="shared" si="130"/>
        <v>0</v>
      </c>
      <c r="AH451" s="41">
        <f t="shared" si="131"/>
        <v>765.3546</v>
      </c>
      <c r="AI451" s="60">
        <f t="shared" si="132"/>
        <v>170.0788</v>
      </c>
      <c r="AJ451" s="60">
        <f t="shared" si="133"/>
        <v>956.69325000000003</v>
      </c>
      <c r="AK451" s="60">
        <f t="shared" si="134"/>
        <v>3075.397479452055</v>
      </c>
      <c r="AL451" s="60">
        <f t="shared" si="135"/>
        <v>2260.4171473972606</v>
      </c>
      <c r="AM451" s="41">
        <f t="shared" si="136"/>
        <v>864.78080260273941</v>
      </c>
      <c r="AN451" s="42">
        <f t="shared" si="137"/>
        <v>45715</v>
      </c>
      <c r="AO451" s="43">
        <f t="shared" si="138"/>
        <v>4251.97</v>
      </c>
    </row>
    <row r="452" spans="1:41" s="24" customFormat="1" ht="15.75" customHeight="1" x14ac:dyDescent="0.35">
      <c r="A452" s="36" t="s">
        <v>27</v>
      </c>
      <c r="B452" s="36">
        <v>202506</v>
      </c>
      <c r="C452" s="24" t="s">
        <v>128</v>
      </c>
      <c r="D452" s="24" t="s">
        <v>129</v>
      </c>
      <c r="E452" s="62">
        <v>45818</v>
      </c>
      <c r="F452" s="62">
        <v>46182</v>
      </c>
      <c r="G452" s="37" t="s">
        <v>579</v>
      </c>
      <c r="H452" s="36">
        <v>2227</v>
      </c>
      <c r="I452" s="63">
        <v>32874</v>
      </c>
      <c r="J452" s="24" t="s">
        <v>1228</v>
      </c>
      <c r="K452" s="63">
        <f t="shared" ref="K452:K515" si="140">N452</f>
        <v>45818</v>
      </c>
      <c r="L452" s="55">
        <f t="shared" ref="L452:L515" si="141">IF(K452&gt;=DATE(2022,4,1),4%,5%)</f>
        <v>0.04</v>
      </c>
      <c r="M452" s="76">
        <v>0.22500000000000001</v>
      </c>
      <c r="N452" s="62">
        <v>45818</v>
      </c>
      <c r="O452" s="62">
        <v>46182</v>
      </c>
      <c r="P452" s="63"/>
      <c r="Q452" s="63"/>
      <c r="R452" s="82">
        <v>35</v>
      </c>
      <c r="S452" s="63" t="str">
        <f>VLOOKUP(R452,SA!$B$5:$C$11,2,1)</f>
        <v>0-35</v>
      </c>
      <c r="T452" s="38" t="s">
        <v>97</v>
      </c>
      <c r="U452" s="24" t="s">
        <v>115</v>
      </c>
      <c r="V452" s="24">
        <v>300000</v>
      </c>
      <c r="W452" s="39">
        <f t="shared" ref="W452:W515" si="142">IF(U452="self",V452,0)</f>
        <v>0</v>
      </c>
      <c r="X452" s="29">
        <f t="shared" ref="X452:X515" si="143">IF(U452="self",1,0)</f>
        <v>0</v>
      </c>
      <c r="Y452" s="40">
        <f t="shared" ref="Y452:Y515" si="144">O452-N452+1</f>
        <v>365</v>
      </c>
      <c r="Z452" s="38">
        <f t="shared" si="139"/>
        <v>46081</v>
      </c>
      <c r="AA452" s="41">
        <f t="shared" ref="AA452:AA515" si="145">IF(MIN((Z452-N452)+1,Y452)&lt;0,0,MIN((Z452-N452)+1,Y452))</f>
        <v>264</v>
      </c>
      <c r="AB452" s="24" t="s">
        <v>125</v>
      </c>
      <c r="AC452" s="41">
        <f t="shared" ref="AC452:AC515" si="146">AE452+AF452+AG452+AH452</f>
        <v>3874.2114000000001</v>
      </c>
      <c r="AD452" s="41">
        <v>1</v>
      </c>
      <c r="AE452" s="72">
        <f>IFERROR(INDEX(SA!$C$4:$E$11,MATCH(Details!S452,SA!$C$4:$C$11,0),MATCH(Details!V452,SA!$C$4:$E$4,0)),0)*Y452/(F452-E452+1)</f>
        <v>3283.23</v>
      </c>
      <c r="AF452" s="41">
        <f t="shared" ref="AF452:AF515" si="147">IF(AB452="Karnataka",AE452*9%,0)</f>
        <v>0</v>
      </c>
      <c r="AG452" s="41">
        <f t="shared" ref="AG452:AG515" si="148">IF(AB452="Karnataka",AE452*9%,0)</f>
        <v>0</v>
      </c>
      <c r="AH452" s="41">
        <f t="shared" ref="AH452:AH515" si="149">IF(AF452+AG452&gt;0,0,AE452*18%)</f>
        <v>590.98140000000001</v>
      </c>
      <c r="AI452" s="60">
        <f t="shared" ref="AI452:AI515" si="150">AE452*L452</f>
        <v>131.32920000000001</v>
      </c>
      <c r="AJ452" s="60">
        <f t="shared" ref="AJ452:AJ515" si="151">$AE452*M452</f>
        <v>738.72675000000004</v>
      </c>
      <c r="AK452" s="60">
        <f t="shared" ref="AK452:AK515" si="152">(AE452)*AA452/Y452</f>
        <v>2374.7197808219175</v>
      </c>
      <c r="AL452" s="60">
        <f t="shared" ref="AL452:AL515" si="153">AK452*(1-L452-M452)</f>
        <v>1745.4190389041094</v>
      </c>
      <c r="AM452" s="41">
        <f t="shared" ref="AM452:AM515" si="154">AE452-AI452-AL452-AJ452</f>
        <v>667.7550110958905</v>
      </c>
      <c r="AN452" s="42">
        <f t="shared" ref="AN452:AN515" si="155">Z452-366</f>
        <v>45715</v>
      </c>
      <c r="AO452" s="43">
        <f t="shared" ref="AO452:AO515" si="156">IF(AND(O452&gt;Z452,N452&gt;AN452),AE452,0)</f>
        <v>3283.23</v>
      </c>
    </row>
    <row r="453" spans="1:41" s="24" customFormat="1" ht="15.75" customHeight="1" x14ac:dyDescent="0.35">
      <c r="A453" s="36" t="s">
        <v>27</v>
      </c>
      <c r="B453" s="36">
        <v>202506</v>
      </c>
      <c r="C453" s="24" t="s">
        <v>128</v>
      </c>
      <c r="D453" s="24" t="s">
        <v>129</v>
      </c>
      <c r="E453" s="62">
        <v>45818</v>
      </c>
      <c r="F453" s="62">
        <v>46182</v>
      </c>
      <c r="G453" s="37" t="s">
        <v>580</v>
      </c>
      <c r="H453" s="36">
        <v>2227</v>
      </c>
      <c r="I453" s="63">
        <v>44202</v>
      </c>
      <c r="J453" s="24" t="s">
        <v>1229</v>
      </c>
      <c r="K453" s="63">
        <f t="shared" si="140"/>
        <v>45818</v>
      </c>
      <c r="L453" s="55">
        <f t="shared" si="141"/>
        <v>0.04</v>
      </c>
      <c r="M453" s="76">
        <v>0.22500000000000001</v>
      </c>
      <c r="N453" s="62">
        <v>45818</v>
      </c>
      <c r="O453" s="62">
        <v>46182</v>
      </c>
      <c r="P453" s="63"/>
      <c r="Q453" s="63"/>
      <c r="R453" s="82">
        <v>4</v>
      </c>
      <c r="S453" s="63" t="str">
        <f>VLOOKUP(R453,SA!$B$5:$C$11,2,1)</f>
        <v>0-35</v>
      </c>
      <c r="T453" s="38" t="s">
        <v>97</v>
      </c>
      <c r="U453" s="24" t="s">
        <v>113</v>
      </c>
      <c r="V453" s="24">
        <v>300000</v>
      </c>
      <c r="W453" s="39">
        <f t="shared" si="142"/>
        <v>0</v>
      </c>
      <c r="X453" s="29">
        <f t="shared" si="143"/>
        <v>0</v>
      </c>
      <c r="Y453" s="40">
        <f t="shared" si="144"/>
        <v>365</v>
      </c>
      <c r="Z453" s="38">
        <f t="shared" si="139"/>
        <v>46081</v>
      </c>
      <c r="AA453" s="41">
        <f t="shared" si="145"/>
        <v>264</v>
      </c>
      <c r="AB453" s="24" t="s">
        <v>125</v>
      </c>
      <c r="AC453" s="41">
        <f t="shared" si="146"/>
        <v>3874.2114000000001</v>
      </c>
      <c r="AD453" s="41">
        <v>1</v>
      </c>
      <c r="AE453" s="72">
        <f>IFERROR(INDEX(SA!$C$4:$E$11,MATCH(Details!S453,SA!$C$4:$C$11,0),MATCH(Details!V453,SA!$C$4:$E$4,0)),0)*Y453/(F453-E453+1)</f>
        <v>3283.23</v>
      </c>
      <c r="AF453" s="41">
        <f t="shared" si="147"/>
        <v>0</v>
      </c>
      <c r="AG453" s="41">
        <f t="shared" si="148"/>
        <v>0</v>
      </c>
      <c r="AH453" s="41">
        <f t="shared" si="149"/>
        <v>590.98140000000001</v>
      </c>
      <c r="AI453" s="60">
        <f t="shared" si="150"/>
        <v>131.32920000000001</v>
      </c>
      <c r="AJ453" s="60">
        <f t="shared" si="151"/>
        <v>738.72675000000004</v>
      </c>
      <c r="AK453" s="60">
        <f t="shared" si="152"/>
        <v>2374.7197808219175</v>
      </c>
      <c r="AL453" s="60">
        <f t="shared" si="153"/>
        <v>1745.4190389041094</v>
      </c>
      <c r="AM453" s="41">
        <f t="shared" si="154"/>
        <v>667.7550110958905</v>
      </c>
      <c r="AN453" s="42">
        <f t="shared" si="155"/>
        <v>45715</v>
      </c>
      <c r="AO453" s="43">
        <f t="shared" si="156"/>
        <v>3283.23</v>
      </c>
    </row>
    <row r="454" spans="1:41" s="24" customFormat="1" ht="15.75" customHeight="1" x14ac:dyDescent="0.35">
      <c r="A454" s="36" t="s">
        <v>27</v>
      </c>
      <c r="B454" s="36">
        <v>202506</v>
      </c>
      <c r="C454" s="24" t="s">
        <v>128</v>
      </c>
      <c r="D454" s="24" t="s">
        <v>129</v>
      </c>
      <c r="E454" s="62">
        <v>45818</v>
      </c>
      <c r="F454" s="62">
        <v>46182</v>
      </c>
      <c r="G454" s="37" t="s">
        <v>581</v>
      </c>
      <c r="H454" s="36">
        <v>2231</v>
      </c>
      <c r="I454" s="63">
        <v>35243</v>
      </c>
      <c r="J454" s="24" t="s">
        <v>1230</v>
      </c>
      <c r="K454" s="63">
        <f t="shared" si="140"/>
        <v>45818</v>
      </c>
      <c r="L454" s="55">
        <f t="shared" si="141"/>
        <v>0.04</v>
      </c>
      <c r="M454" s="76">
        <v>0.22500000000000001</v>
      </c>
      <c r="N454" s="62">
        <v>45818</v>
      </c>
      <c r="O454" s="62">
        <v>46182</v>
      </c>
      <c r="P454" s="63"/>
      <c r="Q454" s="63"/>
      <c r="R454" s="82">
        <v>28</v>
      </c>
      <c r="S454" s="63" t="str">
        <f>VLOOKUP(R454,SA!$B$5:$C$11,2,1)</f>
        <v>0-35</v>
      </c>
      <c r="T454" s="38" t="s">
        <v>96</v>
      </c>
      <c r="U454" s="24" t="s">
        <v>56</v>
      </c>
      <c r="V454" s="24">
        <v>300000</v>
      </c>
      <c r="W454" s="39">
        <f t="shared" si="142"/>
        <v>300000</v>
      </c>
      <c r="X454" s="29">
        <f t="shared" si="143"/>
        <v>1</v>
      </c>
      <c r="Y454" s="40">
        <f t="shared" si="144"/>
        <v>365</v>
      </c>
      <c r="Z454" s="38">
        <f t="shared" si="139"/>
        <v>46081</v>
      </c>
      <c r="AA454" s="41">
        <f t="shared" si="145"/>
        <v>264</v>
      </c>
      <c r="AB454" s="24" t="s">
        <v>125</v>
      </c>
      <c r="AC454" s="41">
        <f t="shared" si="146"/>
        <v>3874.2114000000001</v>
      </c>
      <c r="AD454" s="41">
        <v>1</v>
      </c>
      <c r="AE454" s="72">
        <f>IFERROR(INDEX(SA!$C$4:$E$11,MATCH(Details!S454,SA!$C$4:$C$11,0),MATCH(Details!V454,SA!$C$4:$E$4,0)),0)*Y454/(F454-E454+1)</f>
        <v>3283.23</v>
      </c>
      <c r="AF454" s="41">
        <f t="shared" si="147"/>
        <v>0</v>
      </c>
      <c r="AG454" s="41">
        <f t="shared" si="148"/>
        <v>0</v>
      </c>
      <c r="AH454" s="41">
        <f t="shared" si="149"/>
        <v>590.98140000000001</v>
      </c>
      <c r="AI454" s="60">
        <f t="shared" si="150"/>
        <v>131.32920000000001</v>
      </c>
      <c r="AJ454" s="60">
        <f t="shared" si="151"/>
        <v>738.72675000000004</v>
      </c>
      <c r="AK454" s="60">
        <f t="shared" si="152"/>
        <v>2374.7197808219175</v>
      </c>
      <c r="AL454" s="60">
        <f t="shared" si="153"/>
        <v>1745.4190389041094</v>
      </c>
      <c r="AM454" s="41">
        <f t="shared" si="154"/>
        <v>667.7550110958905</v>
      </c>
      <c r="AN454" s="42">
        <f t="shared" si="155"/>
        <v>45715</v>
      </c>
      <c r="AO454" s="43">
        <f t="shared" si="156"/>
        <v>3283.23</v>
      </c>
    </row>
    <row r="455" spans="1:41" s="24" customFormat="1" ht="15.75" customHeight="1" x14ac:dyDescent="0.35">
      <c r="A455" s="36" t="s">
        <v>27</v>
      </c>
      <c r="B455" s="36">
        <v>202506</v>
      </c>
      <c r="C455" s="24" t="s">
        <v>128</v>
      </c>
      <c r="D455" s="24" t="s">
        <v>129</v>
      </c>
      <c r="E455" s="62">
        <v>45818</v>
      </c>
      <c r="F455" s="62">
        <v>46182</v>
      </c>
      <c r="G455" s="37" t="s">
        <v>582</v>
      </c>
      <c r="H455" s="36">
        <v>2232</v>
      </c>
      <c r="I455" s="63">
        <v>34856</v>
      </c>
      <c r="J455" s="24" t="s">
        <v>1231</v>
      </c>
      <c r="K455" s="63">
        <f t="shared" si="140"/>
        <v>45818</v>
      </c>
      <c r="L455" s="55">
        <f t="shared" si="141"/>
        <v>0.04</v>
      </c>
      <c r="M455" s="76">
        <v>0.22500000000000001</v>
      </c>
      <c r="N455" s="62">
        <v>45818</v>
      </c>
      <c r="O455" s="62">
        <v>46182</v>
      </c>
      <c r="P455" s="63"/>
      <c r="Q455" s="63"/>
      <c r="R455" s="82">
        <v>30</v>
      </c>
      <c r="S455" s="63" t="str">
        <f>VLOOKUP(R455,SA!$B$5:$C$11,2,1)</f>
        <v>0-35</v>
      </c>
      <c r="T455" s="38" t="s">
        <v>96</v>
      </c>
      <c r="U455" s="24" t="s">
        <v>56</v>
      </c>
      <c r="V455" s="24">
        <v>300000</v>
      </c>
      <c r="W455" s="39">
        <f t="shared" si="142"/>
        <v>300000</v>
      </c>
      <c r="X455" s="29">
        <f t="shared" si="143"/>
        <v>1</v>
      </c>
      <c r="Y455" s="40">
        <f t="shared" si="144"/>
        <v>365</v>
      </c>
      <c r="Z455" s="38">
        <f t="shared" si="139"/>
        <v>46081</v>
      </c>
      <c r="AA455" s="41">
        <f t="shared" si="145"/>
        <v>264</v>
      </c>
      <c r="AB455" s="24" t="s">
        <v>125</v>
      </c>
      <c r="AC455" s="41">
        <f t="shared" si="146"/>
        <v>3874.2114000000001</v>
      </c>
      <c r="AD455" s="41">
        <v>1</v>
      </c>
      <c r="AE455" s="72">
        <f>IFERROR(INDEX(SA!$C$4:$E$11,MATCH(Details!S455,SA!$C$4:$C$11,0),MATCH(Details!V455,SA!$C$4:$E$4,0)),0)*Y455/(F455-E455+1)</f>
        <v>3283.23</v>
      </c>
      <c r="AF455" s="41">
        <f t="shared" si="147"/>
        <v>0</v>
      </c>
      <c r="AG455" s="41">
        <f t="shared" si="148"/>
        <v>0</v>
      </c>
      <c r="AH455" s="41">
        <f t="shared" si="149"/>
        <v>590.98140000000001</v>
      </c>
      <c r="AI455" s="60">
        <f t="shared" si="150"/>
        <v>131.32920000000001</v>
      </c>
      <c r="AJ455" s="60">
        <f t="shared" si="151"/>
        <v>738.72675000000004</v>
      </c>
      <c r="AK455" s="60">
        <f t="shared" si="152"/>
        <v>2374.7197808219175</v>
      </c>
      <c r="AL455" s="60">
        <f t="shared" si="153"/>
        <v>1745.4190389041094</v>
      </c>
      <c r="AM455" s="41">
        <f t="shared" si="154"/>
        <v>667.7550110958905</v>
      </c>
      <c r="AN455" s="42">
        <f t="shared" si="155"/>
        <v>45715</v>
      </c>
      <c r="AO455" s="43">
        <f t="shared" si="156"/>
        <v>3283.23</v>
      </c>
    </row>
    <row r="456" spans="1:41" s="24" customFormat="1" ht="15.75" customHeight="1" x14ac:dyDescent="0.35">
      <c r="A456" s="36" t="s">
        <v>27</v>
      </c>
      <c r="B456" s="36">
        <v>202506</v>
      </c>
      <c r="C456" s="24" t="s">
        <v>128</v>
      </c>
      <c r="D456" s="24" t="s">
        <v>129</v>
      </c>
      <c r="E456" s="62">
        <v>45818</v>
      </c>
      <c r="F456" s="62">
        <v>46182</v>
      </c>
      <c r="G456" s="37" t="s">
        <v>583</v>
      </c>
      <c r="H456" s="36">
        <v>2232</v>
      </c>
      <c r="I456" s="63">
        <v>37504</v>
      </c>
      <c r="J456" s="24" t="s">
        <v>1232</v>
      </c>
      <c r="K456" s="63">
        <f t="shared" si="140"/>
        <v>45818</v>
      </c>
      <c r="L456" s="55">
        <f t="shared" si="141"/>
        <v>0.04</v>
      </c>
      <c r="M456" s="76">
        <v>0.22500000000000001</v>
      </c>
      <c r="N456" s="62">
        <v>45818</v>
      </c>
      <c r="O456" s="62">
        <v>46182</v>
      </c>
      <c r="P456" s="63"/>
      <c r="Q456" s="63"/>
      <c r="R456" s="82">
        <v>22</v>
      </c>
      <c r="S456" s="63" t="str">
        <f>VLOOKUP(R456,SA!$B$5:$C$11,2,1)</f>
        <v>0-35</v>
      </c>
      <c r="T456" s="38" t="s">
        <v>97</v>
      </c>
      <c r="U456" s="24" t="s">
        <v>115</v>
      </c>
      <c r="V456" s="24">
        <v>300000</v>
      </c>
      <c r="W456" s="39">
        <f t="shared" si="142"/>
        <v>0</v>
      </c>
      <c r="X456" s="29">
        <f t="shared" si="143"/>
        <v>0</v>
      </c>
      <c r="Y456" s="40">
        <f t="shared" si="144"/>
        <v>365</v>
      </c>
      <c r="Z456" s="38">
        <f t="shared" si="139"/>
        <v>46081</v>
      </c>
      <c r="AA456" s="41">
        <f t="shared" si="145"/>
        <v>264</v>
      </c>
      <c r="AB456" s="24" t="s">
        <v>125</v>
      </c>
      <c r="AC456" s="41">
        <f t="shared" si="146"/>
        <v>3874.2114000000001</v>
      </c>
      <c r="AD456" s="41">
        <v>1</v>
      </c>
      <c r="AE456" s="72">
        <f>IFERROR(INDEX(SA!$C$4:$E$11,MATCH(Details!S456,SA!$C$4:$C$11,0),MATCH(Details!V456,SA!$C$4:$E$4,0)),0)*Y456/(F456-E456+1)</f>
        <v>3283.23</v>
      </c>
      <c r="AF456" s="41">
        <f t="shared" si="147"/>
        <v>0</v>
      </c>
      <c r="AG456" s="41">
        <f t="shared" si="148"/>
        <v>0</v>
      </c>
      <c r="AH456" s="41">
        <f t="shared" si="149"/>
        <v>590.98140000000001</v>
      </c>
      <c r="AI456" s="60">
        <f t="shared" si="150"/>
        <v>131.32920000000001</v>
      </c>
      <c r="AJ456" s="60">
        <f t="shared" si="151"/>
        <v>738.72675000000004</v>
      </c>
      <c r="AK456" s="60">
        <f t="shared" si="152"/>
        <v>2374.7197808219175</v>
      </c>
      <c r="AL456" s="60">
        <f t="shared" si="153"/>
        <v>1745.4190389041094</v>
      </c>
      <c r="AM456" s="41">
        <f t="shared" si="154"/>
        <v>667.7550110958905</v>
      </c>
      <c r="AN456" s="42">
        <f t="shared" si="155"/>
        <v>45715</v>
      </c>
      <c r="AO456" s="43">
        <f t="shared" si="156"/>
        <v>3283.23</v>
      </c>
    </row>
    <row r="457" spans="1:41" s="24" customFormat="1" ht="15.75" customHeight="1" x14ac:dyDescent="0.35">
      <c r="A457" s="36" t="s">
        <v>27</v>
      </c>
      <c r="B457" s="36">
        <v>202506</v>
      </c>
      <c r="C457" s="24" t="s">
        <v>128</v>
      </c>
      <c r="D457" s="24" t="s">
        <v>129</v>
      </c>
      <c r="E457" s="62">
        <v>45818</v>
      </c>
      <c r="F457" s="62">
        <v>46182</v>
      </c>
      <c r="G457" s="37" t="s">
        <v>584</v>
      </c>
      <c r="H457" s="36">
        <v>2232</v>
      </c>
      <c r="I457" s="63">
        <v>45552</v>
      </c>
      <c r="J457" s="24" t="s">
        <v>1233</v>
      </c>
      <c r="K457" s="63">
        <f t="shared" si="140"/>
        <v>45818</v>
      </c>
      <c r="L457" s="55">
        <f t="shared" si="141"/>
        <v>0.04</v>
      </c>
      <c r="M457" s="76">
        <v>0.22500000000000001</v>
      </c>
      <c r="N457" s="62">
        <v>45818</v>
      </c>
      <c r="O457" s="62">
        <v>46182</v>
      </c>
      <c r="P457" s="63"/>
      <c r="Q457" s="63"/>
      <c r="R457" s="82">
        <v>0</v>
      </c>
      <c r="S457" s="63" t="str">
        <f>VLOOKUP(R457,SA!$B$5:$C$11,2,1)</f>
        <v>0-35</v>
      </c>
      <c r="T457" s="38" t="s">
        <v>96</v>
      </c>
      <c r="U457" s="24" t="s">
        <v>114</v>
      </c>
      <c r="V457" s="24">
        <v>300000</v>
      </c>
      <c r="W457" s="39">
        <f t="shared" si="142"/>
        <v>0</v>
      </c>
      <c r="X457" s="29">
        <f t="shared" si="143"/>
        <v>0</v>
      </c>
      <c r="Y457" s="40">
        <f t="shared" si="144"/>
        <v>365</v>
      </c>
      <c r="Z457" s="38">
        <f t="shared" si="139"/>
        <v>46081</v>
      </c>
      <c r="AA457" s="41">
        <f t="shared" si="145"/>
        <v>264</v>
      </c>
      <c r="AB457" s="24" t="s">
        <v>125</v>
      </c>
      <c r="AC457" s="41">
        <f t="shared" si="146"/>
        <v>3874.2114000000001</v>
      </c>
      <c r="AD457" s="41">
        <v>1</v>
      </c>
      <c r="AE457" s="72">
        <f>IFERROR(INDEX(SA!$C$4:$E$11,MATCH(Details!S457,SA!$C$4:$C$11,0),MATCH(Details!V457,SA!$C$4:$E$4,0)),0)*Y457/(F457-E457+1)</f>
        <v>3283.23</v>
      </c>
      <c r="AF457" s="41">
        <f t="shared" si="147"/>
        <v>0</v>
      </c>
      <c r="AG457" s="41">
        <f t="shared" si="148"/>
        <v>0</v>
      </c>
      <c r="AH457" s="41">
        <f t="shared" si="149"/>
        <v>590.98140000000001</v>
      </c>
      <c r="AI457" s="60">
        <f t="shared" si="150"/>
        <v>131.32920000000001</v>
      </c>
      <c r="AJ457" s="60">
        <f t="shared" si="151"/>
        <v>738.72675000000004</v>
      </c>
      <c r="AK457" s="60">
        <f t="shared" si="152"/>
        <v>2374.7197808219175</v>
      </c>
      <c r="AL457" s="60">
        <f t="shared" si="153"/>
        <v>1745.4190389041094</v>
      </c>
      <c r="AM457" s="41">
        <f t="shared" si="154"/>
        <v>667.7550110958905</v>
      </c>
      <c r="AN457" s="42">
        <f t="shared" si="155"/>
        <v>45715</v>
      </c>
      <c r="AO457" s="43">
        <f t="shared" si="156"/>
        <v>3283.23</v>
      </c>
    </row>
    <row r="458" spans="1:41" s="24" customFormat="1" ht="15.75" customHeight="1" x14ac:dyDescent="0.35">
      <c r="A458" s="36" t="s">
        <v>27</v>
      </c>
      <c r="B458" s="36">
        <v>202506</v>
      </c>
      <c r="C458" s="24" t="s">
        <v>128</v>
      </c>
      <c r="D458" s="24" t="s">
        <v>129</v>
      </c>
      <c r="E458" s="62">
        <v>45818</v>
      </c>
      <c r="F458" s="62">
        <v>46182</v>
      </c>
      <c r="G458" s="37" t="s">
        <v>585</v>
      </c>
      <c r="H458" s="36">
        <v>2233</v>
      </c>
      <c r="I458" s="63">
        <v>32932</v>
      </c>
      <c r="J458" s="24" t="s">
        <v>1234</v>
      </c>
      <c r="K458" s="63">
        <f t="shared" si="140"/>
        <v>45818</v>
      </c>
      <c r="L458" s="55">
        <f t="shared" si="141"/>
        <v>0.04</v>
      </c>
      <c r="M458" s="76">
        <v>0.22500000000000001</v>
      </c>
      <c r="N458" s="62">
        <v>45818</v>
      </c>
      <c r="O458" s="62">
        <v>46182</v>
      </c>
      <c r="P458" s="63"/>
      <c r="Q458" s="63"/>
      <c r="R458" s="82">
        <v>35</v>
      </c>
      <c r="S458" s="63" t="str">
        <f>VLOOKUP(R458,SA!$B$5:$C$11,2,1)</f>
        <v>0-35</v>
      </c>
      <c r="T458" s="38" t="s">
        <v>96</v>
      </c>
      <c r="U458" s="24" t="s">
        <v>56</v>
      </c>
      <c r="V458" s="24">
        <v>300000</v>
      </c>
      <c r="W458" s="39">
        <f t="shared" si="142"/>
        <v>300000</v>
      </c>
      <c r="X458" s="29">
        <f t="shared" si="143"/>
        <v>1</v>
      </c>
      <c r="Y458" s="40">
        <f t="shared" si="144"/>
        <v>365</v>
      </c>
      <c r="Z458" s="38">
        <f t="shared" si="139"/>
        <v>46081</v>
      </c>
      <c r="AA458" s="41">
        <f t="shared" si="145"/>
        <v>264</v>
      </c>
      <c r="AB458" s="24" t="s">
        <v>125</v>
      </c>
      <c r="AC458" s="41">
        <f t="shared" si="146"/>
        <v>3874.2114000000001</v>
      </c>
      <c r="AD458" s="41">
        <v>1</v>
      </c>
      <c r="AE458" s="72">
        <f>IFERROR(INDEX(SA!$C$4:$E$11,MATCH(Details!S458,SA!$C$4:$C$11,0),MATCH(Details!V458,SA!$C$4:$E$4,0)),0)*Y458/(F458-E458+1)</f>
        <v>3283.23</v>
      </c>
      <c r="AF458" s="41">
        <f t="shared" si="147"/>
        <v>0</v>
      </c>
      <c r="AG458" s="41">
        <f t="shared" si="148"/>
        <v>0</v>
      </c>
      <c r="AH458" s="41">
        <f t="shared" si="149"/>
        <v>590.98140000000001</v>
      </c>
      <c r="AI458" s="60">
        <f t="shared" si="150"/>
        <v>131.32920000000001</v>
      </c>
      <c r="AJ458" s="60">
        <f t="shared" si="151"/>
        <v>738.72675000000004</v>
      </c>
      <c r="AK458" s="60">
        <f t="shared" si="152"/>
        <v>2374.7197808219175</v>
      </c>
      <c r="AL458" s="60">
        <f t="shared" si="153"/>
        <v>1745.4190389041094</v>
      </c>
      <c r="AM458" s="41">
        <f t="shared" si="154"/>
        <v>667.7550110958905</v>
      </c>
      <c r="AN458" s="42">
        <f t="shared" si="155"/>
        <v>45715</v>
      </c>
      <c r="AO458" s="43">
        <f t="shared" si="156"/>
        <v>3283.23</v>
      </c>
    </row>
    <row r="459" spans="1:41" s="24" customFormat="1" ht="15.75" customHeight="1" x14ac:dyDescent="0.35">
      <c r="A459" s="36" t="s">
        <v>27</v>
      </c>
      <c r="B459" s="36">
        <v>202506</v>
      </c>
      <c r="C459" s="24" t="s">
        <v>128</v>
      </c>
      <c r="D459" s="24" t="s">
        <v>129</v>
      </c>
      <c r="E459" s="62">
        <v>45818</v>
      </c>
      <c r="F459" s="62">
        <v>46182</v>
      </c>
      <c r="G459" s="37" t="s">
        <v>586</v>
      </c>
      <c r="H459" s="36">
        <v>2234</v>
      </c>
      <c r="I459" s="63">
        <v>34004</v>
      </c>
      <c r="J459" s="24" t="s">
        <v>1235</v>
      </c>
      <c r="K459" s="63">
        <f t="shared" si="140"/>
        <v>45818</v>
      </c>
      <c r="L459" s="55">
        <f t="shared" si="141"/>
        <v>0.04</v>
      </c>
      <c r="M459" s="76">
        <v>0.22500000000000001</v>
      </c>
      <c r="N459" s="62">
        <v>45818</v>
      </c>
      <c r="O459" s="62">
        <v>46182</v>
      </c>
      <c r="P459" s="63"/>
      <c r="Q459" s="63"/>
      <c r="R459" s="82">
        <v>32</v>
      </c>
      <c r="S459" s="63" t="str">
        <f>VLOOKUP(R459,SA!$B$5:$C$11,2,1)</f>
        <v>0-35</v>
      </c>
      <c r="T459" s="38" t="s">
        <v>96</v>
      </c>
      <c r="U459" s="24" t="s">
        <v>56</v>
      </c>
      <c r="V459" s="24">
        <v>300000</v>
      </c>
      <c r="W459" s="39">
        <f t="shared" si="142"/>
        <v>300000</v>
      </c>
      <c r="X459" s="29">
        <f t="shared" si="143"/>
        <v>1</v>
      </c>
      <c r="Y459" s="40">
        <f t="shared" si="144"/>
        <v>365</v>
      </c>
      <c r="Z459" s="38">
        <f t="shared" si="139"/>
        <v>46081</v>
      </c>
      <c r="AA459" s="41">
        <f t="shared" si="145"/>
        <v>264</v>
      </c>
      <c r="AB459" s="24" t="s">
        <v>125</v>
      </c>
      <c r="AC459" s="41">
        <f t="shared" si="146"/>
        <v>3874.2114000000001</v>
      </c>
      <c r="AD459" s="41">
        <v>1</v>
      </c>
      <c r="AE459" s="72">
        <f>IFERROR(INDEX(SA!$C$4:$E$11,MATCH(Details!S459,SA!$C$4:$C$11,0),MATCH(Details!V459,SA!$C$4:$E$4,0)),0)*Y459/(F459-E459+1)</f>
        <v>3283.23</v>
      </c>
      <c r="AF459" s="41">
        <f t="shared" si="147"/>
        <v>0</v>
      </c>
      <c r="AG459" s="41">
        <f t="shared" si="148"/>
        <v>0</v>
      </c>
      <c r="AH459" s="41">
        <f t="shared" si="149"/>
        <v>590.98140000000001</v>
      </c>
      <c r="AI459" s="60">
        <f t="shared" si="150"/>
        <v>131.32920000000001</v>
      </c>
      <c r="AJ459" s="60">
        <f t="shared" si="151"/>
        <v>738.72675000000004</v>
      </c>
      <c r="AK459" s="60">
        <f t="shared" si="152"/>
        <v>2374.7197808219175</v>
      </c>
      <c r="AL459" s="60">
        <f t="shared" si="153"/>
        <v>1745.4190389041094</v>
      </c>
      <c r="AM459" s="41">
        <f t="shared" si="154"/>
        <v>667.7550110958905</v>
      </c>
      <c r="AN459" s="42">
        <f t="shared" si="155"/>
        <v>45715</v>
      </c>
      <c r="AO459" s="43">
        <f t="shared" si="156"/>
        <v>3283.23</v>
      </c>
    </row>
    <row r="460" spans="1:41" s="24" customFormat="1" ht="15.75" customHeight="1" x14ac:dyDescent="0.35">
      <c r="A460" s="36" t="s">
        <v>27</v>
      </c>
      <c r="B460" s="36">
        <v>202506</v>
      </c>
      <c r="C460" s="24" t="s">
        <v>128</v>
      </c>
      <c r="D460" s="24" t="s">
        <v>129</v>
      </c>
      <c r="E460" s="62">
        <v>45818</v>
      </c>
      <c r="F460" s="62">
        <v>46182</v>
      </c>
      <c r="G460" s="37" t="s">
        <v>587</v>
      </c>
      <c r="H460" s="36">
        <v>2238</v>
      </c>
      <c r="I460" s="63">
        <v>33744</v>
      </c>
      <c r="J460" s="24" t="s">
        <v>1236</v>
      </c>
      <c r="K460" s="63">
        <f t="shared" si="140"/>
        <v>45818</v>
      </c>
      <c r="L460" s="55">
        <f t="shared" si="141"/>
        <v>0.04</v>
      </c>
      <c r="M460" s="76">
        <v>0.22500000000000001</v>
      </c>
      <c r="N460" s="62">
        <v>45818</v>
      </c>
      <c r="O460" s="62">
        <v>46182</v>
      </c>
      <c r="P460" s="63"/>
      <c r="Q460" s="63"/>
      <c r="R460" s="82">
        <v>33</v>
      </c>
      <c r="S460" s="63" t="str">
        <f>VLOOKUP(R460,SA!$B$5:$C$11,2,1)</f>
        <v>0-35</v>
      </c>
      <c r="T460" s="38" t="s">
        <v>96</v>
      </c>
      <c r="U460" s="24" t="s">
        <v>56</v>
      </c>
      <c r="V460" s="24">
        <v>300000</v>
      </c>
      <c r="W460" s="39">
        <f t="shared" si="142"/>
        <v>300000</v>
      </c>
      <c r="X460" s="29">
        <f t="shared" si="143"/>
        <v>1</v>
      </c>
      <c r="Y460" s="40">
        <f t="shared" si="144"/>
        <v>365</v>
      </c>
      <c r="Z460" s="38">
        <f t="shared" si="139"/>
        <v>46081</v>
      </c>
      <c r="AA460" s="41">
        <f t="shared" si="145"/>
        <v>264</v>
      </c>
      <c r="AB460" s="24" t="s">
        <v>125</v>
      </c>
      <c r="AC460" s="41">
        <f t="shared" si="146"/>
        <v>3874.2114000000001</v>
      </c>
      <c r="AD460" s="41">
        <v>1</v>
      </c>
      <c r="AE460" s="72">
        <f>IFERROR(INDEX(SA!$C$4:$E$11,MATCH(Details!S460,SA!$C$4:$C$11,0),MATCH(Details!V460,SA!$C$4:$E$4,0)),0)*Y460/(F460-E460+1)</f>
        <v>3283.23</v>
      </c>
      <c r="AF460" s="41">
        <f t="shared" si="147"/>
        <v>0</v>
      </c>
      <c r="AG460" s="41">
        <f t="shared" si="148"/>
        <v>0</v>
      </c>
      <c r="AH460" s="41">
        <f t="shared" si="149"/>
        <v>590.98140000000001</v>
      </c>
      <c r="AI460" s="60">
        <f t="shared" si="150"/>
        <v>131.32920000000001</v>
      </c>
      <c r="AJ460" s="60">
        <f t="shared" si="151"/>
        <v>738.72675000000004</v>
      </c>
      <c r="AK460" s="60">
        <f t="shared" si="152"/>
        <v>2374.7197808219175</v>
      </c>
      <c r="AL460" s="60">
        <f t="shared" si="153"/>
        <v>1745.4190389041094</v>
      </c>
      <c r="AM460" s="41">
        <f t="shared" si="154"/>
        <v>667.7550110958905</v>
      </c>
      <c r="AN460" s="42">
        <f t="shared" si="155"/>
        <v>45715</v>
      </c>
      <c r="AO460" s="43">
        <f t="shared" si="156"/>
        <v>3283.23</v>
      </c>
    </row>
    <row r="461" spans="1:41" s="24" customFormat="1" ht="15.75" customHeight="1" x14ac:dyDescent="0.35">
      <c r="A461" s="36" t="s">
        <v>27</v>
      </c>
      <c r="B461" s="36">
        <v>202506</v>
      </c>
      <c r="C461" s="24" t="s">
        <v>128</v>
      </c>
      <c r="D461" s="24" t="s">
        <v>129</v>
      </c>
      <c r="E461" s="62">
        <v>45818</v>
      </c>
      <c r="F461" s="62">
        <v>46182</v>
      </c>
      <c r="G461" s="37" t="s">
        <v>588</v>
      </c>
      <c r="H461" s="36">
        <v>2244</v>
      </c>
      <c r="I461" s="63">
        <v>31289</v>
      </c>
      <c r="J461" s="24" t="s">
        <v>1237</v>
      </c>
      <c r="K461" s="63">
        <f t="shared" si="140"/>
        <v>45818</v>
      </c>
      <c r="L461" s="55">
        <f t="shared" si="141"/>
        <v>0.04</v>
      </c>
      <c r="M461" s="76">
        <v>0.22500000000000001</v>
      </c>
      <c r="N461" s="62">
        <v>45818</v>
      </c>
      <c r="O461" s="62">
        <v>46182</v>
      </c>
      <c r="P461" s="63"/>
      <c r="Q461" s="63"/>
      <c r="R461" s="82">
        <v>39</v>
      </c>
      <c r="S461" s="63" t="str">
        <f>VLOOKUP(R461,SA!$B$5:$C$11,2,1)</f>
        <v>36-45</v>
      </c>
      <c r="T461" s="38" t="s">
        <v>96</v>
      </c>
      <c r="U461" s="24" t="s">
        <v>56</v>
      </c>
      <c r="V461" s="24">
        <v>300000</v>
      </c>
      <c r="W461" s="39">
        <f t="shared" si="142"/>
        <v>300000</v>
      </c>
      <c r="X461" s="29">
        <f t="shared" si="143"/>
        <v>1</v>
      </c>
      <c r="Y461" s="40">
        <f t="shared" si="144"/>
        <v>365</v>
      </c>
      <c r="Z461" s="38">
        <f t="shared" si="139"/>
        <v>46081</v>
      </c>
      <c r="AA461" s="41">
        <f t="shared" si="145"/>
        <v>264</v>
      </c>
      <c r="AB461" s="24" t="s">
        <v>125</v>
      </c>
      <c r="AC461" s="41">
        <f t="shared" si="146"/>
        <v>5017.3245999999999</v>
      </c>
      <c r="AD461" s="41">
        <v>1</v>
      </c>
      <c r="AE461" s="72">
        <f>IFERROR(INDEX(SA!$C$4:$E$11,MATCH(Details!S461,SA!$C$4:$C$11,0),MATCH(Details!V461,SA!$C$4:$E$4,0)),0)*Y461/(F461-E461+1)</f>
        <v>4251.97</v>
      </c>
      <c r="AF461" s="41">
        <f t="shared" si="147"/>
        <v>0</v>
      </c>
      <c r="AG461" s="41">
        <f t="shared" si="148"/>
        <v>0</v>
      </c>
      <c r="AH461" s="41">
        <f t="shared" si="149"/>
        <v>765.3546</v>
      </c>
      <c r="AI461" s="60">
        <f t="shared" si="150"/>
        <v>170.0788</v>
      </c>
      <c r="AJ461" s="60">
        <f t="shared" si="151"/>
        <v>956.69325000000003</v>
      </c>
      <c r="AK461" s="60">
        <f t="shared" si="152"/>
        <v>3075.397479452055</v>
      </c>
      <c r="AL461" s="60">
        <f t="shared" si="153"/>
        <v>2260.4171473972606</v>
      </c>
      <c r="AM461" s="41">
        <f t="shared" si="154"/>
        <v>864.78080260273941</v>
      </c>
      <c r="AN461" s="42">
        <f t="shared" si="155"/>
        <v>45715</v>
      </c>
      <c r="AO461" s="43">
        <f t="shared" si="156"/>
        <v>4251.97</v>
      </c>
    </row>
    <row r="462" spans="1:41" s="24" customFormat="1" ht="15.75" customHeight="1" x14ac:dyDescent="0.35">
      <c r="A462" s="36" t="s">
        <v>27</v>
      </c>
      <c r="B462" s="36">
        <v>202506</v>
      </c>
      <c r="C462" s="24" t="s">
        <v>128</v>
      </c>
      <c r="D462" s="24" t="s">
        <v>129</v>
      </c>
      <c r="E462" s="62">
        <v>45818</v>
      </c>
      <c r="F462" s="62">
        <v>46182</v>
      </c>
      <c r="G462" s="37" t="s">
        <v>589</v>
      </c>
      <c r="H462" s="36">
        <v>2244</v>
      </c>
      <c r="I462" s="63">
        <v>32359</v>
      </c>
      <c r="J462" s="24" t="s">
        <v>1238</v>
      </c>
      <c r="K462" s="63">
        <f t="shared" si="140"/>
        <v>45818</v>
      </c>
      <c r="L462" s="55">
        <f t="shared" si="141"/>
        <v>0.04</v>
      </c>
      <c r="M462" s="76">
        <v>0.22500000000000001</v>
      </c>
      <c r="N462" s="62">
        <v>45818</v>
      </c>
      <c r="O462" s="62">
        <v>46182</v>
      </c>
      <c r="P462" s="63"/>
      <c r="Q462" s="63"/>
      <c r="R462" s="82">
        <v>36</v>
      </c>
      <c r="S462" s="63" t="str">
        <f>VLOOKUP(R462,SA!$B$5:$C$11,2,1)</f>
        <v>36-45</v>
      </c>
      <c r="T462" s="38" t="s">
        <v>97</v>
      </c>
      <c r="U462" s="24" t="s">
        <v>115</v>
      </c>
      <c r="V462" s="24">
        <v>300000</v>
      </c>
      <c r="W462" s="39">
        <f t="shared" si="142"/>
        <v>0</v>
      </c>
      <c r="X462" s="29">
        <f t="shared" si="143"/>
        <v>0</v>
      </c>
      <c r="Y462" s="40">
        <f t="shared" si="144"/>
        <v>365</v>
      </c>
      <c r="Z462" s="38">
        <f t="shared" si="139"/>
        <v>46081</v>
      </c>
      <c r="AA462" s="41">
        <f t="shared" si="145"/>
        <v>264</v>
      </c>
      <c r="AB462" s="24" t="s">
        <v>125</v>
      </c>
      <c r="AC462" s="41">
        <f t="shared" si="146"/>
        <v>5017.3245999999999</v>
      </c>
      <c r="AD462" s="41">
        <v>1</v>
      </c>
      <c r="AE462" s="72">
        <f>IFERROR(INDEX(SA!$C$4:$E$11,MATCH(Details!S462,SA!$C$4:$C$11,0),MATCH(Details!V462,SA!$C$4:$E$4,0)),0)*Y462/(F462-E462+1)</f>
        <v>4251.97</v>
      </c>
      <c r="AF462" s="41">
        <f t="shared" si="147"/>
        <v>0</v>
      </c>
      <c r="AG462" s="41">
        <f t="shared" si="148"/>
        <v>0</v>
      </c>
      <c r="AH462" s="41">
        <f t="shared" si="149"/>
        <v>765.3546</v>
      </c>
      <c r="AI462" s="60">
        <f t="shared" si="150"/>
        <v>170.0788</v>
      </c>
      <c r="AJ462" s="60">
        <f t="shared" si="151"/>
        <v>956.69325000000003</v>
      </c>
      <c r="AK462" s="60">
        <f t="shared" si="152"/>
        <v>3075.397479452055</v>
      </c>
      <c r="AL462" s="60">
        <f t="shared" si="153"/>
        <v>2260.4171473972606</v>
      </c>
      <c r="AM462" s="41">
        <f t="shared" si="154"/>
        <v>864.78080260273941</v>
      </c>
      <c r="AN462" s="42">
        <f t="shared" si="155"/>
        <v>45715</v>
      </c>
      <c r="AO462" s="43">
        <f t="shared" si="156"/>
        <v>4251.97</v>
      </c>
    </row>
    <row r="463" spans="1:41" s="24" customFormat="1" ht="15.75" customHeight="1" x14ac:dyDescent="0.35">
      <c r="A463" s="36" t="s">
        <v>27</v>
      </c>
      <c r="B463" s="36">
        <v>202506</v>
      </c>
      <c r="C463" s="24" t="s">
        <v>128</v>
      </c>
      <c r="D463" s="24" t="s">
        <v>129</v>
      </c>
      <c r="E463" s="62">
        <v>45818</v>
      </c>
      <c r="F463" s="62">
        <v>46182</v>
      </c>
      <c r="G463" s="37" t="s">
        <v>590</v>
      </c>
      <c r="H463" s="36">
        <v>2244</v>
      </c>
      <c r="I463" s="63">
        <v>41165</v>
      </c>
      <c r="J463" s="24" t="s">
        <v>1239</v>
      </c>
      <c r="K463" s="63">
        <f t="shared" si="140"/>
        <v>45818</v>
      </c>
      <c r="L463" s="55">
        <f t="shared" si="141"/>
        <v>0.04</v>
      </c>
      <c r="M463" s="76">
        <v>0.22500000000000001</v>
      </c>
      <c r="N463" s="62">
        <v>45818</v>
      </c>
      <c r="O463" s="62">
        <v>46182</v>
      </c>
      <c r="P463" s="63"/>
      <c r="Q463" s="63"/>
      <c r="R463" s="82">
        <v>12</v>
      </c>
      <c r="S463" s="63" t="str">
        <f>VLOOKUP(R463,SA!$B$5:$C$11,2,1)</f>
        <v>0-35</v>
      </c>
      <c r="T463" s="38" t="s">
        <v>96</v>
      </c>
      <c r="U463" s="24" t="s">
        <v>114</v>
      </c>
      <c r="V463" s="24">
        <v>300000</v>
      </c>
      <c r="W463" s="39">
        <f t="shared" si="142"/>
        <v>0</v>
      </c>
      <c r="X463" s="29">
        <f t="shared" si="143"/>
        <v>0</v>
      </c>
      <c r="Y463" s="40">
        <f t="shared" si="144"/>
        <v>365</v>
      </c>
      <c r="Z463" s="38">
        <f t="shared" si="139"/>
        <v>46081</v>
      </c>
      <c r="AA463" s="41">
        <f t="shared" si="145"/>
        <v>264</v>
      </c>
      <c r="AB463" s="24" t="s">
        <v>125</v>
      </c>
      <c r="AC463" s="41">
        <f t="shared" si="146"/>
        <v>3874.2114000000001</v>
      </c>
      <c r="AD463" s="41">
        <v>1</v>
      </c>
      <c r="AE463" s="72">
        <f>IFERROR(INDEX(SA!$C$4:$E$11,MATCH(Details!S463,SA!$C$4:$C$11,0),MATCH(Details!V463,SA!$C$4:$E$4,0)),0)*Y463/(F463-E463+1)</f>
        <v>3283.23</v>
      </c>
      <c r="AF463" s="41">
        <f t="shared" si="147"/>
        <v>0</v>
      </c>
      <c r="AG463" s="41">
        <f t="shared" si="148"/>
        <v>0</v>
      </c>
      <c r="AH463" s="41">
        <f t="shared" si="149"/>
        <v>590.98140000000001</v>
      </c>
      <c r="AI463" s="60">
        <f t="shared" si="150"/>
        <v>131.32920000000001</v>
      </c>
      <c r="AJ463" s="60">
        <f t="shared" si="151"/>
        <v>738.72675000000004</v>
      </c>
      <c r="AK463" s="60">
        <f t="shared" si="152"/>
        <v>2374.7197808219175</v>
      </c>
      <c r="AL463" s="60">
        <f t="shared" si="153"/>
        <v>1745.4190389041094</v>
      </c>
      <c r="AM463" s="41">
        <f t="shared" si="154"/>
        <v>667.7550110958905</v>
      </c>
      <c r="AN463" s="42">
        <f t="shared" si="155"/>
        <v>45715</v>
      </c>
      <c r="AO463" s="43">
        <f t="shared" si="156"/>
        <v>3283.23</v>
      </c>
    </row>
    <row r="464" spans="1:41" s="24" customFormat="1" ht="15.75" customHeight="1" x14ac:dyDescent="0.35">
      <c r="A464" s="36" t="s">
        <v>27</v>
      </c>
      <c r="B464" s="36">
        <v>202506</v>
      </c>
      <c r="C464" s="24" t="s">
        <v>128</v>
      </c>
      <c r="D464" s="24" t="s">
        <v>129</v>
      </c>
      <c r="E464" s="62">
        <v>45818</v>
      </c>
      <c r="F464" s="62">
        <v>46182</v>
      </c>
      <c r="G464" s="37" t="s">
        <v>591</v>
      </c>
      <c r="H464" s="36">
        <v>2244</v>
      </c>
      <c r="I464" s="63">
        <v>42733</v>
      </c>
      <c r="J464" s="24" t="s">
        <v>1240</v>
      </c>
      <c r="K464" s="63">
        <f t="shared" si="140"/>
        <v>45818</v>
      </c>
      <c r="L464" s="55">
        <f t="shared" si="141"/>
        <v>0.04</v>
      </c>
      <c r="M464" s="76">
        <v>0.22500000000000001</v>
      </c>
      <c r="N464" s="62">
        <v>45818</v>
      </c>
      <c r="O464" s="62">
        <v>46182</v>
      </c>
      <c r="P464" s="63"/>
      <c r="Q464" s="63"/>
      <c r="R464" s="82">
        <v>8</v>
      </c>
      <c r="S464" s="63" t="str">
        <f>VLOOKUP(R464,SA!$B$5:$C$11,2,1)</f>
        <v>0-35</v>
      </c>
      <c r="T464" s="38" t="s">
        <v>96</v>
      </c>
      <c r="U464" s="24" t="s">
        <v>114</v>
      </c>
      <c r="V464" s="24">
        <v>300000</v>
      </c>
      <c r="W464" s="39">
        <f t="shared" si="142"/>
        <v>0</v>
      </c>
      <c r="X464" s="29">
        <f t="shared" si="143"/>
        <v>0</v>
      </c>
      <c r="Y464" s="40">
        <f t="shared" si="144"/>
        <v>365</v>
      </c>
      <c r="Z464" s="38">
        <f t="shared" si="139"/>
        <v>46081</v>
      </c>
      <c r="AA464" s="41">
        <f t="shared" si="145"/>
        <v>264</v>
      </c>
      <c r="AB464" s="24" t="s">
        <v>125</v>
      </c>
      <c r="AC464" s="41">
        <f t="shared" si="146"/>
        <v>3874.2114000000001</v>
      </c>
      <c r="AD464" s="41">
        <v>1</v>
      </c>
      <c r="AE464" s="72">
        <f>IFERROR(INDEX(SA!$C$4:$E$11,MATCH(Details!S464,SA!$C$4:$C$11,0),MATCH(Details!V464,SA!$C$4:$E$4,0)),0)*Y464/(F464-E464+1)</f>
        <v>3283.23</v>
      </c>
      <c r="AF464" s="41">
        <f t="shared" si="147"/>
        <v>0</v>
      </c>
      <c r="AG464" s="41">
        <f t="shared" si="148"/>
        <v>0</v>
      </c>
      <c r="AH464" s="41">
        <f t="shared" si="149"/>
        <v>590.98140000000001</v>
      </c>
      <c r="AI464" s="60">
        <f t="shared" si="150"/>
        <v>131.32920000000001</v>
      </c>
      <c r="AJ464" s="60">
        <f t="shared" si="151"/>
        <v>738.72675000000004</v>
      </c>
      <c r="AK464" s="60">
        <f t="shared" si="152"/>
        <v>2374.7197808219175</v>
      </c>
      <c r="AL464" s="60">
        <f t="shared" si="153"/>
        <v>1745.4190389041094</v>
      </c>
      <c r="AM464" s="41">
        <f t="shared" si="154"/>
        <v>667.7550110958905</v>
      </c>
      <c r="AN464" s="42">
        <f t="shared" si="155"/>
        <v>45715</v>
      </c>
      <c r="AO464" s="43">
        <f t="shared" si="156"/>
        <v>3283.23</v>
      </c>
    </row>
    <row r="465" spans="1:41" s="24" customFormat="1" ht="15.75" customHeight="1" x14ac:dyDescent="0.35">
      <c r="A465" s="36" t="s">
        <v>27</v>
      </c>
      <c r="B465" s="36">
        <v>202506</v>
      </c>
      <c r="C465" s="24" t="s">
        <v>128</v>
      </c>
      <c r="D465" s="24" t="s">
        <v>129</v>
      </c>
      <c r="E465" s="62">
        <v>45818</v>
      </c>
      <c r="F465" s="62">
        <v>46182</v>
      </c>
      <c r="G465" s="37" t="s">
        <v>592</v>
      </c>
      <c r="H465" s="36">
        <v>2245</v>
      </c>
      <c r="I465" s="63">
        <v>36753</v>
      </c>
      <c r="J465" s="24" t="s">
        <v>1241</v>
      </c>
      <c r="K465" s="63">
        <f t="shared" si="140"/>
        <v>45818</v>
      </c>
      <c r="L465" s="55">
        <f t="shared" si="141"/>
        <v>0.04</v>
      </c>
      <c r="M465" s="76">
        <v>0.22500000000000001</v>
      </c>
      <c r="N465" s="62">
        <v>45818</v>
      </c>
      <c r="O465" s="62">
        <v>46182</v>
      </c>
      <c r="P465" s="63"/>
      <c r="Q465" s="63"/>
      <c r="R465" s="82">
        <v>24</v>
      </c>
      <c r="S465" s="63" t="str">
        <f>VLOOKUP(R465,SA!$B$5:$C$11,2,1)</f>
        <v>0-35</v>
      </c>
      <c r="T465" s="38" t="s">
        <v>96</v>
      </c>
      <c r="U465" s="24" t="s">
        <v>56</v>
      </c>
      <c r="V465" s="24">
        <v>300000</v>
      </c>
      <c r="W465" s="39">
        <f t="shared" si="142"/>
        <v>300000</v>
      </c>
      <c r="X465" s="29">
        <f t="shared" si="143"/>
        <v>1</v>
      </c>
      <c r="Y465" s="40">
        <f t="shared" si="144"/>
        <v>365</v>
      </c>
      <c r="Z465" s="38">
        <f t="shared" si="139"/>
        <v>46081</v>
      </c>
      <c r="AA465" s="41">
        <f t="shared" si="145"/>
        <v>264</v>
      </c>
      <c r="AB465" s="24" t="s">
        <v>125</v>
      </c>
      <c r="AC465" s="41">
        <f t="shared" si="146"/>
        <v>3874.2114000000001</v>
      </c>
      <c r="AD465" s="41">
        <v>1</v>
      </c>
      <c r="AE465" s="72">
        <f>IFERROR(INDEX(SA!$C$4:$E$11,MATCH(Details!S465,SA!$C$4:$C$11,0),MATCH(Details!V465,SA!$C$4:$E$4,0)),0)*Y465/(F465-E465+1)</f>
        <v>3283.23</v>
      </c>
      <c r="AF465" s="41">
        <f t="shared" si="147"/>
        <v>0</v>
      </c>
      <c r="AG465" s="41">
        <f t="shared" si="148"/>
        <v>0</v>
      </c>
      <c r="AH465" s="41">
        <f t="shared" si="149"/>
        <v>590.98140000000001</v>
      </c>
      <c r="AI465" s="60">
        <f t="shared" si="150"/>
        <v>131.32920000000001</v>
      </c>
      <c r="AJ465" s="60">
        <f t="shared" si="151"/>
        <v>738.72675000000004</v>
      </c>
      <c r="AK465" s="60">
        <f t="shared" si="152"/>
        <v>2374.7197808219175</v>
      </c>
      <c r="AL465" s="60">
        <f t="shared" si="153"/>
        <v>1745.4190389041094</v>
      </c>
      <c r="AM465" s="41">
        <f t="shared" si="154"/>
        <v>667.7550110958905</v>
      </c>
      <c r="AN465" s="42">
        <f t="shared" si="155"/>
        <v>45715</v>
      </c>
      <c r="AO465" s="43">
        <f t="shared" si="156"/>
        <v>3283.23</v>
      </c>
    </row>
    <row r="466" spans="1:41" s="24" customFormat="1" ht="15.75" customHeight="1" x14ac:dyDescent="0.35">
      <c r="A466" s="36" t="s">
        <v>27</v>
      </c>
      <c r="B466" s="36">
        <v>202506</v>
      </c>
      <c r="C466" s="24" t="s">
        <v>128</v>
      </c>
      <c r="D466" s="24" t="s">
        <v>129</v>
      </c>
      <c r="E466" s="62">
        <v>45818</v>
      </c>
      <c r="F466" s="62">
        <v>46182</v>
      </c>
      <c r="G466" s="37" t="s">
        <v>593</v>
      </c>
      <c r="H466" s="36">
        <v>2246</v>
      </c>
      <c r="I466" s="63">
        <v>34897</v>
      </c>
      <c r="J466" s="24" t="s">
        <v>1242</v>
      </c>
      <c r="K466" s="63">
        <f t="shared" si="140"/>
        <v>45818</v>
      </c>
      <c r="L466" s="55">
        <f t="shared" si="141"/>
        <v>0.04</v>
      </c>
      <c r="M466" s="76">
        <v>0.22500000000000001</v>
      </c>
      <c r="N466" s="62">
        <v>45818</v>
      </c>
      <c r="O466" s="62">
        <v>46182</v>
      </c>
      <c r="P466" s="63"/>
      <c r="Q466" s="63"/>
      <c r="R466" s="82">
        <v>29</v>
      </c>
      <c r="S466" s="63" t="str">
        <f>VLOOKUP(R466,SA!$B$5:$C$11,2,1)</f>
        <v>0-35</v>
      </c>
      <c r="T466" s="38" t="s">
        <v>96</v>
      </c>
      <c r="U466" s="24" t="s">
        <v>56</v>
      </c>
      <c r="V466" s="24">
        <v>300000</v>
      </c>
      <c r="W466" s="39">
        <f t="shared" si="142"/>
        <v>300000</v>
      </c>
      <c r="X466" s="29">
        <f t="shared" si="143"/>
        <v>1</v>
      </c>
      <c r="Y466" s="40">
        <f t="shared" si="144"/>
        <v>365</v>
      </c>
      <c r="Z466" s="38">
        <f t="shared" si="139"/>
        <v>46081</v>
      </c>
      <c r="AA466" s="41">
        <f t="shared" si="145"/>
        <v>264</v>
      </c>
      <c r="AB466" s="24" t="s">
        <v>125</v>
      </c>
      <c r="AC466" s="41">
        <f t="shared" si="146"/>
        <v>3874.2114000000001</v>
      </c>
      <c r="AD466" s="41">
        <v>1</v>
      </c>
      <c r="AE466" s="72">
        <f>IFERROR(INDEX(SA!$C$4:$E$11,MATCH(Details!S466,SA!$C$4:$C$11,0),MATCH(Details!V466,SA!$C$4:$E$4,0)),0)*Y466/(F466-E466+1)</f>
        <v>3283.23</v>
      </c>
      <c r="AF466" s="41">
        <f t="shared" si="147"/>
        <v>0</v>
      </c>
      <c r="AG466" s="41">
        <f t="shared" si="148"/>
        <v>0</v>
      </c>
      <c r="AH466" s="41">
        <f t="shared" si="149"/>
        <v>590.98140000000001</v>
      </c>
      <c r="AI466" s="60">
        <f t="shared" si="150"/>
        <v>131.32920000000001</v>
      </c>
      <c r="AJ466" s="60">
        <f t="shared" si="151"/>
        <v>738.72675000000004</v>
      </c>
      <c r="AK466" s="60">
        <f t="shared" si="152"/>
        <v>2374.7197808219175</v>
      </c>
      <c r="AL466" s="60">
        <f t="shared" si="153"/>
        <v>1745.4190389041094</v>
      </c>
      <c r="AM466" s="41">
        <f t="shared" si="154"/>
        <v>667.7550110958905</v>
      </c>
      <c r="AN466" s="42">
        <f t="shared" si="155"/>
        <v>45715</v>
      </c>
      <c r="AO466" s="43">
        <f t="shared" si="156"/>
        <v>3283.23</v>
      </c>
    </row>
    <row r="467" spans="1:41" s="24" customFormat="1" ht="15.75" customHeight="1" x14ac:dyDescent="0.35">
      <c r="A467" s="36" t="s">
        <v>27</v>
      </c>
      <c r="B467" s="36">
        <v>202506</v>
      </c>
      <c r="C467" s="24" t="s">
        <v>128</v>
      </c>
      <c r="D467" s="24" t="s">
        <v>129</v>
      </c>
      <c r="E467" s="62">
        <v>45818</v>
      </c>
      <c r="F467" s="62">
        <v>46182</v>
      </c>
      <c r="G467" s="37" t="s">
        <v>594</v>
      </c>
      <c r="H467" s="36">
        <v>2247</v>
      </c>
      <c r="I467" s="63">
        <v>33166</v>
      </c>
      <c r="J467" s="24" t="s">
        <v>1243</v>
      </c>
      <c r="K467" s="63">
        <f t="shared" si="140"/>
        <v>45818</v>
      </c>
      <c r="L467" s="55">
        <f t="shared" si="141"/>
        <v>0.04</v>
      </c>
      <c r="M467" s="76">
        <v>0.22500000000000001</v>
      </c>
      <c r="N467" s="62">
        <v>45818</v>
      </c>
      <c r="O467" s="62">
        <v>46182</v>
      </c>
      <c r="P467" s="63"/>
      <c r="Q467" s="63"/>
      <c r="R467" s="82">
        <v>34</v>
      </c>
      <c r="S467" s="63" t="str">
        <f>VLOOKUP(R467,SA!$B$5:$C$11,2,1)</f>
        <v>0-35</v>
      </c>
      <c r="T467" s="38" t="s">
        <v>96</v>
      </c>
      <c r="U467" s="24" t="s">
        <v>56</v>
      </c>
      <c r="V467" s="24">
        <v>300000</v>
      </c>
      <c r="W467" s="39">
        <f t="shared" si="142"/>
        <v>300000</v>
      </c>
      <c r="X467" s="29">
        <f t="shared" si="143"/>
        <v>1</v>
      </c>
      <c r="Y467" s="40">
        <f t="shared" si="144"/>
        <v>365</v>
      </c>
      <c r="Z467" s="38">
        <f t="shared" si="139"/>
        <v>46081</v>
      </c>
      <c r="AA467" s="41">
        <f t="shared" si="145"/>
        <v>264</v>
      </c>
      <c r="AB467" s="24" t="s">
        <v>125</v>
      </c>
      <c r="AC467" s="41">
        <f t="shared" si="146"/>
        <v>3874.2114000000001</v>
      </c>
      <c r="AD467" s="41">
        <v>1</v>
      </c>
      <c r="AE467" s="72">
        <f>IFERROR(INDEX(SA!$C$4:$E$11,MATCH(Details!S467,SA!$C$4:$C$11,0),MATCH(Details!V467,SA!$C$4:$E$4,0)),0)*Y467/(F467-E467+1)</f>
        <v>3283.23</v>
      </c>
      <c r="AF467" s="41">
        <f t="shared" si="147"/>
        <v>0</v>
      </c>
      <c r="AG467" s="41">
        <f t="shared" si="148"/>
        <v>0</v>
      </c>
      <c r="AH467" s="41">
        <f t="shared" si="149"/>
        <v>590.98140000000001</v>
      </c>
      <c r="AI467" s="60">
        <f t="shared" si="150"/>
        <v>131.32920000000001</v>
      </c>
      <c r="AJ467" s="60">
        <f t="shared" si="151"/>
        <v>738.72675000000004</v>
      </c>
      <c r="AK467" s="60">
        <f t="shared" si="152"/>
        <v>2374.7197808219175</v>
      </c>
      <c r="AL467" s="60">
        <f t="shared" si="153"/>
        <v>1745.4190389041094</v>
      </c>
      <c r="AM467" s="41">
        <f t="shared" si="154"/>
        <v>667.7550110958905</v>
      </c>
      <c r="AN467" s="42">
        <f t="shared" si="155"/>
        <v>45715</v>
      </c>
      <c r="AO467" s="43">
        <f t="shared" si="156"/>
        <v>3283.23</v>
      </c>
    </row>
    <row r="468" spans="1:41" s="24" customFormat="1" ht="15.75" customHeight="1" x14ac:dyDescent="0.35">
      <c r="A468" s="36" t="s">
        <v>27</v>
      </c>
      <c r="B468" s="36">
        <v>202506</v>
      </c>
      <c r="C468" s="24" t="s">
        <v>128</v>
      </c>
      <c r="D468" s="24" t="s">
        <v>129</v>
      </c>
      <c r="E468" s="62">
        <v>45818</v>
      </c>
      <c r="F468" s="62">
        <v>46182</v>
      </c>
      <c r="G468" s="37" t="s">
        <v>141</v>
      </c>
      <c r="H468" s="36">
        <v>2247</v>
      </c>
      <c r="I468" s="63">
        <v>43236</v>
      </c>
      <c r="J468" s="24" t="s">
        <v>1244</v>
      </c>
      <c r="K468" s="63">
        <f t="shared" si="140"/>
        <v>45818</v>
      </c>
      <c r="L468" s="55">
        <f t="shared" si="141"/>
        <v>0.04</v>
      </c>
      <c r="M468" s="76">
        <v>0.22500000000000001</v>
      </c>
      <c r="N468" s="62">
        <v>45818</v>
      </c>
      <c r="O468" s="62">
        <v>46182</v>
      </c>
      <c r="P468" s="63"/>
      <c r="Q468" s="63"/>
      <c r="R468" s="82">
        <v>7</v>
      </c>
      <c r="S468" s="63" t="str">
        <f>VLOOKUP(R468,SA!$B$5:$C$11,2,1)</f>
        <v>0-35</v>
      </c>
      <c r="T468" s="38" t="s">
        <v>96</v>
      </c>
      <c r="U468" s="24" t="s">
        <v>114</v>
      </c>
      <c r="V468" s="24">
        <v>300000</v>
      </c>
      <c r="W468" s="39">
        <f t="shared" si="142"/>
        <v>0</v>
      </c>
      <c r="X468" s="29">
        <f t="shared" si="143"/>
        <v>0</v>
      </c>
      <c r="Y468" s="40">
        <f t="shared" si="144"/>
        <v>365</v>
      </c>
      <c r="Z468" s="38">
        <f t="shared" si="139"/>
        <v>46081</v>
      </c>
      <c r="AA468" s="41">
        <f t="shared" si="145"/>
        <v>264</v>
      </c>
      <c r="AB468" s="24" t="s">
        <v>125</v>
      </c>
      <c r="AC468" s="41">
        <f t="shared" si="146"/>
        <v>3874.2114000000001</v>
      </c>
      <c r="AD468" s="41">
        <v>1</v>
      </c>
      <c r="AE468" s="72">
        <f>IFERROR(INDEX(SA!$C$4:$E$11,MATCH(Details!S468,SA!$C$4:$C$11,0),MATCH(Details!V468,SA!$C$4:$E$4,0)),0)*Y468/(F468-E468+1)</f>
        <v>3283.23</v>
      </c>
      <c r="AF468" s="41">
        <f t="shared" si="147"/>
        <v>0</v>
      </c>
      <c r="AG468" s="41">
        <f t="shared" si="148"/>
        <v>0</v>
      </c>
      <c r="AH468" s="41">
        <f t="shared" si="149"/>
        <v>590.98140000000001</v>
      </c>
      <c r="AI468" s="60">
        <f t="shared" si="150"/>
        <v>131.32920000000001</v>
      </c>
      <c r="AJ468" s="60">
        <f t="shared" si="151"/>
        <v>738.72675000000004</v>
      </c>
      <c r="AK468" s="60">
        <f t="shared" si="152"/>
        <v>2374.7197808219175</v>
      </c>
      <c r="AL468" s="60">
        <f t="shared" si="153"/>
        <v>1745.4190389041094</v>
      </c>
      <c r="AM468" s="41">
        <f t="shared" si="154"/>
        <v>667.7550110958905</v>
      </c>
      <c r="AN468" s="42">
        <f t="shared" si="155"/>
        <v>45715</v>
      </c>
      <c r="AO468" s="43">
        <f t="shared" si="156"/>
        <v>3283.23</v>
      </c>
    </row>
    <row r="469" spans="1:41" s="24" customFormat="1" ht="15.75" customHeight="1" x14ac:dyDescent="0.35">
      <c r="A469" s="36" t="s">
        <v>27</v>
      </c>
      <c r="B469" s="36">
        <v>202506</v>
      </c>
      <c r="C469" s="24" t="s">
        <v>128</v>
      </c>
      <c r="D469" s="24" t="s">
        <v>129</v>
      </c>
      <c r="E469" s="62">
        <v>45818</v>
      </c>
      <c r="F469" s="62">
        <v>46182</v>
      </c>
      <c r="G469" s="37" t="s">
        <v>595</v>
      </c>
      <c r="H469" s="36">
        <v>2247</v>
      </c>
      <c r="I469" s="63">
        <v>35560</v>
      </c>
      <c r="J469" s="24" t="s">
        <v>1245</v>
      </c>
      <c r="K469" s="63">
        <f t="shared" si="140"/>
        <v>45818</v>
      </c>
      <c r="L469" s="55">
        <f t="shared" si="141"/>
        <v>0.04</v>
      </c>
      <c r="M469" s="76">
        <v>0.22500000000000001</v>
      </c>
      <c r="N469" s="62">
        <v>45818</v>
      </c>
      <c r="O469" s="62">
        <v>46182</v>
      </c>
      <c r="P469" s="63"/>
      <c r="Q469" s="63"/>
      <c r="R469" s="82">
        <v>28</v>
      </c>
      <c r="S469" s="63" t="str">
        <f>VLOOKUP(R469,SA!$B$5:$C$11,2,1)</f>
        <v>0-35</v>
      </c>
      <c r="T469" s="38" t="s">
        <v>97</v>
      </c>
      <c r="U469" s="24" t="s">
        <v>115</v>
      </c>
      <c r="V469" s="24">
        <v>300000</v>
      </c>
      <c r="W469" s="39">
        <f t="shared" si="142"/>
        <v>0</v>
      </c>
      <c r="X469" s="29">
        <f t="shared" si="143"/>
        <v>0</v>
      </c>
      <c r="Y469" s="40">
        <f t="shared" si="144"/>
        <v>365</v>
      </c>
      <c r="Z469" s="38">
        <f t="shared" si="139"/>
        <v>46081</v>
      </c>
      <c r="AA469" s="41">
        <f t="shared" si="145"/>
        <v>264</v>
      </c>
      <c r="AB469" s="24" t="s">
        <v>125</v>
      </c>
      <c r="AC469" s="41">
        <f t="shared" si="146"/>
        <v>3874.2114000000001</v>
      </c>
      <c r="AD469" s="41">
        <v>1</v>
      </c>
      <c r="AE469" s="72">
        <f>IFERROR(INDEX(SA!$C$4:$E$11,MATCH(Details!S469,SA!$C$4:$C$11,0),MATCH(Details!V469,SA!$C$4:$E$4,0)),0)*Y469/(F469-E469+1)</f>
        <v>3283.23</v>
      </c>
      <c r="AF469" s="41">
        <f t="shared" si="147"/>
        <v>0</v>
      </c>
      <c r="AG469" s="41">
        <f t="shared" si="148"/>
        <v>0</v>
      </c>
      <c r="AH469" s="41">
        <f t="shared" si="149"/>
        <v>590.98140000000001</v>
      </c>
      <c r="AI469" s="60">
        <f t="shared" si="150"/>
        <v>131.32920000000001</v>
      </c>
      <c r="AJ469" s="60">
        <f t="shared" si="151"/>
        <v>738.72675000000004</v>
      </c>
      <c r="AK469" s="60">
        <f t="shared" si="152"/>
        <v>2374.7197808219175</v>
      </c>
      <c r="AL469" s="60">
        <f t="shared" si="153"/>
        <v>1745.4190389041094</v>
      </c>
      <c r="AM469" s="41">
        <f t="shared" si="154"/>
        <v>667.7550110958905</v>
      </c>
      <c r="AN469" s="42">
        <f t="shared" si="155"/>
        <v>45715</v>
      </c>
      <c r="AO469" s="43">
        <f t="shared" si="156"/>
        <v>3283.23</v>
      </c>
    </row>
    <row r="470" spans="1:41" s="24" customFormat="1" ht="15.75" customHeight="1" x14ac:dyDescent="0.35">
      <c r="A470" s="36" t="s">
        <v>27</v>
      </c>
      <c r="B470" s="36">
        <v>202506</v>
      </c>
      <c r="C470" s="24" t="s">
        <v>128</v>
      </c>
      <c r="D470" s="24" t="s">
        <v>129</v>
      </c>
      <c r="E470" s="62">
        <v>45818</v>
      </c>
      <c r="F470" s="62">
        <v>46182</v>
      </c>
      <c r="G470" s="37" t="s">
        <v>596</v>
      </c>
      <c r="H470" s="36">
        <v>2247</v>
      </c>
      <c r="I470" s="63">
        <v>45377</v>
      </c>
      <c r="J470" s="24" t="s">
        <v>1246</v>
      </c>
      <c r="K470" s="63">
        <f t="shared" si="140"/>
        <v>45818</v>
      </c>
      <c r="L470" s="55">
        <f t="shared" si="141"/>
        <v>0.04</v>
      </c>
      <c r="M470" s="76">
        <v>0.22500000000000001</v>
      </c>
      <c r="N470" s="62">
        <v>45818</v>
      </c>
      <c r="O470" s="62">
        <v>46182</v>
      </c>
      <c r="P470" s="63"/>
      <c r="Q470" s="63"/>
      <c r="R470" s="82">
        <v>1</v>
      </c>
      <c r="S470" s="63" t="str">
        <f>VLOOKUP(R470,SA!$B$5:$C$11,2,1)</f>
        <v>0-35</v>
      </c>
      <c r="T470" s="38" t="s">
        <v>96</v>
      </c>
      <c r="U470" s="24" t="s">
        <v>114</v>
      </c>
      <c r="V470" s="24">
        <v>300000</v>
      </c>
      <c r="W470" s="39">
        <f t="shared" si="142"/>
        <v>0</v>
      </c>
      <c r="X470" s="29">
        <f t="shared" si="143"/>
        <v>0</v>
      </c>
      <c r="Y470" s="40">
        <f t="shared" si="144"/>
        <v>365</v>
      </c>
      <c r="Z470" s="38">
        <f t="shared" si="139"/>
        <v>46081</v>
      </c>
      <c r="AA470" s="41">
        <f t="shared" si="145"/>
        <v>264</v>
      </c>
      <c r="AB470" s="24" t="s">
        <v>125</v>
      </c>
      <c r="AC470" s="41">
        <f t="shared" si="146"/>
        <v>3874.2114000000001</v>
      </c>
      <c r="AD470" s="41">
        <v>1</v>
      </c>
      <c r="AE470" s="72">
        <f>IFERROR(INDEX(SA!$C$4:$E$11,MATCH(Details!S470,SA!$C$4:$C$11,0),MATCH(Details!V470,SA!$C$4:$E$4,0)),0)*Y470/(F470-E470+1)</f>
        <v>3283.23</v>
      </c>
      <c r="AF470" s="41">
        <f t="shared" si="147"/>
        <v>0</v>
      </c>
      <c r="AG470" s="41">
        <f t="shared" si="148"/>
        <v>0</v>
      </c>
      <c r="AH470" s="41">
        <f t="shared" si="149"/>
        <v>590.98140000000001</v>
      </c>
      <c r="AI470" s="60">
        <f t="shared" si="150"/>
        <v>131.32920000000001</v>
      </c>
      <c r="AJ470" s="60">
        <f t="shared" si="151"/>
        <v>738.72675000000004</v>
      </c>
      <c r="AK470" s="60">
        <f t="shared" si="152"/>
        <v>2374.7197808219175</v>
      </c>
      <c r="AL470" s="60">
        <f t="shared" si="153"/>
        <v>1745.4190389041094</v>
      </c>
      <c r="AM470" s="41">
        <f t="shared" si="154"/>
        <v>667.7550110958905</v>
      </c>
      <c r="AN470" s="42">
        <f t="shared" si="155"/>
        <v>45715</v>
      </c>
      <c r="AO470" s="43">
        <f t="shared" si="156"/>
        <v>3283.23</v>
      </c>
    </row>
    <row r="471" spans="1:41" s="24" customFormat="1" ht="15.75" customHeight="1" x14ac:dyDescent="0.35">
      <c r="A471" s="36" t="s">
        <v>27</v>
      </c>
      <c r="B471" s="36">
        <v>202506</v>
      </c>
      <c r="C471" s="24" t="s">
        <v>128</v>
      </c>
      <c r="D471" s="24" t="s">
        <v>129</v>
      </c>
      <c r="E471" s="62">
        <v>45818</v>
      </c>
      <c r="F471" s="62">
        <v>46182</v>
      </c>
      <c r="G471" s="37" t="s">
        <v>597</v>
      </c>
      <c r="H471" s="36">
        <v>2249</v>
      </c>
      <c r="I471" s="63">
        <v>36013</v>
      </c>
      <c r="J471" s="24" t="s">
        <v>1247</v>
      </c>
      <c r="K471" s="63">
        <f t="shared" si="140"/>
        <v>45818</v>
      </c>
      <c r="L471" s="55">
        <f t="shared" si="141"/>
        <v>0.04</v>
      </c>
      <c r="M471" s="76">
        <v>0.22500000000000001</v>
      </c>
      <c r="N471" s="62">
        <v>45818</v>
      </c>
      <c r="O471" s="62">
        <v>46182</v>
      </c>
      <c r="P471" s="63"/>
      <c r="Q471" s="63"/>
      <c r="R471" s="82">
        <v>26</v>
      </c>
      <c r="S471" s="63" t="str">
        <f>VLOOKUP(R471,SA!$B$5:$C$11,2,1)</f>
        <v>0-35</v>
      </c>
      <c r="T471" s="38" t="s">
        <v>96</v>
      </c>
      <c r="U471" s="24" t="s">
        <v>56</v>
      </c>
      <c r="V471" s="24">
        <v>300000</v>
      </c>
      <c r="W471" s="39">
        <f t="shared" si="142"/>
        <v>300000</v>
      </c>
      <c r="X471" s="29">
        <f t="shared" si="143"/>
        <v>1</v>
      </c>
      <c r="Y471" s="40">
        <f t="shared" si="144"/>
        <v>365</v>
      </c>
      <c r="Z471" s="38">
        <f t="shared" si="139"/>
        <v>46081</v>
      </c>
      <c r="AA471" s="41">
        <f t="shared" si="145"/>
        <v>264</v>
      </c>
      <c r="AB471" s="24" t="s">
        <v>125</v>
      </c>
      <c r="AC471" s="41">
        <f t="shared" si="146"/>
        <v>3874.2114000000001</v>
      </c>
      <c r="AD471" s="41">
        <v>1</v>
      </c>
      <c r="AE471" s="72">
        <f>IFERROR(INDEX(SA!$C$4:$E$11,MATCH(Details!S471,SA!$C$4:$C$11,0),MATCH(Details!V471,SA!$C$4:$E$4,0)),0)*Y471/(F471-E471+1)</f>
        <v>3283.23</v>
      </c>
      <c r="AF471" s="41">
        <f t="shared" si="147"/>
        <v>0</v>
      </c>
      <c r="AG471" s="41">
        <f t="shared" si="148"/>
        <v>0</v>
      </c>
      <c r="AH471" s="41">
        <f t="shared" si="149"/>
        <v>590.98140000000001</v>
      </c>
      <c r="AI471" s="60">
        <f t="shared" si="150"/>
        <v>131.32920000000001</v>
      </c>
      <c r="AJ471" s="60">
        <f t="shared" si="151"/>
        <v>738.72675000000004</v>
      </c>
      <c r="AK471" s="60">
        <f t="shared" si="152"/>
        <v>2374.7197808219175</v>
      </c>
      <c r="AL471" s="60">
        <f t="shared" si="153"/>
        <v>1745.4190389041094</v>
      </c>
      <c r="AM471" s="41">
        <f t="shared" si="154"/>
        <v>667.7550110958905</v>
      </c>
      <c r="AN471" s="42">
        <f t="shared" si="155"/>
        <v>45715</v>
      </c>
      <c r="AO471" s="43">
        <f t="shared" si="156"/>
        <v>3283.23</v>
      </c>
    </row>
    <row r="472" spans="1:41" s="24" customFormat="1" ht="15.75" customHeight="1" x14ac:dyDescent="0.35">
      <c r="A472" s="36" t="s">
        <v>27</v>
      </c>
      <c r="B472" s="36">
        <v>202506</v>
      </c>
      <c r="C472" s="24" t="s">
        <v>128</v>
      </c>
      <c r="D472" s="24" t="s">
        <v>129</v>
      </c>
      <c r="E472" s="62">
        <v>45818</v>
      </c>
      <c r="F472" s="62">
        <v>46182</v>
      </c>
      <c r="G472" s="37" t="s">
        <v>598</v>
      </c>
      <c r="H472" s="36">
        <v>2254</v>
      </c>
      <c r="I472" s="63">
        <v>36114</v>
      </c>
      <c r="J472" s="24" t="s">
        <v>1248</v>
      </c>
      <c r="K472" s="63">
        <f t="shared" si="140"/>
        <v>45818</v>
      </c>
      <c r="L472" s="55">
        <f t="shared" si="141"/>
        <v>0.04</v>
      </c>
      <c r="M472" s="76">
        <v>0.22500000000000001</v>
      </c>
      <c r="N472" s="62">
        <v>45818</v>
      </c>
      <c r="O472" s="62">
        <v>46182</v>
      </c>
      <c r="P472" s="63"/>
      <c r="Q472" s="63"/>
      <c r="R472" s="82">
        <v>26</v>
      </c>
      <c r="S472" s="63" t="str">
        <f>VLOOKUP(R472,SA!$B$5:$C$11,2,1)</f>
        <v>0-35</v>
      </c>
      <c r="T472" s="38" t="s">
        <v>96</v>
      </c>
      <c r="U472" s="24" t="s">
        <v>56</v>
      </c>
      <c r="V472" s="24">
        <v>300000</v>
      </c>
      <c r="W472" s="39">
        <f t="shared" si="142"/>
        <v>300000</v>
      </c>
      <c r="X472" s="29">
        <f t="shared" si="143"/>
        <v>1</v>
      </c>
      <c r="Y472" s="40">
        <f t="shared" si="144"/>
        <v>365</v>
      </c>
      <c r="Z472" s="38">
        <f t="shared" si="139"/>
        <v>46081</v>
      </c>
      <c r="AA472" s="41">
        <f t="shared" si="145"/>
        <v>264</v>
      </c>
      <c r="AB472" s="24" t="s">
        <v>125</v>
      </c>
      <c r="AC472" s="41">
        <f t="shared" si="146"/>
        <v>3874.2114000000001</v>
      </c>
      <c r="AD472" s="41">
        <v>1</v>
      </c>
      <c r="AE472" s="72">
        <f>IFERROR(INDEX(SA!$C$4:$E$11,MATCH(Details!S472,SA!$C$4:$C$11,0),MATCH(Details!V472,SA!$C$4:$E$4,0)),0)*Y472/(F472-E472+1)</f>
        <v>3283.23</v>
      </c>
      <c r="AF472" s="41">
        <f t="shared" si="147"/>
        <v>0</v>
      </c>
      <c r="AG472" s="41">
        <f t="shared" si="148"/>
        <v>0</v>
      </c>
      <c r="AH472" s="41">
        <f t="shared" si="149"/>
        <v>590.98140000000001</v>
      </c>
      <c r="AI472" s="60">
        <f t="shared" si="150"/>
        <v>131.32920000000001</v>
      </c>
      <c r="AJ472" s="60">
        <f t="shared" si="151"/>
        <v>738.72675000000004</v>
      </c>
      <c r="AK472" s="60">
        <f t="shared" si="152"/>
        <v>2374.7197808219175</v>
      </c>
      <c r="AL472" s="60">
        <f t="shared" si="153"/>
        <v>1745.4190389041094</v>
      </c>
      <c r="AM472" s="41">
        <f t="shared" si="154"/>
        <v>667.7550110958905</v>
      </c>
      <c r="AN472" s="42">
        <f t="shared" si="155"/>
        <v>45715</v>
      </c>
      <c r="AO472" s="43">
        <f t="shared" si="156"/>
        <v>3283.23</v>
      </c>
    </row>
    <row r="473" spans="1:41" s="24" customFormat="1" ht="15.75" customHeight="1" x14ac:dyDescent="0.35">
      <c r="A473" s="36" t="s">
        <v>27</v>
      </c>
      <c r="B473" s="36">
        <v>202506</v>
      </c>
      <c r="C473" s="24" t="s">
        <v>128</v>
      </c>
      <c r="D473" s="24" t="s">
        <v>129</v>
      </c>
      <c r="E473" s="62">
        <v>45818</v>
      </c>
      <c r="F473" s="62">
        <v>46182</v>
      </c>
      <c r="G473" s="37" t="s">
        <v>599</v>
      </c>
      <c r="H473" s="36">
        <v>2254</v>
      </c>
      <c r="I473" s="63">
        <v>35881</v>
      </c>
      <c r="J473" s="24" t="s">
        <v>1249</v>
      </c>
      <c r="K473" s="63">
        <f t="shared" si="140"/>
        <v>45818</v>
      </c>
      <c r="L473" s="55">
        <f t="shared" si="141"/>
        <v>0.04</v>
      </c>
      <c r="M473" s="76">
        <v>0.22500000000000001</v>
      </c>
      <c r="N473" s="62">
        <v>45818</v>
      </c>
      <c r="O473" s="62">
        <v>46182</v>
      </c>
      <c r="P473" s="63"/>
      <c r="Q473" s="63"/>
      <c r="R473" s="82">
        <v>27</v>
      </c>
      <c r="S473" s="63" t="str">
        <f>VLOOKUP(R473,SA!$B$5:$C$11,2,1)</f>
        <v>0-35</v>
      </c>
      <c r="T473" s="38" t="s">
        <v>97</v>
      </c>
      <c r="U473" s="24" t="s">
        <v>115</v>
      </c>
      <c r="V473" s="24">
        <v>300000</v>
      </c>
      <c r="W473" s="39">
        <f t="shared" si="142"/>
        <v>0</v>
      </c>
      <c r="X473" s="29">
        <f t="shared" si="143"/>
        <v>0</v>
      </c>
      <c r="Y473" s="40">
        <f t="shared" si="144"/>
        <v>365</v>
      </c>
      <c r="Z473" s="38">
        <f t="shared" si="139"/>
        <v>46081</v>
      </c>
      <c r="AA473" s="41">
        <f t="shared" si="145"/>
        <v>264</v>
      </c>
      <c r="AB473" s="24" t="s">
        <v>125</v>
      </c>
      <c r="AC473" s="41">
        <f t="shared" si="146"/>
        <v>3874.2114000000001</v>
      </c>
      <c r="AD473" s="41">
        <v>1</v>
      </c>
      <c r="AE473" s="72">
        <f>IFERROR(INDEX(SA!$C$4:$E$11,MATCH(Details!S473,SA!$C$4:$C$11,0),MATCH(Details!V473,SA!$C$4:$E$4,0)),0)*Y473/(F473-E473+1)</f>
        <v>3283.23</v>
      </c>
      <c r="AF473" s="41">
        <f t="shared" si="147"/>
        <v>0</v>
      </c>
      <c r="AG473" s="41">
        <f t="shared" si="148"/>
        <v>0</v>
      </c>
      <c r="AH473" s="41">
        <f t="shared" si="149"/>
        <v>590.98140000000001</v>
      </c>
      <c r="AI473" s="60">
        <f t="shared" si="150"/>
        <v>131.32920000000001</v>
      </c>
      <c r="AJ473" s="60">
        <f t="shared" si="151"/>
        <v>738.72675000000004</v>
      </c>
      <c r="AK473" s="60">
        <f t="shared" si="152"/>
        <v>2374.7197808219175</v>
      </c>
      <c r="AL473" s="60">
        <f t="shared" si="153"/>
        <v>1745.4190389041094</v>
      </c>
      <c r="AM473" s="41">
        <f t="shared" si="154"/>
        <v>667.7550110958905</v>
      </c>
      <c r="AN473" s="42">
        <f t="shared" si="155"/>
        <v>45715</v>
      </c>
      <c r="AO473" s="43">
        <f t="shared" si="156"/>
        <v>3283.23</v>
      </c>
    </row>
    <row r="474" spans="1:41" s="24" customFormat="1" ht="15.75" customHeight="1" x14ac:dyDescent="0.35">
      <c r="A474" s="36" t="s">
        <v>27</v>
      </c>
      <c r="B474" s="36">
        <v>202506</v>
      </c>
      <c r="C474" s="24" t="s">
        <v>128</v>
      </c>
      <c r="D474" s="24" t="s">
        <v>129</v>
      </c>
      <c r="E474" s="62">
        <v>45818</v>
      </c>
      <c r="F474" s="62">
        <v>46182</v>
      </c>
      <c r="G474" s="37" t="s">
        <v>600</v>
      </c>
      <c r="H474" s="36">
        <v>2254</v>
      </c>
      <c r="I474" s="63">
        <v>45584</v>
      </c>
      <c r="J474" s="24" t="s">
        <v>1250</v>
      </c>
      <c r="K474" s="63">
        <f t="shared" si="140"/>
        <v>45818</v>
      </c>
      <c r="L474" s="55">
        <f t="shared" si="141"/>
        <v>0.04</v>
      </c>
      <c r="M474" s="76">
        <v>0.22500000000000001</v>
      </c>
      <c r="N474" s="62">
        <v>45818</v>
      </c>
      <c r="O474" s="62">
        <v>46182</v>
      </c>
      <c r="P474" s="63"/>
      <c r="Q474" s="63"/>
      <c r="R474" s="82">
        <v>0</v>
      </c>
      <c r="S474" s="63" t="str">
        <f>VLOOKUP(R474,SA!$B$5:$C$11,2,1)</f>
        <v>0-35</v>
      </c>
      <c r="T474" s="38" t="s">
        <v>96</v>
      </c>
      <c r="U474" s="24" t="s">
        <v>114</v>
      </c>
      <c r="V474" s="24">
        <v>300000</v>
      </c>
      <c r="W474" s="39">
        <f t="shared" si="142"/>
        <v>0</v>
      </c>
      <c r="X474" s="29">
        <f t="shared" si="143"/>
        <v>0</v>
      </c>
      <c r="Y474" s="40">
        <f t="shared" si="144"/>
        <v>365</v>
      </c>
      <c r="Z474" s="38">
        <f t="shared" si="139"/>
        <v>46081</v>
      </c>
      <c r="AA474" s="41">
        <f t="shared" si="145"/>
        <v>264</v>
      </c>
      <c r="AB474" s="24" t="s">
        <v>125</v>
      </c>
      <c r="AC474" s="41">
        <f t="shared" si="146"/>
        <v>3874.2114000000001</v>
      </c>
      <c r="AD474" s="41">
        <v>1</v>
      </c>
      <c r="AE474" s="72">
        <f>IFERROR(INDEX(SA!$C$4:$E$11,MATCH(Details!S474,SA!$C$4:$C$11,0),MATCH(Details!V474,SA!$C$4:$E$4,0)),0)*Y474/(F474-E474+1)</f>
        <v>3283.23</v>
      </c>
      <c r="AF474" s="41">
        <f t="shared" si="147"/>
        <v>0</v>
      </c>
      <c r="AG474" s="41">
        <f t="shared" si="148"/>
        <v>0</v>
      </c>
      <c r="AH474" s="41">
        <f t="shared" si="149"/>
        <v>590.98140000000001</v>
      </c>
      <c r="AI474" s="60">
        <f t="shared" si="150"/>
        <v>131.32920000000001</v>
      </c>
      <c r="AJ474" s="60">
        <f t="shared" si="151"/>
        <v>738.72675000000004</v>
      </c>
      <c r="AK474" s="60">
        <f t="shared" si="152"/>
        <v>2374.7197808219175</v>
      </c>
      <c r="AL474" s="60">
        <f t="shared" si="153"/>
        <v>1745.4190389041094</v>
      </c>
      <c r="AM474" s="41">
        <f t="shared" si="154"/>
        <v>667.7550110958905</v>
      </c>
      <c r="AN474" s="42">
        <f t="shared" si="155"/>
        <v>45715</v>
      </c>
      <c r="AO474" s="43">
        <f t="shared" si="156"/>
        <v>3283.23</v>
      </c>
    </row>
    <row r="475" spans="1:41" s="24" customFormat="1" ht="15.75" customHeight="1" x14ac:dyDescent="0.35">
      <c r="A475" s="36" t="s">
        <v>27</v>
      </c>
      <c r="B475" s="36">
        <v>202506</v>
      </c>
      <c r="C475" s="24" t="s">
        <v>128</v>
      </c>
      <c r="D475" s="24" t="s">
        <v>129</v>
      </c>
      <c r="E475" s="62">
        <v>45818</v>
      </c>
      <c r="F475" s="62">
        <v>46182</v>
      </c>
      <c r="G475" s="37" t="s">
        <v>601</v>
      </c>
      <c r="H475" s="36">
        <v>2255</v>
      </c>
      <c r="I475" s="63">
        <v>36229</v>
      </c>
      <c r="J475" s="24" t="s">
        <v>1251</v>
      </c>
      <c r="K475" s="63">
        <f t="shared" si="140"/>
        <v>45818</v>
      </c>
      <c r="L475" s="55">
        <f t="shared" si="141"/>
        <v>0.04</v>
      </c>
      <c r="M475" s="76">
        <v>0.22500000000000001</v>
      </c>
      <c r="N475" s="62">
        <v>45818</v>
      </c>
      <c r="O475" s="62">
        <v>46182</v>
      </c>
      <c r="P475" s="63"/>
      <c r="Q475" s="63"/>
      <c r="R475" s="82">
        <v>26</v>
      </c>
      <c r="S475" s="63" t="str">
        <f>VLOOKUP(R475,SA!$B$5:$C$11,2,1)</f>
        <v>0-35</v>
      </c>
      <c r="T475" s="38" t="s">
        <v>96</v>
      </c>
      <c r="U475" s="24" t="s">
        <v>56</v>
      </c>
      <c r="V475" s="24">
        <v>300000</v>
      </c>
      <c r="W475" s="39">
        <f t="shared" si="142"/>
        <v>300000</v>
      </c>
      <c r="X475" s="29">
        <f t="shared" si="143"/>
        <v>1</v>
      </c>
      <c r="Y475" s="40">
        <f t="shared" si="144"/>
        <v>365</v>
      </c>
      <c r="Z475" s="38">
        <f t="shared" si="139"/>
        <v>46081</v>
      </c>
      <c r="AA475" s="41">
        <f t="shared" si="145"/>
        <v>264</v>
      </c>
      <c r="AB475" s="24" t="s">
        <v>125</v>
      </c>
      <c r="AC475" s="41">
        <f t="shared" si="146"/>
        <v>3874.2114000000001</v>
      </c>
      <c r="AD475" s="41">
        <v>1</v>
      </c>
      <c r="AE475" s="72">
        <f>IFERROR(INDEX(SA!$C$4:$E$11,MATCH(Details!S475,SA!$C$4:$C$11,0),MATCH(Details!V475,SA!$C$4:$E$4,0)),0)*Y475/(F475-E475+1)</f>
        <v>3283.23</v>
      </c>
      <c r="AF475" s="41">
        <f t="shared" si="147"/>
        <v>0</v>
      </c>
      <c r="AG475" s="41">
        <f t="shared" si="148"/>
        <v>0</v>
      </c>
      <c r="AH475" s="41">
        <f t="shared" si="149"/>
        <v>590.98140000000001</v>
      </c>
      <c r="AI475" s="60">
        <f t="shared" si="150"/>
        <v>131.32920000000001</v>
      </c>
      <c r="AJ475" s="60">
        <f t="shared" si="151"/>
        <v>738.72675000000004</v>
      </c>
      <c r="AK475" s="60">
        <f t="shared" si="152"/>
        <v>2374.7197808219175</v>
      </c>
      <c r="AL475" s="60">
        <f t="shared" si="153"/>
        <v>1745.4190389041094</v>
      </c>
      <c r="AM475" s="41">
        <f t="shared" si="154"/>
        <v>667.7550110958905</v>
      </c>
      <c r="AN475" s="42">
        <f t="shared" si="155"/>
        <v>45715</v>
      </c>
      <c r="AO475" s="43">
        <f t="shared" si="156"/>
        <v>3283.23</v>
      </c>
    </row>
    <row r="476" spans="1:41" s="24" customFormat="1" ht="15.75" customHeight="1" x14ac:dyDescent="0.35">
      <c r="A476" s="36" t="s">
        <v>27</v>
      </c>
      <c r="B476" s="36">
        <v>202506</v>
      </c>
      <c r="C476" s="24" t="s">
        <v>128</v>
      </c>
      <c r="D476" s="24" t="s">
        <v>129</v>
      </c>
      <c r="E476" s="62">
        <v>45818</v>
      </c>
      <c r="F476" s="62">
        <v>46182</v>
      </c>
      <c r="G476" s="37" t="s">
        <v>602</v>
      </c>
      <c r="H476" s="36">
        <v>2263</v>
      </c>
      <c r="I476" s="63">
        <v>29822</v>
      </c>
      <c r="J476" s="24" t="s">
        <v>1252</v>
      </c>
      <c r="K476" s="63">
        <f t="shared" si="140"/>
        <v>45818</v>
      </c>
      <c r="L476" s="55">
        <f t="shared" si="141"/>
        <v>0.04</v>
      </c>
      <c r="M476" s="76">
        <v>0.22500000000000001</v>
      </c>
      <c r="N476" s="62">
        <v>45818</v>
      </c>
      <c r="O476" s="62">
        <v>46182</v>
      </c>
      <c r="P476" s="63"/>
      <c r="Q476" s="63"/>
      <c r="R476" s="82">
        <v>43</v>
      </c>
      <c r="S476" s="63" t="str">
        <f>VLOOKUP(R476,SA!$B$5:$C$11,2,1)</f>
        <v>36-45</v>
      </c>
      <c r="T476" s="38" t="s">
        <v>97</v>
      </c>
      <c r="U476" s="24" t="s">
        <v>56</v>
      </c>
      <c r="V476" s="24">
        <v>300000</v>
      </c>
      <c r="W476" s="39">
        <f t="shared" si="142"/>
        <v>300000</v>
      </c>
      <c r="X476" s="29">
        <f t="shared" si="143"/>
        <v>1</v>
      </c>
      <c r="Y476" s="40">
        <f t="shared" si="144"/>
        <v>365</v>
      </c>
      <c r="Z476" s="38">
        <f t="shared" si="139"/>
        <v>46081</v>
      </c>
      <c r="AA476" s="41">
        <f t="shared" si="145"/>
        <v>264</v>
      </c>
      <c r="AB476" s="24" t="s">
        <v>125</v>
      </c>
      <c r="AC476" s="41">
        <f t="shared" si="146"/>
        <v>5017.3245999999999</v>
      </c>
      <c r="AD476" s="41">
        <v>1</v>
      </c>
      <c r="AE476" s="72">
        <f>IFERROR(INDEX(SA!$C$4:$E$11,MATCH(Details!S476,SA!$C$4:$C$11,0),MATCH(Details!V476,SA!$C$4:$E$4,0)),0)*Y476/(F476-E476+1)</f>
        <v>4251.97</v>
      </c>
      <c r="AF476" s="41">
        <f t="shared" si="147"/>
        <v>0</v>
      </c>
      <c r="AG476" s="41">
        <f t="shared" si="148"/>
        <v>0</v>
      </c>
      <c r="AH476" s="41">
        <f t="shared" si="149"/>
        <v>765.3546</v>
      </c>
      <c r="AI476" s="60">
        <f t="shared" si="150"/>
        <v>170.0788</v>
      </c>
      <c r="AJ476" s="60">
        <f t="shared" si="151"/>
        <v>956.69325000000003</v>
      </c>
      <c r="AK476" s="60">
        <f t="shared" si="152"/>
        <v>3075.397479452055</v>
      </c>
      <c r="AL476" s="60">
        <f t="shared" si="153"/>
        <v>2260.4171473972606</v>
      </c>
      <c r="AM476" s="41">
        <f t="shared" si="154"/>
        <v>864.78080260273941</v>
      </c>
      <c r="AN476" s="42">
        <f t="shared" si="155"/>
        <v>45715</v>
      </c>
      <c r="AO476" s="43">
        <f t="shared" si="156"/>
        <v>4251.97</v>
      </c>
    </row>
    <row r="477" spans="1:41" s="24" customFormat="1" ht="15.75" customHeight="1" x14ac:dyDescent="0.35">
      <c r="A477" s="36" t="s">
        <v>27</v>
      </c>
      <c r="B477" s="36">
        <v>202506</v>
      </c>
      <c r="C477" s="24" t="s">
        <v>128</v>
      </c>
      <c r="D477" s="24" t="s">
        <v>129</v>
      </c>
      <c r="E477" s="62">
        <v>45818</v>
      </c>
      <c r="F477" s="62">
        <v>46182</v>
      </c>
      <c r="G477" s="37" t="s">
        <v>603</v>
      </c>
      <c r="H477" s="36">
        <v>2264</v>
      </c>
      <c r="I477" s="63">
        <v>35598</v>
      </c>
      <c r="J477" s="24" t="s">
        <v>1253</v>
      </c>
      <c r="K477" s="63">
        <f t="shared" si="140"/>
        <v>45818</v>
      </c>
      <c r="L477" s="55">
        <f t="shared" si="141"/>
        <v>0.04</v>
      </c>
      <c r="M477" s="76">
        <v>0.22500000000000001</v>
      </c>
      <c r="N477" s="62">
        <v>45818</v>
      </c>
      <c r="O477" s="62">
        <v>46182</v>
      </c>
      <c r="P477" s="63"/>
      <c r="Q477" s="63"/>
      <c r="R477" s="82">
        <v>27</v>
      </c>
      <c r="S477" s="63" t="str">
        <f>VLOOKUP(R477,SA!$B$5:$C$11,2,1)</f>
        <v>0-35</v>
      </c>
      <c r="T477" s="38" t="s">
        <v>96</v>
      </c>
      <c r="U477" s="24" t="s">
        <v>56</v>
      </c>
      <c r="V477" s="24">
        <v>300000</v>
      </c>
      <c r="W477" s="39">
        <f t="shared" si="142"/>
        <v>300000</v>
      </c>
      <c r="X477" s="29">
        <f t="shared" si="143"/>
        <v>1</v>
      </c>
      <c r="Y477" s="40">
        <f t="shared" si="144"/>
        <v>365</v>
      </c>
      <c r="Z477" s="38">
        <f t="shared" si="139"/>
        <v>46081</v>
      </c>
      <c r="AA477" s="41">
        <f t="shared" si="145"/>
        <v>264</v>
      </c>
      <c r="AB477" s="24" t="s">
        <v>125</v>
      </c>
      <c r="AC477" s="41">
        <f t="shared" si="146"/>
        <v>3874.2114000000001</v>
      </c>
      <c r="AD477" s="41">
        <v>1</v>
      </c>
      <c r="AE477" s="72">
        <f>IFERROR(INDEX(SA!$C$4:$E$11,MATCH(Details!S477,SA!$C$4:$C$11,0),MATCH(Details!V477,SA!$C$4:$E$4,0)),0)*Y477/(F477-E477+1)</f>
        <v>3283.23</v>
      </c>
      <c r="AF477" s="41">
        <f t="shared" si="147"/>
        <v>0</v>
      </c>
      <c r="AG477" s="41">
        <f t="shared" si="148"/>
        <v>0</v>
      </c>
      <c r="AH477" s="41">
        <f t="shared" si="149"/>
        <v>590.98140000000001</v>
      </c>
      <c r="AI477" s="60">
        <f t="shared" si="150"/>
        <v>131.32920000000001</v>
      </c>
      <c r="AJ477" s="60">
        <f t="shared" si="151"/>
        <v>738.72675000000004</v>
      </c>
      <c r="AK477" s="60">
        <f t="shared" si="152"/>
        <v>2374.7197808219175</v>
      </c>
      <c r="AL477" s="60">
        <f t="shared" si="153"/>
        <v>1745.4190389041094</v>
      </c>
      <c r="AM477" s="41">
        <f t="shared" si="154"/>
        <v>667.7550110958905</v>
      </c>
      <c r="AN477" s="42">
        <f t="shared" si="155"/>
        <v>45715</v>
      </c>
      <c r="AO477" s="43">
        <f t="shared" si="156"/>
        <v>3283.23</v>
      </c>
    </row>
    <row r="478" spans="1:41" s="24" customFormat="1" ht="15.75" customHeight="1" x14ac:dyDescent="0.35">
      <c r="A478" s="36" t="s">
        <v>27</v>
      </c>
      <c r="B478" s="36">
        <v>202506</v>
      </c>
      <c r="C478" s="24" t="s">
        <v>128</v>
      </c>
      <c r="D478" s="24" t="s">
        <v>129</v>
      </c>
      <c r="E478" s="62">
        <v>45818</v>
      </c>
      <c r="F478" s="62">
        <v>46182</v>
      </c>
      <c r="G478" s="37" t="s">
        <v>604</v>
      </c>
      <c r="H478" s="36">
        <v>2265</v>
      </c>
      <c r="I478" s="63">
        <v>34895</v>
      </c>
      <c r="J478" s="24" t="s">
        <v>1254</v>
      </c>
      <c r="K478" s="63">
        <f t="shared" si="140"/>
        <v>45818</v>
      </c>
      <c r="L478" s="55">
        <f t="shared" si="141"/>
        <v>0.04</v>
      </c>
      <c r="M478" s="76">
        <v>0.22500000000000001</v>
      </c>
      <c r="N478" s="62">
        <v>45818</v>
      </c>
      <c r="O478" s="62">
        <v>46182</v>
      </c>
      <c r="P478" s="63"/>
      <c r="Q478" s="63"/>
      <c r="R478" s="82">
        <v>29</v>
      </c>
      <c r="S478" s="63" t="str">
        <f>VLOOKUP(R478,SA!$B$5:$C$11,2,1)</f>
        <v>0-35</v>
      </c>
      <c r="T478" s="38" t="s">
        <v>96</v>
      </c>
      <c r="U478" s="24" t="s">
        <v>56</v>
      </c>
      <c r="V478" s="24">
        <v>300000</v>
      </c>
      <c r="W478" s="39">
        <f t="shared" si="142"/>
        <v>300000</v>
      </c>
      <c r="X478" s="29">
        <f t="shared" si="143"/>
        <v>1</v>
      </c>
      <c r="Y478" s="40">
        <f t="shared" si="144"/>
        <v>365</v>
      </c>
      <c r="Z478" s="38">
        <f t="shared" si="139"/>
        <v>46081</v>
      </c>
      <c r="AA478" s="41">
        <f t="shared" si="145"/>
        <v>264</v>
      </c>
      <c r="AB478" s="24" t="s">
        <v>125</v>
      </c>
      <c r="AC478" s="41">
        <f t="shared" si="146"/>
        <v>3874.2114000000001</v>
      </c>
      <c r="AD478" s="41">
        <v>1</v>
      </c>
      <c r="AE478" s="72">
        <f>IFERROR(INDEX(SA!$C$4:$E$11,MATCH(Details!S478,SA!$C$4:$C$11,0),MATCH(Details!V478,SA!$C$4:$E$4,0)),0)*Y478/(F478-E478+1)</f>
        <v>3283.23</v>
      </c>
      <c r="AF478" s="41">
        <f t="shared" si="147"/>
        <v>0</v>
      </c>
      <c r="AG478" s="41">
        <f t="shared" si="148"/>
        <v>0</v>
      </c>
      <c r="AH478" s="41">
        <f t="shared" si="149"/>
        <v>590.98140000000001</v>
      </c>
      <c r="AI478" s="60">
        <f t="shared" si="150"/>
        <v>131.32920000000001</v>
      </c>
      <c r="AJ478" s="60">
        <f t="shared" si="151"/>
        <v>738.72675000000004</v>
      </c>
      <c r="AK478" s="60">
        <f t="shared" si="152"/>
        <v>2374.7197808219175</v>
      </c>
      <c r="AL478" s="60">
        <f t="shared" si="153"/>
        <v>1745.4190389041094</v>
      </c>
      <c r="AM478" s="41">
        <f t="shared" si="154"/>
        <v>667.7550110958905</v>
      </c>
      <c r="AN478" s="42">
        <f t="shared" si="155"/>
        <v>45715</v>
      </c>
      <c r="AO478" s="43">
        <f t="shared" si="156"/>
        <v>3283.23</v>
      </c>
    </row>
    <row r="479" spans="1:41" s="24" customFormat="1" ht="15.75" customHeight="1" x14ac:dyDescent="0.35">
      <c r="A479" s="36" t="s">
        <v>27</v>
      </c>
      <c r="B479" s="36">
        <v>202506</v>
      </c>
      <c r="C479" s="24" t="s">
        <v>128</v>
      </c>
      <c r="D479" s="24" t="s">
        <v>129</v>
      </c>
      <c r="E479" s="62">
        <v>45818</v>
      </c>
      <c r="F479" s="62">
        <v>46182</v>
      </c>
      <c r="G479" s="37" t="s">
        <v>605</v>
      </c>
      <c r="H479" s="36">
        <v>2266</v>
      </c>
      <c r="I479" s="63">
        <v>29759</v>
      </c>
      <c r="J479" s="24" t="s">
        <v>1255</v>
      </c>
      <c r="K479" s="63">
        <f t="shared" si="140"/>
        <v>45818</v>
      </c>
      <c r="L479" s="55">
        <f t="shared" si="141"/>
        <v>0.04</v>
      </c>
      <c r="M479" s="76">
        <v>0.22500000000000001</v>
      </c>
      <c r="N479" s="62">
        <v>45818</v>
      </c>
      <c r="O479" s="62">
        <v>46182</v>
      </c>
      <c r="P479" s="63"/>
      <c r="Q479" s="63"/>
      <c r="R479" s="82">
        <v>43</v>
      </c>
      <c r="S479" s="63" t="str">
        <f>VLOOKUP(R479,SA!$B$5:$C$11,2,1)</f>
        <v>36-45</v>
      </c>
      <c r="T479" s="38" t="s">
        <v>96</v>
      </c>
      <c r="U479" s="24" t="s">
        <v>56</v>
      </c>
      <c r="V479" s="24">
        <v>300000</v>
      </c>
      <c r="W479" s="39">
        <f t="shared" si="142"/>
        <v>300000</v>
      </c>
      <c r="X479" s="29">
        <f t="shared" si="143"/>
        <v>1</v>
      </c>
      <c r="Y479" s="40">
        <f t="shared" si="144"/>
        <v>365</v>
      </c>
      <c r="Z479" s="38">
        <f t="shared" si="139"/>
        <v>46081</v>
      </c>
      <c r="AA479" s="41">
        <f t="shared" si="145"/>
        <v>264</v>
      </c>
      <c r="AB479" s="24" t="s">
        <v>125</v>
      </c>
      <c r="AC479" s="41">
        <f t="shared" si="146"/>
        <v>5017.3245999999999</v>
      </c>
      <c r="AD479" s="41">
        <v>1</v>
      </c>
      <c r="AE479" s="72">
        <f>IFERROR(INDEX(SA!$C$4:$E$11,MATCH(Details!S479,SA!$C$4:$C$11,0),MATCH(Details!V479,SA!$C$4:$E$4,0)),0)*Y479/(F479-E479+1)</f>
        <v>4251.97</v>
      </c>
      <c r="AF479" s="41">
        <f t="shared" si="147"/>
        <v>0</v>
      </c>
      <c r="AG479" s="41">
        <f t="shared" si="148"/>
        <v>0</v>
      </c>
      <c r="AH479" s="41">
        <f t="shared" si="149"/>
        <v>765.3546</v>
      </c>
      <c r="AI479" s="60">
        <f t="shared" si="150"/>
        <v>170.0788</v>
      </c>
      <c r="AJ479" s="60">
        <f t="shared" si="151"/>
        <v>956.69325000000003</v>
      </c>
      <c r="AK479" s="60">
        <f t="shared" si="152"/>
        <v>3075.397479452055</v>
      </c>
      <c r="AL479" s="60">
        <f t="shared" si="153"/>
        <v>2260.4171473972606</v>
      </c>
      <c r="AM479" s="41">
        <f t="shared" si="154"/>
        <v>864.78080260273941</v>
      </c>
      <c r="AN479" s="42">
        <f t="shared" si="155"/>
        <v>45715</v>
      </c>
      <c r="AO479" s="43">
        <f t="shared" si="156"/>
        <v>4251.97</v>
      </c>
    </row>
    <row r="480" spans="1:41" s="24" customFormat="1" ht="15.75" customHeight="1" x14ac:dyDescent="0.35">
      <c r="A480" s="36" t="s">
        <v>27</v>
      </c>
      <c r="B480" s="36">
        <v>202506</v>
      </c>
      <c r="C480" s="24" t="s">
        <v>128</v>
      </c>
      <c r="D480" s="24" t="s">
        <v>129</v>
      </c>
      <c r="E480" s="62">
        <v>45818</v>
      </c>
      <c r="F480" s="62">
        <v>46182</v>
      </c>
      <c r="G480" s="37" t="s">
        <v>606</v>
      </c>
      <c r="H480" s="36">
        <v>2266</v>
      </c>
      <c r="I480" s="63">
        <v>31809</v>
      </c>
      <c r="J480" s="24" t="s">
        <v>1256</v>
      </c>
      <c r="K480" s="63">
        <f t="shared" si="140"/>
        <v>45818</v>
      </c>
      <c r="L480" s="55">
        <f t="shared" si="141"/>
        <v>0.04</v>
      </c>
      <c r="M480" s="76">
        <v>0.22500000000000001</v>
      </c>
      <c r="N480" s="62">
        <v>45818</v>
      </c>
      <c r="O480" s="62">
        <v>46182</v>
      </c>
      <c r="P480" s="63"/>
      <c r="Q480" s="63"/>
      <c r="R480" s="82">
        <v>38</v>
      </c>
      <c r="S480" s="63" t="str">
        <f>VLOOKUP(R480,SA!$B$5:$C$11,2,1)</f>
        <v>36-45</v>
      </c>
      <c r="T480" s="38" t="s">
        <v>97</v>
      </c>
      <c r="U480" s="24" t="s">
        <v>115</v>
      </c>
      <c r="V480" s="24">
        <v>300000</v>
      </c>
      <c r="W480" s="39">
        <f t="shared" si="142"/>
        <v>0</v>
      </c>
      <c r="X480" s="29">
        <f t="shared" si="143"/>
        <v>0</v>
      </c>
      <c r="Y480" s="40">
        <f t="shared" si="144"/>
        <v>365</v>
      </c>
      <c r="Z480" s="38">
        <f t="shared" si="139"/>
        <v>46081</v>
      </c>
      <c r="AA480" s="41">
        <f t="shared" si="145"/>
        <v>264</v>
      </c>
      <c r="AB480" s="24" t="s">
        <v>125</v>
      </c>
      <c r="AC480" s="41">
        <f t="shared" si="146"/>
        <v>5017.3245999999999</v>
      </c>
      <c r="AD480" s="41">
        <v>1</v>
      </c>
      <c r="AE480" s="72">
        <f>IFERROR(INDEX(SA!$C$4:$E$11,MATCH(Details!S480,SA!$C$4:$C$11,0),MATCH(Details!V480,SA!$C$4:$E$4,0)),0)*Y480/(F480-E480+1)</f>
        <v>4251.97</v>
      </c>
      <c r="AF480" s="41">
        <f t="shared" si="147"/>
        <v>0</v>
      </c>
      <c r="AG480" s="41">
        <f t="shared" si="148"/>
        <v>0</v>
      </c>
      <c r="AH480" s="41">
        <f t="shared" si="149"/>
        <v>765.3546</v>
      </c>
      <c r="AI480" s="60">
        <f t="shared" si="150"/>
        <v>170.0788</v>
      </c>
      <c r="AJ480" s="60">
        <f t="shared" si="151"/>
        <v>956.69325000000003</v>
      </c>
      <c r="AK480" s="60">
        <f t="shared" si="152"/>
        <v>3075.397479452055</v>
      </c>
      <c r="AL480" s="60">
        <f t="shared" si="153"/>
        <v>2260.4171473972606</v>
      </c>
      <c r="AM480" s="41">
        <f t="shared" si="154"/>
        <v>864.78080260273941</v>
      </c>
      <c r="AN480" s="42">
        <f t="shared" si="155"/>
        <v>45715</v>
      </c>
      <c r="AO480" s="43">
        <f t="shared" si="156"/>
        <v>4251.97</v>
      </c>
    </row>
    <row r="481" spans="1:41" s="24" customFormat="1" ht="15.75" customHeight="1" x14ac:dyDescent="0.35">
      <c r="A481" s="36" t="s">
        <v>27</v>
      </c>
      <c r="B481" s="36">
        <v>202506</v>
      </c>
      <c r="C481" s="24" t="s">
        <v>128</v>
      </c>
      <c r="D481" s="24" t="s">
        <v>129</v>
      </c>
      <c r="E481" s="62">
        <v>45818</v>
      </c>
      <c r="F481" s="62">
        <v>46182</v>
      </c>
      <c r="G481" s="37" t="s">
        <v>607</v>
      </c>
      <c r="H481" s="36">
        <v>2266</v>
      </c>
      <c r="I481" s="63">
        <v>40650</v>
      </c>
      <c r="J481" s="24" t="s">
        <v>1257</v>
      </c>
      <c r="K481" s="63">
        <f t="shared" si="140"/>
        <v>45818</v>
      </c>
      <c r="L481" s="55">
        <f t="shared" si="141"/>
        <v>0.04</v>
      </c>
      <c r="M481" s="76">
        <v>0.22500000000000001</v>
      </c>
      <c r="N481" s="62">
        <v>45818</v>
      </c>
      <c r="O481" s="62">
        <v>46182</v>
      </c>
      <c r="P481" s="63"/>
      <c r="Q481" s="63"/>
      <c r="R481" s="82">
        <v>14</v>
      </c>
      <c r="S481" s="63" t="str">
        <f>VLOOKUP(R481,SA!$B$5:$C$11,2,1)</f>
        <v>0-35</v>
      </c>
      <c r="T481" s="38" t="s">
        <v>96</v>
      </c>
      <c r="U481" s="24" t="s">
        <v>114</v>
      </c>
      <c r="V481" s="24">
        <v>300000</v>
      </c>
      <c r="W481" s="39">
        <f t="shared" si="142"/>
        <v>0</v>
      </c>
      <c r="X481" s="29">
        <f t="shared" si="143"/>
        <v>0</v>
      </c>
      <c r="Y481" s="40">
        <f t="shared" si="144"/>
        <v>365</v>
      </c>
      <c r="Z481" s="38">
        <f t="shared" si="139"/>
        <v>46081</v>
      </c>
      <c r="AA481" s="41">
        <f t="shared" si="145"/>
        <v>264</v>
      </c>
      <c r="AB481" s="24" t="s">
        <v>125</v>
      </c>
      <c r="AC481" s="41">
        <f t="shared" si="146"/>
        <v>3874.2114000000001</v>
      </c>
      <c r="AD481" s="41">
        <v>1</v>
      </c>
      <c r="AE481" s="72">
        <f>IFERROR(INDEX(SA!$C$4:$E$11,MATCH(Details!S481,SA!$C$4:$C$11,0),MATCH(Details!V481,SA!$C$4:$E$4,0)),0)*Y481/(F481-E481+1)</f>
        <v>3283.23</v>
      </c>
      <c r="AF481" s="41">
        <f t="shared" si="147"/>
        <v>0</v>
      </c>
      <c r="AG481" s="41">
        <f t="shared" si="148"/>
        <v>0</v>
      </c>
      <c r="AH481" s="41">
        <f t="shared" si="149"/>
        <v>590.98140000000001</v>
      </c>
      <c r="AI481" s="60">
        <f t="shared" si="150"/>
        <v>131.32920000000001</v>
      </c>
      <c r="AJ481" s="60">
        <f t="shared" si="151"/>
        <v>738.72675000000004</v>
      </c>
      <c r="AK481" s="60">
        <f t="shared" si="152"/>
        <v>2374.7197808219175</v>
      </c>
      <c r="AL481" s="60">
        <f t="shared" si="153"/>
        <v>1745.4190389041094</v>
      </c>
      <c r="AM481" s="41">
        <f t="shared" si="154"/>
        <v>667.7550110958905</v>
      </c>
      <c r="AN481" s="42">
        <f t="shared" si="155"/>
        <v>45715</v>
      </c>
      <c r="AO481" s="43">
        <f t="shared" si="156"/>
        <v>3283.23</v>
      </c>
    </row>
    <row r="482" spans="1:41" s="24" customFormat="1" ht="15.75" customHeight="1" x14ac:dyDescent="0.35">
      <c r="A482" s="36" t="s">
        <v>27</v>
      </c>
      <c r="B482" s="36">
        <v>202506</v>
      </c>
      <c r="C482" s="24" t="s">
        <v>128</v>
      </c>
      <c r="D482" s="24" t="s">
        <v>129</v>
      </c>
      <c r="E482" s="62">
        <v>45818</v>
      </c>
      <c r="F482" s="62">
        <v>46182</v>
      </c>
      <c r="G482" s="37" t="s">
        <v>608</v>
      </c>
      <c r="H482" s="36">
        <v>2266</v>
      </c>
      <c r="I482" s="63">
        <v>43809</v>
      </c>
      <c r="J482" s="24" t="s">
        <v>1258</v>
      </c>
      <c r="K482" s="63">
        <f t="shared" si="140"/>
        <v>45818</v>
      </c>
      <c r="L482" s="55">
        <f t="shared" si="141"/>
        <v>0.04</v>
      </c>
      <c r="M482" s="76">
        <v>0.22500000000000001</v>
      </c>
      <c r="N482" s="62">
        <v>45818</v>
      </c>
      <c r="O482" s="62">
        <v>46182</v>
      </c>
      <c r="P482" s="63"/>
      <c r="Q482" s="63"/>
      <c r="R482" s="82">
        <v>5</v>
      </c>
      <c r="S482" s="63" t="str">
        <f>VLOOKUP(R482,SA!$B$5:$C$11,2,1)</f>
        <v>0-35</v>
      </c>
      <c r="T482" s="38" t="s">
        <v>97</v>
      </c>
      <c r="U482" s="24" t="s">
        <v>113</v>
      </c>
      <c r="V482" s="24">
        <v>300000</v>
      </c>
      <c r="W482" s="39">
        <f t="shared" si="142"/>
        <v>0</v>
      </c>
      <c r="X482" s="29">
        <f t="shared" si="143"/>
        <v>0</v>
      </c>
      <c r="Y482" s="40">
        <f t="shared" si="144"/>
        <v>365</v>
      </c>
      <c r="Z482" s="38">
        <f t="shared" si="139"/>
        <v>46081</v>
      </c>
      <c r="AA482" s="41">
        <f t="shared" si="145"/>
        <v>264</v>
      </c>
      <c r="AB482" s="24" t="s">
        <v>125</v>
      </c>
      <c r="AC482" s="41">
        <f t="shared" si="146"/>
        <v>3874.2114000000001</v>
      </c>
      <c r="AD482" s="41">
        <v>1</v>
      </c>
      <c r="AE482" s="72">
        <f>IFERROR(INDEX(SA!$C$4:$E$11,MATCH(Details!S482,SA!$C$4:$C$11,0),MATCH(Details!V482,SA!$C$4:$E$4,0)),0)*Y482/(F482-E482+1)</f>
        <v>3283.23</v>
      </c>
      <c r="AF482" s="41">
        <f t="shared" si="147"/>
        <v>0</v>
      </c>
      <c r="AG482" s="41">
        <f t="shared" si="148"/>
        <v>0</v>
      </c>
      <c r="AH482" s="41">
        <f t="shared" si="149"/>
        <v>590.98140000000001</v>
      </c>
      <c r="AI482" s="60">
        <f t="shared" si="150"/>
        <v>131.32920000000001</v>
      </c>
      <c r="AJ482" s="60">
        <f t="shared" si="151"/>
        <v>738.72675000000004</v>
      </c>
      <c r="AK482" s="60">
        <f t="shared" si="152"/>
        <v>2374.7197808219175</v>
      </c>
      <c r="AL482" s="60">
        <f t="shared" si="153"/>
        <v>1745.4190389041094</v>
      </c>
      <c r="AM482" s="41">
        <f t="shared" si="154"/>
        <v>667.7550110958905</v>
      </c>
      <c r="AN482" s="42">
        <f t="shared" si="155"/>
        <v>45715</v>
      </c>
      <c r="AO482" s="43">
        <f t="shared" si="156"/>
        <v>3283.23</v>
      </c>
    </row>
    <row r="483" spans="1:41" s="24" customFormat="1" ht="15.75" customHeight="1" x14ac:dyDescent="0.35">
      <c r="A483" s="36" t="s">
        <v>27</v>
      </c>
      <c r="B483" s="36">
        <v>202506</v>
      </c>
      <c r="C483" s="24" t="s">
        <v>128</v>
      </c>
      <c r="D483" s="24" t="s">
        <v>129</v>
      </c>
      <c r="E483" s="62">
        <v>45818</v>
      </c>
      <c r="F483" s="62">
        <v>46182</v>
      </c>
      <c r="G483" s="37" t="s">
        <v>609</v>
      </c>
      <c r="H483" s="36">
        <v>2267</v>
      </c>
      <c r="I483" s="63">
        <v>29919</v>
      </c>
      <c r="J483" s="24" t="s">
        <v>1259</v>
      </c>
      <c r="K483" s="63">
        <f t="shared" si="140"/>
        <v>45818</v>
      </c>
      <c r="L483" s="55">
        <f t="shared" si="141"/>
        <v>0.04</v>
      </c>
      <c r="M483" s="76">
        <v>0.22500000000000001</v>
      </c>
      <c r="N483" s="62">
        <v>45818</v>
      </c>
      <c r="O483" s="62">
        <v>46182</v>
      </c>
      <c r="P483" s="63"/>
      <c r="Q483" s="63"/>
      <c r="R483" s="82">
        <v>43</v>
      </c>
      <c r="S483" s="63" t="str">
        <f>VLOOKUP(R483,SA!$B$5:$C$11,2,1)</f>
        <v>36-45</v>
      </c>
      <c r="T483" s="38" t="s">
        <v>96</v>
      </c>
      <c r="U483" s="24" t="s">
        <v>56</v>
      </c>
      <c r="V483" s="24">
        <v>300000</v>
      </c>
      <c r="W483" s="39">
        <f t="shared" si="142"/>
        <v>300000</v>
      </c>
      <c r="X483" s="29">
        <f t="shared" si="143"/>
        <v>1</v>
      </c>
      <c r="Y483" s="40">
        <f t="shared" si="144"/>
        <v>365</v>
      </c>
      <c r="Z483" s="38">
        <f t="shared" si="139"/>
        <v>46081</v>
      </c>
      <c r="AA483" s="41">
        <f t="shared" si="145"/>
        <v>264</v>
      </c>
      <c r="AB483" s="24" t="s">
        <v>125</v>
      </c>
      <c r="AC483" s="41">
        <f t="shared" si="146"/>
        <v>5017.3245999999999</v>
      </c>
      <c r="AD483" s="41">
        <v>1</v>
      </c>
      <c r="AE483" s="72">
        <f>IFERROR(INDEX(SA!$C$4:$E$11,MATCH(Details!S483,SA!$C$4:$C$11,0),MATCH(Details!V483,SA!$C$4:$E$4,0)),0)*Y483/(F483-E483+1)</f>
        <v>4251.97</v>
      </c>
      <c r="AF483" s="41">
        <f t="shared" si="147"/>
        <v>0</v>
      </c>
      <c r="AG483" s="41">
        <f t="shared" si="148"/>
        <v>0</v>
      </c>
      <c r="AH483" s="41">
        <f t="shared" si="149"/>
        <v>765.3546</v>
      </c>
      <c r="AI483" s="60">
        <f t="shared" si="150"/>
        <v>170.0788</v>
      </c>
      <c r="AJ483" s="60">
        <f t="shared" si="151"/>
        <v>956.69325000000003</v>
      </c>
      <c r="AK483" s="60">
        <f t="shared" si="152"/>
        <v>3075.397479452055</v>
      </c>
      <c r="AL483" s="60">
        <f t="shared" si="153"/>
        <v>2260.4171473972606</v>
      </c>
      <c r="AM483" s="41">
        <f t="shared" si="154"/>
        <v>864.78080260273941</v>
      </c>
      <c r="AN483" s="42">
        <f t="shared" si="155"/>
        <v>45715</v>
      </c>
      <c r="AO483" s="43">
        <f t="shared" si="156"/>
        <v>4251.97</v>
      </c>
    </row>
    <row r="484" spans="1:41" s="24" customFormat="1" ht="15.75" customHeight="1" x14ac:dyDescent="0.35">
      <c r="A484" s="36" t="s">
        <v>27</v>
      </c>
      <c r="B484" s="36">
        <v>202506</v>
      </c>
      <c r="C484" s="24" t="s">
        <v>128</v>
      </c>
      <c r="D484" s="24" t="s">
        <v>129</v>
      </c>
      <c r="E484" s="62">
        <v>45818</v>
      </c>
      <c r="F484" s="62">
        <v>46182</v>
      </c>
      <c r="G484" s="37" t="s">
        <v>610</v>
      </c>
      <c r="H484" s="36">
        <v>2267</v>
      </c>
      <c r="I484" s="63">
        <v>33337</v>
      </c>
      <c r="J484" s="24" t="s">
        <v>1260</v>
      </c>
      <c r="K484" s="63">
        <f t="shared" si="140"/>
        <v>45818</v>
      </c>
      <c r="L484" s="55">
        <f t="shared" si="141"/>
        <v>0.04</v>
      </c>
      <c r="M484" s="76">
        <v>0.22500000000000001</v>
      </c>
      <c r="N484" s="62">
        <v>45818</v>
      </c>
      <c r="O484" s="62">
        <v>46182</v>
      </c>
      <c r="P484" s="63"/>
      <c r="Q484" s="63"/>
      <c r="R484" s="82">
        <v>34</v>
      </c>
      <c r="S484" s="63" t="str">
        <f>VLOOKUP(R484,SA!$B$5:$C$11,2,1)</f>
        <v>0-35</v>
      </c>
      <c r="T484" s="38" t="s">
        <v>97</v>
      </c>
      <c r="U484" s="24" t="s">
        <v>115</v>
      </c>
      <c r="V484" s="24">
        <v>300000</v>
      </c>
      <c r="W484" s="39">
        <f t="shared" si="142"/>
        <v>0</v>
      </c>
      <c r="X484" s="29">
        <f t="shared" si="143"/>
        <v>0</v>
      </c>
      <c r="Y484" s="40">
        <f t="shared" si="144"/>
        <v>365</v>
      </c>
      <c r="Z484" s="38">
        <f t="shared" si="139"/>
        <v>46081</v>
      </c>
      <c r="AA484" s="41">
        <f t="shared" si="145"/>
        <v>264</v>
      </c>
      <c r="AB484" s="24" t="s">
        <v>125</v>
      </c>
      <c r="AC484" s="41">
        <f t="shared" si="146"/>
        <v>3874.2114000000001</v>
      </c>
      <c r="AD484" s="41">
        <v>1</v>
      </c>
      <c r="AE484" s="72">
        <f>IFERROR(INDEX(SA!$C$4:$E$11,MATCH(Details!S484,SA!$C$4:$C$11,0),MATCH(Details!V484,SA!$C$4:$E$4,0)),0)*Y484/(F484-E484+1)</f>
        <v>3283.23</v>
      </c>
      <c r="AF484" s="41">
        <f t="shared" si="147"/>
        <v>0</v>
      </c>
      <c r="AG484" s="41">
        <f t="shared" si="148"/>
        <v>0</v>
      </c>
      <c r="AH484" s="41">
        <f t="shared" si="149"/>
        <v>590.98140000000001</v>
      </c>
      <c r="AI484" s="60">
        <f t="shared" si="150"/>
        <v>131.32920000000001</v>
      </c>
      <c r="AJ484" s="60">
        <f t="shared" si="151"/>
        <v>738.72675000000004</v>
      </c>
      <c r="AK484" s="60">
        <f t="shared" si="152"/>
        <v>2374.7197808219175</v>
      </c>
      <c r="AL484" s="60">
        <f t="shared" si="153"/>
        <v>1745.4190389041094</v>
      </c>
      <c r="AM484" s="41">
        <f t="shared" si="154"/>
        <v>667.7550110958905</v>
      </c>
      <c r="AN484" s="42">
        <f t="shared" si="155"/>
        <v>45715</v>
      </c>
      <c r="AO484" s="43">
        <f t="shared" si="156"/>
        <v>3283.23</v>
      </c>
    </row>
    <row r="485" spans="1:41" s="24" customFormat="1" ht="15.75" customHeight="1" x14ac:dyDescent="0.35">
      <c r="A485" s="36" t="s">
        <v>27</v>
      </c>
      <c r="B485" s="36">
        <v>202506</v>
      </c>
      <c r="C485" s="24" t="s">
        <v>128</v>
      </c>
      <c r="D485" s="24" t="s">
        <v>129</v>
      </c>
      <c r="E485" s="62">
        <v>45818</v>
      </c>
      <c r="F485" s="62">
        <v>46182</v>
      </c>
      <c r="G485" s="37" t="s">
        <v>611</v>
      </c>
      <c r="H485" s="36">
        <v>2267</v>
      </c>
      <c r="I485" s="63">
        <v>40398</v>
      </c>
      <c r="J485" s="24" t="s">
        <v>1261</v>
      </c>
      <c r="K485" s="63">
        <f t="shared" si="140"/>
        <v>45818</v>
      </c>
      <c r="L485" s="55">
        <f t="shared" si="141"/>
        <v>0.04</v>
      </c>
      <c r="M485" s="76">
        <v>0.22500000000000001</v>
      </c>
      <c r="N485" s="62">
        <v>45818</v>
      </c>
      <c r="O485" s="62">
        <v>46182</v>
      </c>
      <c r="P485" s="63"/>
      <c r="Q485" s="63"/>
      <c r="R485" s="82">
        <v>14</v>
      </c>
      <c r="S485" s="63" t="str">
        <f>VLOOKUP(R485,SA!$B$5:$C$11,2,1)</f>
        <v>0-35</v>
      </c>
      <c r="T485" s="38" t="s">
        <v>96</v>
      </c>
      <c r="U485" s="24" t="s">
        <v>114</v>
      </c>
      <c r="V485" s="24">
        <v>300000</v>
      </c>
      <c r="W485" s="39">
        <f t="shared" si="142"/>
        <v>0</v>
      </c>
      <c r="X485" s="29">
        <f t="shared" si="143"/>
        <v>0</v>
      </c>
      <c r="Y485" s="40">
        <f t="shared" si="144"/>
        <v>365</v>
      </c>
      <c r="Z485" s="38">
        <f t="shared" si="139"/>
        <v>46081</v>
      </c>
      <c r="AA485" s="41">
        <f t="shared" si="145"/>
        <v>264</v>
      </c>
      <c r="AB485" s="24" t="s">
        <v>125</v>
      </c>
      <c r="AC485" s="41">
        <f t="shared" si="146"/>
        <v>3874.2114000000001</v>
      </c>
      <c r="AD485" s="41">
        <v>1</v>
      </c>
      <c r="AE485" s="72">
        <f>IFERROR(INDEX(SA!$C$4:$E$11,MATCH(Details!S485,SA!$C$4:$C$11,0),MATCH(Details!V485,SA!$C$4:$E$4,0)),0)*Y485/(F485-E485+1)</f>
        <v>3283.23</v>
      </c>
      <c r="AF485" s="41">
        <f t="shared" si="147"/>
        <v>0</v>
      </c>
      <c r="AG485" s="41">
        <f t="shared" si="148"/>
        <v>0</v>
      </c>
      <c r="AH485" s="41">
        <f t="shared" si="149"/>
        <v>590.98140000000001</v>
      </c>
      <c r="AI485" s="60">
        <f t="shared" si="150"/>
        <v>131.32920000000001</v>
      </c>
      <c r="AJ485" s="60">
        <f t="shared" si="151"/>
        <v>738.72675000000004</v>
      </c>
      <c r="AK485" s="60">
        <f t="shared" si="152"/>
        <v>2374.7197808219175</v>
      </c>
      <c r="AL485" s="60">
        <f t="shared" si="153"/>
        <v>1745.4190389041094</v>
      </c>
      <c r="AM485" s="41">
        <f t="shared" si="154"/>
        <v>667.7550110958905</v>
      </c>
      <c r="AN485" s="42">
        <f t="shared" si="155"/>
        <v>45715</v>
      </c>
      <c r="AO485" s="43">
        <f t="shared" si="156"/>
        <v>3283.23</v>
      </c>
    </row>
    <row r="486" spans="1:41" s="24" customFormat="1" ht="15.75" customHeight="1" x14ac:dyDescent="0.35">
      <c r="A486" s="36" t="s">
        <v>27</v>
      </c>
      <c r="B486" s="36">
        <v>202506</v>
      </c>
      <c r="C486" s="24" t="s">
        <v>128</v>
      </c>
      <c r="D486" s="24" t="s">
        <v>129</v>
      </c>
      <c r="E486" s="62">
        <v>45818</v>
      </c>
      <c r="F486" s="62">
        <v>46182</v>
      </c>
      <c r="G486" s="37" t="s">
        <v>612</v>
      </c>
      <c r="H486" s="36">
        <v>2271</v>
      </c>
      <c r="I486" s="63">
        <v>32765</v>
      </c>
      <c r="J486" s="24" t="s">
        <v>1262</v>
      </c>
      <c r="K486" s="63">
        <f t="shared" si="140"/>
        <v>45818</v>
      </c>
      <c r="L486" s="55">
        <f t="shared" si="141"/>
        <v>0.04</v>
      </c>
      <c r="M486" s="76">
        <v>0.22500000000000001</v>
      </c>
      <c r="N486" s="62">
        <v>45818</v>
      </c>
      <c r="O486" s="62">
        <v>46182</v>
      </c>
      <c r="P486" s="63"/>
      <c r="Q486" s="63"/>
      <c r="R486" s="82">
        <v>35</v>
      </c>
      <c r="S486" s="63" t="str">
        <f>VLOOKUP(R486,SA!$B$5:$C$11,2,1)</f>
        <v>0-35</v>
      </c>
      <c r="T486" s="38" t="s">
        <v>96</v>
      </c>
      <c r="U486" s="24" t="s">
        <v>56</v>
      </c>
      <c r="V486" s="24">
        <v>300000</v>
      </c>
      <c r="W486" s="39">
        <f t="shared" si="142"/>
        <v>300000</v>
      </c>
      <c r="X486" s="29">
        <f t="shared" si="143"/>
        <v>1</v>
      </c>
      <c r="Y486" s="40">
        <f t="shared" si="144"/>
        <v>365</v>
      </c>
      <c r="Z486" s="38">
        <f t="shared" si="139"/>
        <v>46081</v>
      </c>
      <c r="AA486" s="41">
        <f t="shared" si="145"/>
        <v>264</v>
      </c>
      <c r="AB486" s="24" t="s">
        <v>125</v>
      </c>
      <c r="AC486" s="41">
        <f t="shared" si="146"/>
        <v>3874.2114000000001</v>
      </c>
      <c r="AD486" s="41">
        <v>1</v>
      </c>
      <c r="AE486" s="72">
        <f>IFERROR(INDEX(SA!$C$4:$E$11,MATCH(Details!S486,SA!$C$4:$C$11,0),MATCH(Details!V486,SA!$C$4:$E$4,0)),0)*Y486/(F486-E486+1)</f>
        <v>3283.23</v>
      </c>
      <c r="AF486" s="41">
        <f t="shared" si="147"/>
        <v>0</v>
      </c>
      <c r="AG486" s="41">
        <f t="shared" si="148"/>
        <v>0</v>
      </c>
      <c r="AH486" s="41">
        <f t="shared" si="149"/>
        <v>590.98140000000001</v>
      </c>
      <c r="AI486" s="60">
        <f t="shared" si="150"/>
        <v>131.32920000000001</v>
      </c>
      <c r="AJ486" s="60">
        <f t="shared" si="151"/>
        <v>738.72675000000004</v>
      </c>
      <c r="AK486" s="60">
        <f t="shared" si="152"/>
        <v>2374.7197808219175</v>
      </c>
      <c r="AL486" s="60">
        <f t="shared" si="153"/>
        <v>1745.4190389041094</v>
      </c>
      <c r="AM486" s="41">
        <f t="shared" si="154"/>
        <v>667.7550110958905</v>
      </c>
      <c r="AN486" s="42">
        <f t="shared" si="155"/>
        <v>45715</v>
      </c>
      <c r="AO486" s="43">
        <f t="shared" si="156"/>
        <v>3283.23</v>
      </c>
    </row>
    <row r="487" spans="1:41" s="24" customFormat="1" ht="15.75" customHeight="1" x14ac:dyDescent="0.35">
      <c r="A487" s="36" t="s">
        <v>27</v>
      </c>
      <c r="B487" s="36">
        <v>202506</v>
      </c>
      <c r="C487" s="24" t="s">
        <v>128</v>
      </c>
      <c r="D487" s="24" t="s">
        <v>129</v>
      </c>
      <c r="E487" s="62">
        <v>45818</v>
      </c>
      <c r="F487" s="62">
        <v>46182</v>
      </c>
      <c r="G487" s="37" t="s">
        <v>613</v>
      </c>
      <c r="H487" s="36">
        <v>2271</v>
      </c>
      <c r="I487" s="63">
        <v>35442</v>
      </c>
      <c r="J487" s="24" t="s">
        <v>1263</v>
      </c>
      <c r="K487" s="63">
        <f t="shared" si="140"/>
        <v>45818</v>
      </c>
      <c r="L487" s="55">
        <f t="shared" si="141"/>
        <v>0.04</v>
      </c>
      <c r="M487" s="76">
        <v>0.22500000000000001</v>
      </c>
      <c r="N487" s="62">
        <v>45818</v>
      </c>
      <c r="O487" s="62">
        <v>46182</v>
      </c>
      <c r="P487" s="63"/>
      <c r="Q487" s="63"/>
      <c r="R487" s="82">
        <v>28</v>
      </c>
      <c r="S487" s="63" t="str">
        <f>VLOOKUP(R487,SA!$B$5:$C$11,2,1)</f>
        <v>0-35</v>
      </c>
      <c r="T487" s="38" t="s">
        <v>97</v>
      </c>
      <c r="U487" s="24" t="s">
        <v>115</v>
      </c>
      <c r="V487" s="24">
        <v>300000</v>
      </c>
      <c r="W487" s="39">
        <f t="shared" si="142"/>
        <v>0</v>
      </c>
      <c r="X487" s="29">
        <f t="shared" si="143"/>
        <v>0</v>
      </c>
      <c r="Y487" s="40">
        <f t="shared" si="144"/>
        <v>365</v>
      </c>
      <c r="Z487" s="38">
        <f t="shared" si="139"/>
        <v>46081</v>
      </c>
      <c r="AA487" s="41">
        <f t="shared" si="145"/>
        <v>264</v>
      </c>
      <c r="AB487" s="24" t="s">
        <v>125</v>
      </c>
      <c r="AC487" s="41">
        <f t="shared" si="146"/>
        <v>3874.2114000000001</v>
      </c>
      <c r="AD487" s="41">
        <v>1</v>
      </c>
      <c r="AE487" s="72">
        <f>IFERROR(INDEX(SA!$C$4:$E$11,MATCH(Details!S487,SA!$C$4:$C$11,0),MATCH(Details!V487,SA!$C$4:$E$4,0)),0)*Y487/(F487-E487+1)</f>
        <v>3283.23</v>
      </c>
      <c r="AF487" s="41">
        <f t="shared" si="147"/>
        <v>0</v>
      </c>
      <c r="AG487" s="41">
        <f t="shared" si="148"/>
        <v>0</v>
      </c>
      <c r="AH487" s="41">
        <f t="shared" si="149"/>
        <v>590.98140000000001</v>
      </c>
      <c r="AI487" s="60">
        <f t="shared" si="150"/>
        <v>131.32920000000001</v>
      </c>
      <c r="AJ487" s="60">
        <f t="shared" si="151"/>
        <v>738.72675000000004</v>
      </c>
      <c r="AK487" s="60">
        <f t="shared" si="152"/>
        <v>2374.7197808219175</v>
      </c>
      <c r="AL487" s="60">
        <f t="shared" si="153"/>
        <v>1745.4190389041094</v>
      </c>
      <c r="AM487" s="41">
        <f t="shared" si="154"/>
        <v>667.7550110958905</v>
      </c>
      <c r="AN487" s="42">
        <f t="shared" si="155"/>
        <v>45715</v>
      </c>
      <c r="AO487" s="43">
        <f t="shared" si="156"/>
        <v>3283.23</v>
      </c>
    </row>
    <row r="488" spans="1:41" s="24" customFormat="1" ht="15.75" customHeight="1" x14ac:dyDescent="0.35">
      <c r="A488" s="36" t="s">
        <v>27</v>
      </c>
      <c r="B488" s="36">
        <v>202506</v>
      </c>
      <c r="C488" s="24" t="s">
        <v>128</v>
      </c>
      <c r="D488" s="24" t="s">
        <v>129</v>
      </c>
      <c r="E488" s="62">
        <v>45818</v>
      </c>
      <c r="F488" s="62">
        <v>46182</v>
      </c>
      <c r="G488" s="37" t="s">
        <v>614</v>
      </c>
      <c r="H488" s="36">
        <v>2271</v>
      </c>
      <c r="I488" s="63">
        <v>44903</v>
      </c>
      <c r="J488" s="24" t="s">
        <v>1264</v>
      </c>
      <c r="K488" s="63">
        <f t="shared" si="140"/>
        <v>45818</v>
      </c>
      <c r="L488" s="55">
        <f t="shared" si="141"/>
        <v>0.04</v>
      </c>
      <c r="M488" s="76">
        <v>0.22500000000000001</v>
      </c>
      <c r="N488" s="62">
        <v>45818</v>
      </c>
      <c r="O488" s="62">
        <v>46182</v>
      </c>
      <c r="P488" s="63"/>
      <c r="Q488" s="63"/>
      <c r="R488" s="82">
        <v>2</v>
      </c>
      <c r="S488" s="63" t="str">
        <f>VLOOKUP(R488,SA!$B$5:$C$11,2,1)</f>
        <v>0-35</v>
      </c>
      <c r="T488" s="38" t="s">
        <v>96</v>
      </c>
      <c r="U488" s="24" t="s">
        <v>114</v>
      </c>
      <c r="V488" s="24">
        <v>300000</v>
      </c>
      <c r="W488" s="39">
        <f t="shared" si="142"/>
        <v>0</v>
      </c>
      <c r="X488" s="29">
        <f t="shared" si="143"/>
        <v>0</v>
      </c>
      <c r="Y488" s="40">
        <f t="shared" si="144"/>
        <v>365</v>
      </c>
      <c r="Z488" s="38">
        <f t="shared" si="139"/>
        <v>46081</v>
      </c>
      <c r="AA488" s="41">
        <f t="shared" si="145"/>
        <v>264</v>
      </c>
      <c r="AB488" s="24" t="s">
        <v>125</v>
      </c>
      <c r="AC488" s="41">
        <f t="shared" si="146"/>
        <v>3874.2114000000001</v>
      </c>
      <c r="AD488" s="41">
        <v>1</v>
      </c>
      <c r="AE488" s="72">
        <f>IFERROR(INDEX(SA!$C$4:$E$11,MATCH(Details!S488,SA!$C$4:$C$11,0),MATCH(Details!V488,SA!$C$4:$E$4,0)),0)*Y488/(F488-E488+1)</f>
        <v>3283.23</v>
      </c>
      <c r="AF488" s="41">
        <f t="shared" si="147"/>
        <v>0</v>
      </c>
      <c r="AG488" s="41">
        <f t="shared" si="148"/>
        <v>0</v>
      </c>
      <c r="AH488" s="41">
        <f t="shared" si="149"/>
        <v>590.98140000000001</v>
      </c>
      <c r="AI488" s="60">
        <f t="shared" si="150"/>
        <v>131.32920000000001</v>
      </c>
      <c r="AJ488" s="60">
        <f t="shared" si="151"/>
        <v>738.72675000000004</v>
      </c>
      <c r="AK488" s="60">
        <f t="shared" si="152"/>
        <v>2374.7197808219175</v>
      </c>
      <c r="AL488" s="60">
        <f t="shared" si="153"/>
        <v>1745.4190389041094</v>
      </c>
      <c r="AM488" s="41">
        <f t="shared" si="154"/>
        <v>667.7550110958905</v>
      </c>
      <c r="AN488" s="42">
        <f t="shared" si="155"/>
        <v>45715</v>
      </c>
      <c r="AO488" s="43">
        <f t="shared" si="156"/>
        <v>3283.23</v>
      </c>
    </row>
    <row r="489" spans="1:41" s="24" customFormat="1" ht="15.75" customHeight="1" x14ac:dyDescent="0.35">
      <c r="A489" s="36" t="s">
        <v>27</v>
      </c>
      <c r="B489" s="36">
        <v>202506</v>
      </c>
      <c r="C489" s="24" t="s">
        <v>128</v>
      </c>
      <c r="D489" s="24" t="s">
        <v>129</v>
      </c>
      <c r="E489" s="62">
        <v>45818</v>
      </c>
      <c r="F489" s="62">
        <v>46182</v>
      </c>
      <c r="G489" s="37" t="s">
        <v>615</v>
      </c>
      <c r="H489" s="36">
        <v>2272</v>
      </c>
      <c r="I489" s="63">
        <v>34573</v>
      </c>
      <c r="J489" s="24" t="s">
        <v>1265</v>
      </c>
      <c r="K489" s="63">
        <f t="shared" si="140"/>
        <v>45818</v>
      </c>
      <c r="L489" s="55">
        <f t="shared" si="141"/>
        <v>0.04</v>
      </c>
      <c r="M489" s="76">
        <v>0.22500000000000001</v>
      </c>
      <c r="N489" s="62">
        <v>45818</v>
      </c>
      <c r="O489" s="62">
        <v>46182</v>
      </c>
      <c r="P489" s="63"/>
      <c r="Q489" s="63"/>
      <c r="R489" s="82">
        <v>30</v>
      </c>
      <c r="S489" s="63" t="str">
        <f>VLOOKUP(R489,SA!$B$5:$C$11,2,1)</f>
        <v>0-35</v>
      </c>
      <c r="T489" s="38" t="s">
        <v>96</v>
      </c>
      <c r="U489" s="24" t="s">
        <v>56</v>
      </c>
      <c r="V489" s="24">
        <v>300000</v>
      </c>
      <c r="W489" s="39">
        <f t="shared" si="142"/>
        <v>300000</v>
      </c>
      <c r="X489" s="29">
        <f t="shared" si="143"/>
        <v>1</v>
      </c>
      <c r="Y489" s="40">
        <f t="shared" si="144"/>
        <v>365</v>
      </c>
      <c r="Z489" s="38">
        <f t="shared" si="139"/>
        <v>46081</v>
      </c>
      <c r="AA489" s="41">
        <f t="shared" si="145"/>
        <v>264</v>
      </c>
      <c r="AB489" s="24" t="s">
        <v>125</v>
      </c>
      <c r="AC489" s="41">
        <f t="shared" si="146"/>
        <v>3874.2114000000001</v>
      </c>
      <c r="AD489" s="41">
        <v>1</v>
      </c>
      <c r="AE489" s="72">
        <f>IFERROR(INDEX(SA!$C$4:$E$11,MATCH(Details!S489,SA!$C$4:$C$11,0),MATCH(Details!V489,SA!$C$4:$E$4,0)),0)*Y489/(F489-E489+1)</f>
        <v>3283.23</v>
      </c>
      <c r="AF489" s="41">
        <f t="shared" si="147"/>
        <v>0</v>
      </c>
      <c r="AG489" s="41">
        <f t="shared" si="148"/>
        <v>0</v>
      </c>
      <c r="AH489" s="41">
        <f t="shared" si="149"/>
        <v>590.98140000000001</v>
      </c>
      <c r="AI489" s="60">
        <f t="shared" si="150"/>
        <v>131.32920000000001</v>
      </c>
      <c r="AJ489" s="60">
        <f t="shared" si="151"/>
        <v>738.72675000000004</v>
      </c>
      <c r="AK489" s="60">
        <f t="shared" si="152"/>
        <v>2374.7197808219175</v>
      </c>
      <c r="AL489" s="60">
        <f t="shared" si="153"/>
        <v>1745.4190389041094</v>
      </c>
      <c r="AM489" s="41">
        <f t="shared" si="154"/>
        <v>667.7550110958905</v>
      </c>
      <c r="AN489" s="42">
        <f t="shared" si="155"/>
        <v>45715</v>
      </c>
      <c r="AO489" s="43">
        <f t="shared" si="156"/>
        <v>3283.23</v>
      </c>
    </row>
    <row r="490" spans="1:41" s="24" customFormat="1" ht="15.75" customHeight="1" x14ac:dyDescent="0.35">
      <c r="A490" s="36" t="s">
        <v>27</v>
      </c>
      <c r="B490" s="36">
        <v>202506</v>
      </c>
      <c r="C490" s="24" t="s">
        <v>128</v>
      </c>
      <c r="D490" s="24" t="s">
        <v>129</v>
      </c>
      <c r="E490" s="62">
        <v>45818</v>
      </c>
      <c r="F490" s="62">
        <v>46182</v>
      </c>
      <c r="G490" s="37" t="s">
        <v>616</v>
      </c>
      <c r="H490" s="36">
        <v>2272</v>
      </c>
      <c r="I490" s="63">
        <v>35692</v>
      </c>
      <c r="J490" s="24" t="s">
        <v>1266</v>
      </c>
      <c r="K490" s="63">
        <f t="shared" si="140"/>
        <v>45818</v>
      </c>
      <c r="L490" s="55">
        <f t="shared" si="141"/>
        <v>0.04</v>
      </c>
      <c r="M490" s="76">
        <v>0.22500000000000001</v>
      </c>
      <c r="N490" s="62">
        <v>45818</v>
      </c>
      <c r="O490" s="62">
        <v>46182</v>
      </c>
      <c r="P490" s="63"/>
      <c r="Q490" s="63"/>
      <c r="R490" s="82">
        <v>27</v>
      </c>
      <c r="S490" s="63" t="str">
        <f>VLOOKUP(R490,SA!$B$5:$C$11,2,1)</f>
        <v>0-35</v>
      </c>
      <c r="T490" s="38" t="s">
        <v>97</v>
      </c>
      <c r="U490" s="24" t="s">
        <v>115</v>
      </c>
      <c r="V490" s="24">
        <v>300000</v>
      </c>
      <c r="W490" s="39">
        <f t="shared" si="142"/>
        <v>0</v>
      </c>
      <c r="X490" s="29">
        <f t="shared" si="143"/>
        <v>0</v>
      </c>
      <c r="Y490" s="40">
        <f t="shared" si="144"/>
        <v>365</v>
      </c>
      <c r="Z490" s="38">
        <f t="shared" si="139"/>
        <v>46081</v>
      </c>
      <c r="AA490" s="41">
        <f t="shared" si="145"/>
        <v>264</v>
      </c>
      <c r="AB490" s="24" t="s">
        <v>125</v>
      </c>
      <c r="AC490" s="41">
        <f t="shared" si="146"/>
        <v>3874.2114000000001</v>
      </c>
      <c r="AD490" s="41">
        <v>1</v>
      </c>
      <c r="AE490" s="72">
        <f>IFERROR(INDEX(SA!$C$4:$E$11,MATCH(Details!S490,SA!$C$4:$C$11,0),MATCH(Details!V490,SA!$C$4:$E$4,0)),0)*Y490/(F490-E490+1)</f>
        <v>3283.23</v>
      </c>
      <c r="AF490" s="41">
        <f t="shared" si="147"/>
        <v>0</v>
      </c>
      <c r="AG490" s="41">
        <f t="shared" si="148"/>
        <v>0</v>
      </c>
      <c r="AH490" s="41">
        <f t="shared" si="149"/>
        <v>590.98140000000001</v>
      </c>
      <c r="AI490" s="60">
        <f t="shared" si="150"/>
        <v>131.32920000000001</v>
      </c>
      <c r="AJ490" s="60">
        <f t="shared" si="151"/>
        <v>738.72675000000004</v>
      </c>
      <c r="AK490" s="60">
        <f t="shared" si="152"/>
        <v>2374.7197808219175</v>
      </c>
      <c r="AL490" s="60">
        <f t="shared" si="153"/>
        <v>1745.4190389041094</v>
      </c>
      <c r="AM490" s="41">
        <f t="shared" si="154"/>
        <v>667.7550110958905</v>
      </c>
      <c r="AN490" s="42">
        <f t="shared" si="155"/>
        <v>45715</v>
      </c>
      <c r="AO490" s="43">
        <f t="shared" si="156"/>
        <v>3283.23</v>
      </c>
    </row>
    <row r="491" spans="1:41" s="24" customFormat="1" ht="15.75" customHeight="1" x14ac:dyDescent="0.35">
      <c r="A491" s="36" t="s">
        <v>27</v>
      </c>
      <c r="B491" s="36">
        <v>202506</v>
      </c>
      <c r="C491" s="24" t="s">
        <v>128</v>
      </c>
      <c r="D491" s="24" t="s">
        <v>129</v>
      </c>
      <c r="E491" s="62">
        <v>45818</v>
      </c>
      <c r="F491" s="62">
        <v>46182</v>
      </c>
      <c r="G491" s="37" t="s">
        <v>617</v>
      </c>
      <c r="H491" s="36">
        <v>2272</v>
      </c>
      <c r="I491" s="63">
        <v>44236</v>
      </c>
      <c r="J491" s="24" t="s">
        <v>1267</v>
      </c>
      <c r="K491" s="63">
        <f t="shared" si="140"/>
        <v>45818</v>
      </c>
      <c r="L491" s="55">
        <f t="shared" si="141"/>
        <v>0.04</v>
      </c>
      <c r="M491" s="76">
        <v>0.22500000000000001</v>
      </c>
      <c r="N491" s="62">
        <v>45818</v>
      </c>
      <c r="O491" s="62">
        <v>46182</v>
      </c>
      <c r="P491" s="63"/>
      <c r="Q491" s="63"/>
      <c r="R491" s="82">
        <v>4</v>
      </c>
      <c r="S491" s="63" t="str">
        <f>VLOOKUP(R491,SA!$B$5:$C$11,2,1)</f>
        <v>0-35</v>
      </c>
      <c r="T491" s="38" t="s">
        <v>96</v>
      </c>
      <c r="U491" s="24" t="s">
        <v>114</v>
      </c>
      <c r="V491" s="24">
        <v>300000</v>
      </c>
      <c r="W491" s="39">
        <f t="shared" si="142"/>
        <v>0</v>
      </c>
      <c r="X491" s="29">
        <f t="shared" si="143"/>
        <v>0</v>
      </c>
      <c r="Y491" s="40">
        <f t="shared" si="144"/>
        <v>365</v>
      </c>
      <c r="Z491" s="38">
        <f t="shared" si="139"/>
        <v>46081</v>
      </c>
      <c r="AA491" s="41">
        <f t="shared" si="145"/>
        <v>264</v>
      </c>
      <c r="AB491" s="24" t="s">
        <v>125</v>
      </c>
      <c r="AC491" s="41">
        <f t="shared" si="146"/>
        <v>3874.2114000000001</v>
      </c>
      <c r="AD491" s="41">
        <v>1</v>
      </c>
      <c r="AE491" s="72">
        <f>IFERROR(INDEX(SA!$C$4:$E$11,MATCH(Details!S491,SA!$C$4:$C$11,0),MATCH(Details!V491,SA!$C$4:$E$4,0)),0)*Y491/(F491-E491+1)</f>
        <v>3283.23</v>
      </c>
      <c r="AF491" s="41">
        <f t="shared" si="147"/>
        <v>0</v>
      </c>
      <c r="AG491" s="41">
        <f t="shared" si="148"/>
        <v>0</v>
      </c>
      <c r="AH491" s="41">
        <f t="shared" si="149"/>
        <v>590.98140000000001</v>
      </c>
      <c r="AI491" s="60">
        <f t="shared" si="150"/>
        <v>131.32920000000001</v>
      </c>
      <c r="AJ491" s="60">
        <f t="shared" si="151"/>
        <v>738.72675000000004</v>
      </c>
      <c r="AK491" s="60">
        <f t="shared" si="152"/>
        <v>2374.7197808219175</v>
      </c>
      <c r="AL491" s="60">
        <f t="shared" si="153"/>
        <v>1745.4190389041094</v>
      </c>
      <c r="AM491" s="41">
        <f t="shared" si="154"/>
        <v>667.7550110958905</v>
      </c>
      <c r="AN491" s="42">
        <f t="shared" si="155"/>
        <v>45715</v>
      </c>
      <c r="AO491" s="43">
        <f t="shared" si="156"/>
        <v>3283.23</v>
      </c>
    </row>
    <row r="492" spans="1:41" s="24" customFormat="1" ht="15.75" customHeight="1" x14ac:dyDescent="0.35">
      <c r="A492" s="36" t="s">
        <v>27</v>
      </c>
      <c r="B492" s="36">
        <v>202506</v>
      </c>
      <c r="C492" s="24" t="s">
        <v>128</v>
      </c>
      <c r="D492" s="24" t="s">
        <v>129</v>
      </c>
      <c r="E492" s="62">
        <v>45818</v>
      </c>
      <c r="F492" s="62">
        <v>46182</v>
      </c>
      <c r="G492" s="37" t="s">
        <v>618</v>
      </c>
      <c r="H492" s="36">
        <v>2273</v>
      </c>
      <c r="I492" s="63">
        <v>32872</v>
      </c>
      <c r="J492" s="24" t="s">
        <v>1268</v>
      </c>
      <c r="K492" s="63">
        <f t="shared" si="140"/>
        <v>45818</v>
      </c>
      <c r="L492" s="55">
        <f t="shared" si="141"/>
        <v>0.04</v>
      </c>
      <c r="M492" s="76">
        <v>0.22500000000000001</v>
      </c>
      <c r="N492" s="62">
        <v>45818</v>
      </c>
      <c r="O492" s="62">
        <v>46182</v>
      </c>
      <c r="P492" s="63"/>
      <c r="Q492" s="63"/>
      <c r="R492" s="82">
        <v>35</v>
      </c>
      <c r="S492" s="63" t="str">
        <f>VLOOKUP(R492,SA!$B$5:$C$11,2,1)</f>
        <v>0-35</v>
      </c>
      <c r="T492" s="38" t="s">
        <v>96</v>
      </c>
      <c r="U492" s="24" t="s">
        <v>56</v>
      </c>
      <c r="V492" s="24">
        <v>300000</v>
      </c>
      <c r="W492" s="39">
        <f t="shared" si="142"/>
        <v>300000</v>
      </c>
      <c r="X492" s="29">
        <f t="shared" si="143"/>
        <v>1</v>
      </c>
      <c r="Y492" s="40">
        <f t="shared" si="144"/>
        <v>365</v>
      </c>
      <c r="Z492" s="38">
        <f t="shared" si="139"/>
        <v>46081</v>
      </c>
      <c r="AA492" s="41">
        <f t="shared" si="145"/>
        <v>264</v>
      </c>
      <c r="AB492" s="24" t="s">
        <v>125</v>
      </c>
      <c r="AC492" s="41">
        <f t="shared" si="146"/>
        <v>3874.2114000000001</v>
      </c>
      <c r="AD492" s="41">
        <v>1</v>
      </c>
      <c r="AE492" s="72">
        <f>IFERROR(INDEX(SA!$C$4:$E$11,MATCH(Details!S492,SA!$C$4:$C$11,0),MATCH(Details!V492,SA!$C$4:$E$4,0)),0)*Y492/(F492-E492+1)</f>
        <v>3283.23</v>
      </c>
      <c r="AF492" s="41">
        <f t="shared" si="147"/>
        <v>0</v>
      </c>
      <c r="AG492" s="41">
        <f t="shared" si="148"/>
        <v>0</v>
      </c>
      <c r="AH492" s="41">
        <f t="shared" si="149"/>
        <v>590.98140000000001</v>
      </c>
      <c r="AI492" s="60">
        <f t="shared" si="150"/>
        <v>131.32920000000001</v>
      </c>
      <c r="AJ492" s="60">
        <f t="shared" si="151"/>
        <v>738.72675000000004</v>
      </c>
      <c r="AK492" s="60">
        <f t="shared" si="152"/>
        <v>2374.7197808219175</v>
      </c>
      <c r="AL492" s="60">
        <f t="shared" si="153"/>
        <v>1745.4190389041094</v>
      </c>
      <c r="AM492" s="41">
        <f t="shared" si="154"/>
        <v>667.7550110958905</v>
      </c>
      <c r="AN492" s="42">
        <f t="shared" si="155"/>
        <v>45715</v>
      </c>
      <c r="AO492" s="43">
        <f t="shared" si="156"/>
        <v>3283.23</v>
      </c>
    </row>
    <row r="493" spans="1:41" s="24" customFormat="1" ht="15.75" customHeight="1" x14ac:dyDescent="0.35">
      <c r="A493" s="36" t="s">
        <v>27</v>
      </c>
      <c r="B493" s="36">
        <v>202506</v>
      </c>
      <c r="C493" s="24" t="s">
        <v>128</v>
      </c>
      <c r="D493" s="24" t="s">
        <v>129</v>
      </c>
      <c r="E493" s="62">
        <v>45818</v>
      </c>
      <c r="F493" s="62">
        <v>46182</v>
      </c>
      <c r="G493" s="37" t="s">
        <v>619</v>
      </c>
      <c r="H493" s="36">
        <v>2273</v>
      </c>
      <c r="I493" s="63">
        <v>34252</v>
      </c>
      <c r="J493" s="24" t="s">
        <v>1269</v>
      </c>
      <c r="K493" s="63">
        <f t="shared" si="140"/>
        <v>45818</v>
      </c>
      <c r="L493" s="55">
        <f t="shared" si="141"/>
        <v>0.04</v>
      </c>
      <c r="M493" s="76">
        <v>0.22500000000000001</v>
      </c>
      <c r="N493" s="62">
        <v>45818</v>
      </c>
      <c r="O493" s="62">
        <v>46182</v>
      </c>
      <c r="P493" s="63"/>
      <c r="Q493" s="63"/>
      <c r="R493" s="82">
        <v>31</v>
      </c>
      <c r="S493" s="63" t="str">
        <f>VLOOKUP(R493,SA!$B$5:$C$11,2,1)</f>
        <v>0-35</v>
      </c>
      <c r="T493" s="38" t="s">
        <v>97</v>
      </c>
      <c r="U493" s="24" t="s">
        <v>115</v>
      </c>
      <c r="V493" s="24">
        <v>300000</v>
      </c>
      <c r="W493" s="39">
        <f t="shared" si="142"/>
        <v>0</v>
      </c>
      <c r="X493" s="29">
        <f t="shared" si="143"/>
        <v>0</v>
      </c>
      <c r="Y493" s="40">
        <f t="shared" si="144"/>
        <v>365</v>
      </c>
      <c r="Z493" s="38">
        <f t="shared" si="139"/>
        <v>46081</v>
      </c>
      <c r="AA493" s="41">
        <f t="shared" si="145"/>
        <v>264</v>
      </c>
      <c r="AB493" s="24" t="s">
        <v>125</v>
      </c>
      <c r="AC493" s="41">
        <f t="shared" si="146"/>
        <v>3874.2114000000001</v>
      </c>
      <c r="AD493" s="41">
        <v>1</v>
      </c>
      <c r="AE493" s="72">
        <f>IFERROR(INDEX(SA!$C$4:$E$11,MATCH(Details!S493,SA!$C$4:$C$11,0),MATCH(Details!V493,SA!$C$4:$E$4,0)),0)*Y493/(F493-E493+1)</f>
        <v>3283.23</v>
      </c>
      <c r="AF493" s="41">
        <f t="shared" si="147"/>
        <v>0</v>
      </c>
      <c r="AG493" s="41">
        <f t="shared" si="148"/>
        <v>0</v>
      </c>
      <c r="AH493" s="41">
        <f t="shared" si="149"/>
        <v>590.98140000000001</v>
      </c>
      <c r="AI493" s="60">
        <f t="shared" si="150"/>
        <v>131.32920000000001</v>
      </c>
      <c r="AJ493" s="60">
        <f t="shared" si="151"/>
        <v>738.72675000000004</v>
      </c>
      <c r="AK493" s="60">
        <f t="shared" si="152"/>
        <v>2374.7197808219175</v>
      </c>
      <c r="AL493" s="60">
        <f t="shared" si="153"/>
        <v>1745.4190389041094</v>
      </c>
      <c r="AM493" s="41">
        <f t="shared" si="154"/>
        <v>667.7550110958905</v>
      </c>
      <c r="AN493" s="42">
        <f t="shared" si="155"/>
        <v>45715</v>
      </c>
      <c r="AO493" s="43">
        <f t="shared" si="156"/>
        <v>3283.23</v>
      </c>
    </row>
    <row r="494" spans="1:41" s="24" customFormat="1" ht="15.75" customHeight="1" x14ac:dyDescent="0.35">
      <c r="A494" s="36" t="s">
        <v>27</v>
      </c>
      <c r="B494" s="36">
        <v>202506</v>
      </c>
      <c r="C494" s="24" t="s">
        <v>128</v>
      </c>
      <c r="D494" s="24" t="s">
        <v>129</v>
      </c>
      <c r="E494" s="62">
        <v>45818</v>
      </c>
      <c r="F494" s="62">
        <v>46182</v>
      </c>
      <c r="G494" s="37" t="s">
        <v>620</v>
      </c>
      <c r="H494" s="36">
        <v>2273</v>
      </c>
      <c r="I494" s="63">
        <v>44809</v>
      </c>
      <c r="J494" s="24" t="s">
        <v>1270</v>
      </c>
      <c r="K494" s="63">
        <f t="shared" si="140"/>
        <v>45818</v>
      </c>
      <c r="L494" s="55">
        <f t="shared" si="141"/>
        <v>0.04</v>
      </c>
      <c r="M494" s="76">
        <v>0.22500000000000001</v>
      </c>
      <c r="N494" s="62">
        <v>45818</v>
      </c>
      <c r="O494" s="62">
        <v>46182</v>
      </c>
      <c r="P494" s="63"/>
      <c r="Q494" s="63"/>
      <c r="R494" s="82">
        <v>2</v>
      </c>
      <c r="S494" s="63" t="str">
        <f>VLOOKUP(R494,SA!$B$5:$C$11,2,1)</f>
        <v>0-35</v>
      </c>
      <c r="T494" s="38" t="s">
        <v>97</v>
      </c>
      <c r="U494" s="24" t="s">
        <v>113</v>
      </c>
      <c r="V494" s="24">
        <v>300000</v>
      </c>
      <c r="W494" s="39">
        <f t="shared" si="142"/>
        <v>0</v>
      </c>
      <c r="X494" s="29">
        <f t="shared" si="143"/>
        <v>0</v>
      </c>
      <c r="Y494" s="40">
        <f t="shared" si="144"/>
        <v>365</v>
      </c>
      <c r="Z494" s="38">
        <f t="shared" si="139"/>
        <v>46081</v>
      </c>
      <c r="AA494" s="41">
        <f t="shared" si="145"/>
        <v>264</v>
      </c>
      <c r="AB494" s="24" t="s">
        <v>125</v>
      </c>
      <c r="AC494" s="41">
        <f t="shared" si="146"/>
        <v>3874.2114000000001</v>
      </c>
      <c r="AD494" s="41">
        <v>1</v>
      </c>
      <c r="AE494" s="72">
        <f>IFERROR(INDEX(SA!$C$4:$E$11,MATCH(Details!S494,SA!$C$4:$C$11,0),MATCH(Details!V494,SA!$C$4:$E$4,0)),0)*Y494/(F494-E494+1)</f>
        <v>3283.23</v>
      </c>
      <c r="AF494" s="41">
        <f t="shared" si="147"/>
        <v>0</v>
      </c>
      <c r="AG494" s="41">
        <f t="shared" si="148"/>
        <v>0</v>
      </c>
      <c r="AH494" s="41">
        <f t="shared" si="149"/>
        <v>590.98140000000001</v>
      </c>
      <c r="AI494" s="60">
        <f t="shared" si="150"/>
        <v>131.32920000000001</v>
      </c>
      <c r="AJ494" s="60">
        <f t="shared" si="151"/>
        <v>738.72675000000004</v>
      </c>
      <c r="AK494" s="60">
        <f t="shared" si="152"/>
        <v>2374.7197808219175</v>
      </c>
      <c r="AL494" s="60">
        <f t="shared" si="153"/>
        <v>1745.4190389041094</v>
      </c>
      <c r="AM494" s="41">
        <f t="shared" si="154"/>
        <v>667.7550110958905</v>
      </c>
      <c r="AN494" s="42">
        <f t="shared" si="155"/>
        <v>45715</v>
      </c>
      <c r="AO494" s="43">
        <f t="shared" si="156"/>
        <v>3283.23</v>
      </c>
    </row>
    <row r="495" spans="1:41" s="24" customFormat="1" ht="15.75" customHeight="1" x14ac:dyDescent="0.35">
      <c r="A495" s="36" t="s">
        <v>27</v>
      </c>
      <c r="B495" s="36">
        <v>202506</v>
      </c>
      <c r="C495" s="24" t="s">
        <v>128</v>
      </c>
      <c r="D495" s="24" t="s">
        <v>129</v>
      </c>
      <c r="E495" s="62">
        <v>45818</v>
      </c>
      <c r="F495" s="62">
        <v>46182</v>
      </c>
      <c r="G495" s="37" t="s">
        <v>621</v>
      </c>
      <c r="H495" s="36">
        <v>2275</v>
      </c>
      <c r="I495" s="63">
        <v>36285</v>
      </c>
      <c r="J495" s="24" t="s">
        <v>1271</v>
      </c>
      <c r="K495" s="63">
        <f t="shared" si="140"/>
        <v>45818</v>
      </c>
      <c r="L495" s="55">
        <f t="shared" si="141"/>
        <v>0.04</v>
      </c>
      <c r="M495" s="76">
        <v>0.22500000000000001</v>
      </c>
      <c r="N495" s="62">
        <v>45818</v>
      </c>
      <c r="O495" s="62">
        <v>46182</v>
      </c>
      <c r="P495" s="63"/>
      <c r="Q495" s="63"/>
      <c r="R495" s="82">
        <v>26</v>
      </c>
      <c r="S495" s="63" t="str">
        <f>VLOOKUP(R495,SA!$B$5:$C$11,2,1)</f>
        <v>0-35</v>
      </c>
      <c r="T495" s="38" t="s">
        <v>96</v>
      </c>
      <c r="U495" s="24" t="s">
        <v>56</v>
      </c>
      <c r="V495" s="24">
        <v>300000</v>
      </c>
      <c r="W495" s="39">
        <f t="shared" si="142"/>
        <v>300000</v>
      </c>
      <c r="X495" s="29">
        <f t="shared" si="143"/>
        <v>1</v>
      </c>
      <c r="Y495" s="40">
        <f t="shared" si="144"/>
        <v>365</v>
      </c>
      <c r="Z495" s="38">
        <f t="shared" si="139"/>
        <v>46081</v>
      </c>
      <c r="AA495" s="41">
        <f t="shared" si="145"/>
        <v>264</v>
      </c>
      <c r="AB495" s="24" t="s">
        <v>125</v>
      </c>
      <c r="AC495" s="41">
        <f t="shared" si="146"/>
        <v>3874.2114000000001</v>
      </c>
      <c r="AD495" s="41">
        <v>1</v>
      </c>
      <c r="AE495" s="72">
        <f>IFERROR(INDEX(SA!$C$4:$E$11,MATCH(Details!S495,SA!$C$4:$C$11,0),MATCH(Details!V495,SA!$C$4:$E$4,0)),0)*Y495/(F495-E495+1)</f>
        <v>3283.23</v>
      </c>
      <c r="AF495" s="41">
        <f t="shared" si="147"/>
        <v>0</v>
      </c>
      <c r="AG495" s="41">
        <f t="shared" si="148"/>
        <v>0</v>
      </c>
      <c r="AH495" s="41">
        <f t="shared" si="149"/>
        <v>590.98140000000001</v>
      </c>
      <c r="AI495" s="60">
        <f t="shared" si="150"/>
        <v>131.32920000000001</v>
      </c>
      <c r="AJ495" s="60">
        <f t="shared" si="151"/>
        <v>738.72675000000004</v>
      </c>
      <c r="AK495" s="60">
        <f t="shared" si="152"/>
        <v>2374.7197808219175</v>
      </c>
      <c r="AL495" s="60">
        <f t="shared" si="153"/>
        <v>1745.4190389041094</v>
      </c>
      <c r="AM495" s="41">
        <f t="shared" si="154"/>
        <v>667.7550110958905</v>
      </c>
      <c r="AN495" s="42">
        <f t="shared" si="155"/>
        <v>45715</v>
      </c>
      <c r="AO495" s="43">
        <f t="shared" si="156"/>
        <v>3283.23</v>
      </c>
    </row>
    <row r="496" spans="1:41" s="24" customFormat="1" ht="15.75" customHeight="1" x14ac:dyDescent="0.35">
      <c r="A496" s="36" t="s">
        <v>27</v>
      </c>
      <c r="B496" s="36">
        <v>202506</v>
      </c>
      <c r="C496" s="24" t="s">
        <v>128</v>
      </c>
      <c r="D496" s="24" t="s">
        <v>129</v>
      </c>
      <c r="E496" s="62">
        <v>45818</v>
      </c>
      <c r="F496" s="62">
        <v>46182</v>
      </c>
      <c r="G496" s="37" t="s">
        <v>622</v>
      </c>
      <c r="H496" s="36">
        <v>2278</v>
      </c>
      <c r="I496" s="63">
        <v>33731</v>
      </c>
      <c r="J496" s="24" t="s">
        <v>1272</v>
      </c>
      <c r="K496" s="63">
        <f t="shared" si="140"/>
        <v>45818</v>
      </c>
      <c r="L496" s="55">
        <f t="shared" si="141"/>
        <v>0.04</v>
      </c>
      <c r="M496" s="76">
        <v>0.22500000000000001</v>
      </c>
      <c r="N496" s="62">
        <v>45818</v>
      </c>
      <c r="O496" s="62">
        <v>46182</v>
      </c>
      <c r="P496" s="63"/>
      <c r="Q496" s="63"/>
      <c r="R496" s="82">
        <v>33</v>
      </c>
      <c r="S496" s="63" t="str">
        <f>VLOOKUP(R496,SA!$B$5:$C$11,2,1)</f>
        <v>0-35</v>
      </c>
      <c r="T496" s="38" t="s">
        <v>96</v>
      </c>
      <c r="U496" s="24" t="s">
        <v>56</v>
      </c>
      <c r="V496" s="24">
        <v>300000</v>
      </c>
      <c r="W496" s="39">
        <f t="shared" si="142"/>
        <v>300000</v>
      </c>
      <c r="X496" s="29">
        <f t="shared" si="143"/>
        <v>1</v>
      </c>
      <c r="Y496" s="40">
        <f t="shared" si="144"/>
        <v>365</v>
      </c>
      <c r="Z496" s="38">
        <f t="shared" si="139"/>
        <v>46081</v>
      </c>
      <c r="AA496" s="41">
        <f t="shared" si="145"/>
        <v>264</v>
      </c>
      <c r="AB496" s="24" t="s">
        <v>125</v>
      </c>
      <c r="AC496" s="41">
        <f t="shared" si="146"/>
        <v>3874.2114000000001</v>
      </c>
      <c r="AD496" s="41">
        <v>1</v>
      </c>
      <c r="AE496" s="72">
        <f>IFERROR(INDEX(SA!$C$4:$E$11,MATCH(Details!S496,SA!$C$4:$C$11,0),MATCH(Details!V496,SA!$C$4:$E$4,0)),0)*Y496/(F496-E496+1)</f>
        <v>3283.23</v>
      </c>
      <c r="AF496" s="41">
        <f t="shared" si="147"/>
        <v>0</v>
      </c>
      <c r="AG496" s="41">
        <f t="shared" si="148"/>
        <v>0</v>
      </c>
      <c r="AH496" s="41">
        <f t="shared" si="149"/>
        <v>590.98140000000001</v>
      </c>
      <c r="AI496" s="60">
        <f t="shared" si="150"/>
        <v>131.32920000000001</v>
      </c>
      <c r="AJ496" s="60">
        <f t="shared" si="151"/>
        <v>738.72675000000004</v>
      </c>
      <c r="AK496" s="60">
        <f t="shared" si="152"/>
        <v>2374.7197808219175</v>
      </c>
      <c r="AL496" s="60">
        <f t="shared" si="153"/>
        <v>1745.4190389041094</v>
      </c>
      <c r="AM496" s="41">
        <f t="shared" si="154"/>
        <v>667.7550110958905</v>
      </c>
      <c r="AN496" s="42">
        <f t="shared" si="155"/>
        <v>45715</v>
      </c>
      <c r="AO496" s="43">
        <f t="shared" si="156"/>
        <v>3283.23</v>
      </c>
    </row>
    <row r="497" spans="1:41" s="24" customFormat="1" ht="15.75" customHeight="1" x14ac:dyDescent="0.35">
      <c r="A497" s="36" t="s">
        <v>27</v>
      </c>
      <c r="B497" s="36">
        <v>202506</v>
      </c>
      <c r="C497" s="24" t="s">
        <v>128</v>
      </c>
      <c r="D497" s="24" t="s">
        <v>129</v>
      </c>
      <c r="E497" s="62">
        <v>45818</v>
      </c>
      <c r="F497" s="62">
        <v>46182</v>
      </c>
      <c r="G497" s="37" t="s">
        <v>623</v>
      </c>
      <c r="H497" s="36">
        <v>2278</v>
      </c>
      <c r="I497" s="63">
        <v>35455</v>
      </c>
      <c r="J497" s="24" t="s">
        <v>1273</v>
      </c>
      <c r="K497" s="63">
        <f t="shared" si="140"/>
        <v>45818</v>
      </c>
      <c r="L497" s="55">
        <f t="shared" si="141"/>
        <v>0.04</v>
      </c>
      <c r="M497" s="76">
        <v>0.22500000000000001</v>
      </c>
      <c r="N497" s="62">
        <v>45818</v>
      </c>
      <c r="O497" s="62">
        <v>46182</v>
      </c>
      <c r="P497" s="63"/>
      <c r="Q497" s="63"/>
      <c r="R497" s="82">
        <v>28</v>
      </c>
      <c r="S497" s="63" t="str">
        <f>VLOOKUP(R497,SA!$B$5:$C$11,2,1)</f>
        <v>0-35</v>
      </c>
      <c r="T497" s="38" t="s">
        <v>97</v>
      </c>
      <c r="U497" s="24" t="s">
        <v>115</v>
      </c>
      <c r="V497" s="24">
        <v>300000</v>
      </c>
      <c r="W497" s="39">
        <f t="shared" si="142"/>
        <v>0</v>
      </c>
      <c r="X497" s="29">
        <f t="shared" si="143"/>
        <v>0</v>
      </c>
      <c r="Y497" s="40">
        <f t="shared" si="144"/>
        <v>365</v>
      </c>
      <c r="Z497" s="38">
        <f t="shared" si="139"/>
        <v>46081</v>
      </c>
      <c r="AA497" s="41">
        <f t="shared" si="145"/>
        <v>264</v>
      </c>
      <c r="AB497" s="24" t="s">
        <v>125</v>
      </c>
      <c r="AC497" s="41">
        <f t="shared" si="146"/>
        <v>3874.2114000000001</v>
      </c>
      <c r="AD497" s="41">
        <v>1</v>
      </c>
      <c r="AE497" s="72">
        <f>IFERROR(INDEX(SA!$C$4:$E$11,MATCH(Details!S497,SA!$C$4:$C$11,0),MATCH(Details!V497,SA!$C$4:$E$4,0)),0)*Y497/(F497-E497+1)</f>
        <v>3283.23</v>
      </c>
      <c r="AF497" s="41">
        <f t="shared" si="147"/>
        <v>0</v>
      </c>
      <c r="AG497" s="41">
        <f t="shared" si="148"/>
        <v>0</v>
      </c>
      <c r="AH497" s="41">
        <f t="shared" si="149"/>
        <v>590.98140000000001</v>
      </c>
      <c r="AI497" s="60">
        <f t="shared" si="150"/>
        <v>131.32920000000001</v>
      </c>
      <c r="AJ497" s="60">
        <f t="shared" si="151"/>
        <v>738.72675000000004</v>
      </c>
      <c r="AK497" s="60">
        <f t="shared" si="152"/>
        <v>2374.7197808219175</v>
      </c>
      <c r="AL497" s="60">
        <f t="shared" si="153"/>
        <v>1745.4190389041094</v>
      </c>
      <c r="AM497" s="41">
        <f t="shared" si="154"/>
        <v>667.7550110958905</v>
      </c>
      <c r="AN497" s="42">
        <f t="shared" si="155"/>
        <v>45715</v>
      </c>
      <c r="AO497" s="43">
        <f t="shared" si="156"/>
        <v>3283.23</v>
      </c>
    </row>
    <row r="498" spans="1:41" s="24" customFormat="1" ht="15.75" customHeight="1" x14ac:dyDescent="0.35">
      <c r="A498" s="36" t="s">
        <v>27</v>
      </c>
      <c r="B498" s="36">
        <v>202506</v>
      </c>
      <c r="C498" s="24" t="s">
        <v>128</v>
      </c>
      <c r="D498" s="24" t="s">
        <v>129</v>
      </c>
      <c r="E498" s="62">
        <v>45818</v>
      </c>
      <c r="F498" s="62">
        <v>46182</v>
      </c>
      <c r="G498" s="37" t="s">
        <v>624</v>
      </c>
      <c r="H498" s="36">
        <v>2279</v>
      </c>
      <c r="I498" s="63">
        <v>34516</v>
      </c>
      <c r="J498" s="24" t="s">
        <v>1274</v>
      </c>
      <c r="K498" s="63">
        <f t="shared" si="140"/>
        <v>45818</v>
      </c>
      <c r="L498" s="55">
        <f t="shared" si="141"/>
        <v>0.04</v>
      </c>
      <c r="M498" s="76">
        <v>0.22500000000000001</v>
      </c>
      <c r="N498" s="62">
        <v>45818</v>
      </c>
      <c r="O498" s="62">
        <v>46182</v>
      </c>
      <c r="P498" s="63"/>
      <c r="Q498" s="63"/>
      <c r="R498" s="82">
        <v>30</v>
      </c>
      <c r="S498" s="63" t="str">
        <f>VLOOKUP(R498,SA!$B$5:$C$11,2,1)</f>
        <v>0-35</v>
      </c>
      <c r="T498" s="38" t="s">
        <v>96</v>
      </c>
      <c r="U498" s="24" t="s">
        <v>56</v>
      </c>
      <c r="V498" s="24">
        <v>300000</v>
      </c>
      <c r="W498" s="39">
        <f t="shared" si="142"/>
        <v>300000</v>
      </c>
      <c r="X498" s="29">
        <f t="shared" si="143"/>
        <v>1</v>
      </c>
      <c r="Y498" s="40">
        <f t="shared" si="144"/>
        <v>365</v>
      </c>
      <c r="Z498" s="38">
        <f t="shared" si="139"/>
        <v>46081</v>
      </c>
      <c r="AA498" s="41">
        <f t="shared" si="145"/>
        <v>264</v>
      </c>
      <c r="AB498" s="24" t="s">
        <v>125</v>
      </c>
      <c r="AC498" s="41">
        <f t="shared" si="146"/>
        <v>3874.2114000000001</v>
      </c>
      <c r="AD498" s="41">
        <v>1</v>
      </c>
      <c r="AE498" s="72">
        <f>IFERROR(INDEX(SA!$C$4:$E$11,MATCH(Details!S498,SA!$C$4:$C$11,0),MATCH(Details!V498,SA!$C$4:$E$4,0)),0)*Y498/(F498-E498+1)</f>
        <v>3283.23</v>
      </c>
      <c r="AF498" s="41">
        <f t="shared" si="147"/>
        <v>0</v>
      </c>
      <c r="AG498" s="41">
        <f t="shared" si="148"/>
        <v>0</v>
      </c>
      <c r="AH498" s="41">
        <f t="shared" si="149"/>
        <v>590.98140000000001</v>
      </c>
      <c r="AI498" s="60">
        <f t="shared" si="150"/>
        <v>131.32920000000001</v>
      </c>
      <c r="AJ498" s="60">
        <f t="shared" si="151"/>
        <v>738.72675000000004</v>
      </c>
      <c r="AK498" s="60">
        <f t="shared" si="152"/>
        <v>2374.7197808219175</v>
      </c>
      <c r="AL498" s="60">
        <f t="shared" si="153"/>
        <v>1745.4190389041094</v>
      </c>
      <c r="AM498" s="41">
        <f t="shared" si="154"/>
        <v>667.7550110958905</v>
      </c>
      <c r="AN498" s="42">
        <f t="shared" si="155"/>
        <v>45715</v>
      </c>
      <c r="AO498" s="43">
        <f t="shared" si="156"/>
        <v>3283.23</v>
      </c>
    </row>
    <row r="499" spans="1:41" s="24" customFormat="1" ht="15.75" customHeight="1" x14ac:dyDescent="0.35">
      <c r="A499" s="36" t="s">
        <v>27</v>
      </c>
      <c r="B499" s="36">
        <v>202506</v>
      </c>
      <c r="C499" s="24" t="s">
        <v>128</v>
      </c>
      <c r="D499" s="24" t="s">
        <v>129</v>
      </c>
      <c r="E499" s="62">
        <v>45818</v>
      </c>
      <c r="F499" s="62">
        <v>46182</v>
      </c>
      <c r="G499" s="37" t="s">
        <v>625</v>
      </c>
      <c r="H499" s="36">
        <v>2281</v>
      </c>
      <c r="I499" s="63">
        <v>34834</v>
      </c>
      <c r="J499" s="24" t="s">
        <v>1275</v>
      </c>
      <c r="K499" s="63">
        <f t="shared" si="140"/>
        <v>45818</v>
      </c>
      <c r="L499" s="55">
        <f t="shared" si="141"/>
        <v>0.04</v>
      </c>
      <c r="M499" s="76">
        <v>0.22500000000000001</v>
      </c>
      <c r="N499" s="62">
        <v>45818</v>
      </c>
      <c r="O499" s="62">
        <v>46182</v>
      </c>
      <c r="P499" s="63"/>
      <c r="Q499" s="63"/>
      <c r="R499" s="82">
        <v>30</v>
      </c>
      <c r="S499" s="63" t="str">
        <f>VLOOKUP(R499,SA!$B$5:$C$11,2,1)</f>
        <v>0-35</v>
      </c>
      <c r="T499" s="38" t="s">
        <v>96</v>
      </c>
      <c r="U499" s="24" t="s">
        <v>56</v>
      </c>
      <c r="V499" s="24">
        <v>300000</v>
      </c>
      <c r="W499" s="39">
        <f t="shared" si="142"/>
        <v>300000</v>
      </c>
      <c r="X499" s="29">
        <f t="shared" si="143"/>
        <v>1</v>
      </c>
      <c r="Y499" s="40">
        <f t="shared" si="144"/>
        <v>365</v>
      </c>
      <c r="Z499" s="38">
        <f t="shared" si="139"/>
        <v>46081</v>
      </c>
      <c r="AA499" s="41">
        <f t="shared" si="145"/>
        <v>264</v>
      </c>
      <c r="AB499" s="24" t="s">
        <v>125</v>
      </c>
      <c r="AC499" s="41">
        <f t="shared" si="146"/>
        <v>3874.2114000000001</v>
      </c>
      <c r="AD499" s="41">
        <v>1</v>
      </c>
      <c r="AE499" s="72">
        <f>IFERROR(INDEX(SA!$C$4:$E$11,MATCH(Details!S499,SA!$C$4:$C$11,0),MATCH(Details!V499,SA!$C$4:$E$4,0)),0)*Y499/(F499-E499+1)</f>
        <v>3283.23</v>
      </c>
      <c r="AF499" s="41">
        <f t="shared" si="147"/>
        <v>0</v>
      </c>
      <c r="AG499" s="41">
        <f t="shared" si="148"/>
        <v>0</v>
      </c>
      <c r="AH499" s="41">
        <f t="shared" si="149"/>
        <v>590.98140000000001</v>
      </c>
      <c r="AI499" s="60">
        <f t="shared" si="150"/>
        <v>131.32920000000001</v>
      </c>
      <c r="AJ499" s="60">
        <f t="shared" si="151"/>
        <v>738.72675000000004</v>
      </c>
      <c r="AK499" s="60">
        <f t="shared" si="152"/>
        <v>2374.7197808219175</v>
      </c>
      <c r="AL499" s="60">
        <f t="shared" si="153"/>
        <v>1745.4190389041094</v>
      </c>
      <c r="AM499" s="41">
        <f t="shared" si="154"/>
        <v>667.7550110958905</v>
      </c>
      <c r="AN499" s="42">
        <f t="shared" si="155"/>
        <v>45715</v>
      </c>
      <c r="AO499" s="43">
        <f t="shared" si="156"/>
        <v>3283.23</v>
      </c>
    </row>
    <row r="500" spans="1:41" s="24" customFormat="1" ht="15.75" customHeight="1" x14ac:dyDescent="0.35">
      <c r="A500" s="36" t="s">
        <v>27</v>
      </c>
      <c r="B500" s="36">
        <v>202506</v>
      </c>
      <c r="C500" s="24" t="s">
        <v>128</v>
      </c>
      <c r="D500" s="24" t="s">
        <v>129</v>
      </c>
      <c r="E500" s="62">
        <v>45818</v>
      </c>
      <c r="F500" s="62">
        <v>46182</v>
      </c>
      <c r="G500" s="37" t="s">
        <v>626</v>
      </c>
      <c r="H500" s="36">
        <v>2282</v>
      </c>
      <c r="I500" s="63">
        <v>30840</v>
      </c>
      <c r="J500" s="24" t="s">
        <v>1276</v>
      </c>
      <c r="K500" s="63">
        <f t="shared" si="140"/>
        <v>45818</v>
      </c>
      <c r="L500" s="55">
        <f t="shared" si="141"/>
        <v>0.04</v>
      </c>
      <c r="M500" s="76">
        <v>0.22500000000000001</v>
      </c>
      <c r="N500" s="62">
        <v>45818</v>
      </c>
      <c r="O500" s="62">
        <v>46182</v>
      </c>
      <c r="P500" s="63"/>
      <c r="Q500" s="63"/>
      <c r="R500" s="82">
        <v>41</v>
      </c>
      <c r="S500" s="63" t="str">
        <f>VLOOKUP(R500,SA!$B$5:$C$11,2,1)</f>
        <v>36-45</v>
      </c>
      <c r="T500" s="38" t="s">
        <v>96</v>
      </c>
      <c r="U500" s="24" t="s">
        <v>56</v>
      </c>
      <c r="V500" s="24">
        <v>300000</v>
      </c>
      <c r="W500" s="39">
        <f t="shared" si="142"/>
        <v>300000</v>
      </c>
      <c r="X500" s="29">
        <f t="shared" si="143"/>
        <v>1</v>
      </c>
      <c r="Y500" s="40">
        <f t="shared" si="144"/>
        <v>365</v>
      </c>
      <c r="Z500" s="38">
        <f t="shared" si="139"/>
        <v>46081</v>
      </c>
      <c r="AA500" s="41">
        <f t="shared" si="145"/>
        <v>264</v>
      </c>
      <c r="AB500" s="24" t="s">
        <v>125</v>
      </c>
      <c r="AC500" s="41">
        <f t="shared" si="146"/>
        <v>5017.3245999999999</v>
      </c>
      <c r="AD500" s="41">
        <v>1</v>
      </c>
      <c r="AE500" s="72">
        <f>IFERROR(INDEX(SA!$C$4:$E$11,MATCH(Details!S500,SA!$C$4:$C$11,0),MATCH(Details!V500,SA!$C$4:$E$4,0)),0)*Y500/(F500-E500+1)</f>
        <v>4251.97</v>
      </c>
      <c r="AF500" s="41">
        <f t="shared" si="147"/>
        <v>0</v>
      </c>
      <c r="AG500" s="41">
        <f t="shared" si="148"/>
        <v>0</v>
      </c>
      <c r="AH500" s="41">
        <f t="shared" si="149"/>
        <v>765.3546</v>
      </c>
      <c r="AI500" s="60">
        <f t="shared" si="150"/>
        <v>170.0788</v>
      </c>
      <c r="AJ500" s="60">
        <f t="shared" si="151"/>
        <v>956.69325000000003</v>
      </c>
      <c r="AK500" s="60">
        <f t="shared" si="152"/>
        <v>3075.397479452055</v>
      </c>
      <c r="AL500" s="60">
        <f t="shared" si="153"/>
        <v>2260.4171473972606</v>
      </c>
      <c r="AM500" s="41">
        <f t="shared" si="154"/>
        <v>864.78080260273941</v>
      </c>
      <c r="AN500" s="42">
        <f t="shared" si="155"/>
        <v>45715</v>
      </c>
      <c r="AO500" s="43">
        <f t="shared" si="156"/>
        <v>4251.97</v>
      </c>
    </row>
    <row r="501" spans="1:41" s="24" customFormat="1" ht="15.75" customHeight="1" x14ac:dyDescent="0.35">
      <c r="A501" s="36" t="s">
        <v>27</v>
      </c>
      <c r="B501" s="36">
        <v>202506</v>
      </c>
      <c r="C501" s="24" t="s">
        <v>128</v>
      </c>
      <c r="D501" s="24" t="s">
        <v>129</v>
      </c>
      <c r="E501" s="62">
        <v>45818</v>
      </c>
      <c r="F501" s="62">
        <v>46182</v>
      </c>
      <c r="G501" s="37" t="s">
        <v>627</v>
      </c>
      <c r="H501" s="36">
        <v>2282</v>
      </c>
      <c r="I501" s="63">
        <v>33690</v>
      </c>
      <c r="J501" s="24" t="s">
        <v>1277</v>
      </c>
      <c r="K501" s="63">
        <f t="shared" si="140"/>
        <v>45818</v>
      </c>
      <c r="L501" s="55">
        <f t="shared" si="141"/>
        <v>0.04</v>
      </c>
      <c r="M501" s="76">
        <v>0.22500000000000001</v>
      </c>
      <c r="N501" s="62">
        <v>45818</v>
      </c>
      <c r="O501" s="62">
        <v>46182</v>
      </c>
      <c r="P501" s="63"/>
      <c r="Q501" s="63"/>
      <c r="R501" s="82">
        <v>33</v>
      </c>
      <c r="S501" s="63" t="str">
        <f>VLOOKUP(R501,SA!$B$5:$C$11,2,1)</f>
        <v>0-35</v>
      </c>
      <c r="T501" s="38" t="s">
        <v>97</v>
      </c>
      <c r="U501" s="24" t="s">
        <v>115</v>
      </c>
      <c r="V501" s="24">
        <v>300000</v>
      </c>
      <c r="W501" s="39">
        <f t="shared" si="142"/>
        <v>0</v>
      </c>
      <c r="X501" s="29">
        <f t="shared" si="143"/>
        <v>0</v>
      </c>
      <c r="Y501" s="40">
        <f t="shared" si="144"/>
        <v>365</v>
      </c>
      <c r="Z501" s="38">
        <f t="shared" si="139"/>
        <v>46081</v>
      </c>
      <c r="AA501" s="41">
        <f t="shared" si="145"/>
        <v>264</v>
      </c>
      <c r="AB501" s="24" t="s">
        <v>125</v>
      </c>
      <c r="AC501" s="41">
        <f t="shared" si="146"/>
        <v>3874.2114000000001</v>
      </c>
      <c r="AD501" s="41">
        <v>1</v>
      </c>
      <c r="AE501" s="72">
        <f>IFERROR(INDEX(SA!$C$4:$E$11,MATCH(Details!S501,SA!$C$4:$C$11,0),MATCH(Details!V501,SA!$C$4:$E$4,0)),0)*Y501/(F501-E501+1)</f>
        <v>3283.23</v>
      </c>
      <c r="AF501" s="41">
        <f t="shared" si="147"/>
        <v>0</v>
      </c>
      <c r="AG501" s="41">
        <f t="shared" si="148"/>
        <v>0</v>
      </c>
      <c r="AH501" s="41">
        <f t="shared" si="149"/>
        <v>590.98140000000001</v>
      </c>
      <c r="AI501" s="60">
        <f t="shared" si="150"/>
        <v>131.32920000000001</v>
      </c>
      <c r="AJ501" s="60">
        <f t="shared" si="151"/>
        <v>738.72675000000004</v>
      </c>
      <c r="AK501" s="60">
        <f t="shared" si="152"/>
        <v>2374.7197808219175</v>
      </c>
      <c r="AL501" s="60">
        <f t="shared" si="153"/>
        <v>1745.4190389041094</v>
      </c>
      <c r="AM501" s="41">
        <f t="shared" si="154"/>
        <v>667.7550110958905</v>
      </c>
      <c r="AN501" s="42">
        <f t="shared" si="155"/>
        <v>45715</v>
      </c>
      <c r="AO501" s="43">
        <f t="shared" si="156"/>
        <v>3283.23</v>
      </c>
    </row>
    <row r="502" spans="1:41" s="24" customFormat="1" ht="15.75" customHeight="1" x14ac:dyDescent="0.35">
      <c r="A502" s="36" t="s">
        <v>27</v>
      </c>
      <c r="B502" s="36">
        <v>202506</v>
      </c>
      <c r="C502" s="24" t="s">
        <v>128</v>
      </c>
      <c r="D502" s="24" t="s">
        <v>129</v>
      </c>
      <c r="E502" s="62">
        <v>45818</v>
      </c>
      <c r="F502" s="62">
        <v>46182</v>
      </c>
      <c r="G502" s="37" t="s">
        <v>628</v>
      </c>
      <c r="H502" s="36">
        <v>2282</v>
      </c>
      <c r="I502" s="63">
        <v>42727</v>
      </c>
      <c r="J502" s="24" t="s">
        <v>1278</v>
      </c>
      <c r="K502" s="63">
        <f t="shared" si="140"/>
        <v>45818</v>
      </c>
      <c r="L502" s="55">
        <f t="shared" si="141"/>
        <v>0.04</v>
      </c>
      <c r="M502" s="76">
        <v>0.22500000000000001</v>
      </c>
      <c r="N502" s="62">
        <v>45818</v>
      </c>
      <c r="O502" s="62">
        <v>46182</v>
      </c>
      <c r="P502" s="63"/>
      <c r="Q502" s="63"/>
      <c r="R502" s="82">
        <v>8</v>
      </c>
      <c r="S502" s="63" t="str">
        <f>VLOOKUP(R502,SA!$B$5:$C$11,2,1)</f>
        <v>0-35</v>
      </c>
      <c r="T502" s="38" t="s">
        <v>96</v>
      </c>
      <c r="U502" s="24" t="s">
        <v>114</v>
      </c>
      <c r="V502" s="24">
        <v>300000</v>
      </c>
      <c r="W502" s="39">
        <f t="shared" si="142"/>
        <v>0</v>
      </c>
      <c r="X502" s="29">
        <f t="shared" si="143"/>
        <v>0</v>
      </c>
      <c r="Y502" s="40">
        <f t="shared" si="144"/>
        <v>365</v>
      </c>
      <c r="Z502" s="38">
        <f t="shared" si="139"/>
        <v>46081</v>
      </c>
      <c r="AA502" s="41">
        <f t="shared" si="145"/>
        <v>264</v>
      </c>
      <c r="AB502" s="24" t="s">
        <v>125</v>
      </c>
      <c r="AC502" s="41">
        <f t="shared" si="146"/>
        <v>3874.2114000000001</v>
      </c>
      <c r="AD502" s="41">
        <v>1</v>
      </c>
      <c r="AE502" s="72">
        <f>IFERROR(INDEX(SA!$C$4:$E$11,MATCH(Details!S502,SA!$C$4:$C$11,0),MATCH(Details!V502,SA!$C$4:$E$4,0)),0)*Y502/(F502-E502+1)</f>
        <v>3283.23</v>
      </c>
      <c r="AF502" s="41">
        <f t="shared" si="147"/>
        <v>0</v>
      </c>
      <c r="AG502" s="41">
        <f t="shared" si="148"/>
        <v>0</v>
      </c>
      <c r="AH502" s="41">
        <f t="shared" si="149"/>
        <v>590.98140000000001</v>
      </c>
      <c r="AI502" s="60">
        <f t="shared" si="150"/>
        <v>131.32920000000001</v>
      </c>
      <c r="AJ502" s="60">
        <f t="shared" si="151"/>
        <v>738.72675000000004</v>
      </c>
      <c r="AK502" s="60">
        <f t="shared" si="152"/>
        <v>2374.7197808219175</v>
      </c>
      <c r="AL502" s="60">
        <f t="shared" si="153"/>
        <v>1745.4190389041094</v>
      </c>
      <c r="AM502" s="41">
        <f t="shared" si="154"/>
        <v>667.7550110958905</v>
      </c>
      <c r="AN502" s="42">
        <f t="shared" si="155"/>
        <v>45715</v>
      </c>
      <c r="AO502" s="43">
        <f t="shared" si="156"/>
        <v>3283.23</v>
      </c>
    </row>
    <row r="503" spans="1:41" s="24" customFormat="1" ht="15.75" customHeight="1" x14ac:dyDescent="0.35">
      <c r="A503" s="36" t="s">
        <v>27</v>
      </c>
      <c r="B503" s="36">
        <v>202506</v>
      </c>
      <c r="C503" s="24" t="s">
        <v>128</v>
      </c>
      <c r="D503" s="24" t="s">
        <v>129</v>
      </c>
      <c r="E503" s="62">
        <v>45818</v>
      </c>
      <c r="F503" s="62">
        <v>46182</v>
      </c>
      <c r="G503" s="37" t="s">
        <v>629</v>
      </c>
      <c r="H503" s="36">
        <v>2283</v>
      </c>
      <c r="I503" s="63">
        <v>32523</v>
      </c>
      <c r="J503" s="24" t="s">
        <v>1279</v>
      </c>
      <c r="K503" s="63">
        <f t="shared" si="140"/>
        <v>45818</v>
      </c>
      <c r="L503" s="55">
        <f t="shared" si="141"/>
        <v>0.04</v>
      </c>
      <c r="M503" s="76">
        <v>0.22500000000000001</v>
      </c>
      <c r="N503" s="62">
        <v>45818</v>
      </c>
      <c r="O503" s="62">
        <v>46182</v>
      </c>
      <c r="P503" s="63"/>
      <c r="Q503" s="63"/>
      <c r="R503" s="82">
        <v>36</v>
      </c>
      <c r="S503" s="63" t="str">
        <f>VLOOKUP(R503,SA!$B$5:$C$11,2,1)</f>
        <v>36-45</v>
      </c>
      <c r="T503" s="38" t="s">
        <v>96</v>
      </c>
      <c r="U503" s="24" t="s">
        <v>56</v>
      </c>
      <c r="V503" s="24">
        <v>300000</v>
      </c>
      <c r="W503" s="39">
        <f t="shared" si="142"/>
        <v>300000</v>
      </c>
      <c r="X503" s="29">
        <f t="shared" si="143"/>
        <v>1</v>
      </c>
      <c r="Y503" s="40">
        <f t="shared" si="144"/>
        <v>365</v>
      </c>
      <c r="Z503" s="38">
        <f t="shared" si="139"/>
        <v>46081</v>
      </c>
      <c r="AA503" s="41">
        <f t="shared" si="145"/>
        <v>264</v>
      </c>
      <c r="AB503" s="24" t="s">
        <v>125</v>
      </c>
      <c r="AC503" s="41">
        <f t="shared" si="146"/>
        <v>5017.3245999999999</v>
      </c>
      <c r="AD503" s="41">
        <v>1</v>
      </c>
      <c r="AE503" s="72">
        <f>IFERROR(INDEX(SA!$C$4:$E$11,MATCH(Details!S503,SA!$C$4:$C$11,0),MATCH(Details!V503,SA!$C$4:$E$4,0)),0)*Y503/(F503-E503+1)</f>
        <v>4251.97</v>
      </c>
      <c r="AF503" s="41">
        <f t="shared" si="147"/>
        <v>0</v>
      </c>
      <c r="AG503" s="41">
        <f t="shared" si="148"/>
        <v>0</v>
      </c>
      <c r="AH503" s="41">
        <f t="shared" si="149"/>
        <v>765.3546</v>
      </c>
      <c r="AI503" s="60">
        <f t="shared" si="150"/>
        <v>170.0788</v>
      </c>
      <c r="AJ503" s="60">
        <f t="shared" si="151"/>
        <v>956.69325000000003</v>
      </c>
      <c r="AK503" s="60">
        <f t="shared" si="152"/>
        <v>3075.397479452055</v>
      </c>
      <c r="AL503" s="60">
        <f t="shared" si="153"/>
        <v>2260.4171473972606</v>
      </c>
      <c r="AM503" s="41">
        <f t="shared" si="154"/>
        <v>864.78080260273941</v>
      </c>
      <c r="AN503" s="42">
        <f t="shared" si="155"/>
        <v>45715</v>
      </c>
      <c r="AO503" s="43">
        <f t="shared" si="156"/>
        <v>4251.97</v>
      </c>
    </row>
    <row r="504" spans="1:41" s="24" customFormat="1" ht="15.75" customHeight="1" x14ac:dyDescent="0.35">
      <c r="A504" s="36" t="s">
        <v>27</v>
      </c>
      <c r="B504" s="36">
        <v>202506</v>
      </c>
      <c r="C504" s="24" t="s">
        <v>128</v>
      </c>
      <c r="D504" s="24" t="s">
        <v>129</v>
      </c>
      <c r="E504" s="62">
        <v>45818</v>
      </c>
      <c r="F504" s="62">
        <v>46182</v>
      </c>
      <c r="G504" s="37" t="s">
        <v>630</v>
      </c>
      <c r="H504" s="36">
        <v>2283</v>
      </c>
      <c r="I504" s="63">
        <v>36057</v>
      </c>
      <c r="J504" s="24" t="s">
        <v>1280</v>
      </c>
      <c r="K504" s="63">
        <f t="shared" si="140"/>
        <v>45818</v>
      </c>
      <c r="L504" s="55">
        <f t="shared" si="141"/>
        <v>0.04</v>
      </c>
      <c r="M504" s="76">
        <v>0.22500000000000001</v>
      </c>
      <c r="N504" s="62">
        <v>45818</v>
      </c>
      <c r="O504" s="62">
        <v>46182</v>
      </c>
      <c r="P504" s="63"/>
      <c r="Q504" s="63"/>
      <c r="R504" s="82">
        <v>26</v>
      </c>
      <c r="S504" s="63" t="str">
        <f>VLOOKUP(R504,SA!$B$5:$C$11,2,1)</f>
        <v>0-35</v>
      </c>
      <c r="T504" s="38" t="s">
        <v>97</v>
      </c>
      <c r="U504" s="24" t="s">
        <v>115</v>
      </c>
      <c r="V504" s="24">
        <v>300000</v>
      </c>
      <c r="W504" s="39">
        <f t="shared" si="142"/>
        <v>0</v>
      </c>
      <c r="X504" s="29">
        <f t="shared" si="143"/>
        <v>0</v>
      </c>
      <c r="Y504" s="40">
        <f t="shared" si="144"/>
        <v>365</v>
      </c>
      <c r="Z504" s="38">
        <f t="shared" si="139"/>
        <v>46081</v>
      </c>
      <c r="AA504" s="41">
        <f t="shared" si="145"/>
        <v>264</v>
      </c>
      <c r="AB504" s="24" t="s">
        <v>125</v>
      </c>
      <c r="AC504" s="41">
        <f t="shared" si="146"/>
        <v>3874.2114000000001</v>
      </c>
      <c r="AD504" s="41">
        <v>1</v>
      </c>
      <c r="AE504" s="72">
        <f>IFERROR(INDEX(SA!$C$4:$E$11,MATCH(Details!S504,SA!$C$4:$C$11,0),MATCH(Details!V504,SA!$C$4:$E$4,0)),0)*Y504/(F504-E504+1)</f>
        <v>3283.23</v>
      </c>
      <c r="AF504" s="41">
        <f t="shared" si="147"/>
        <v>0</v>
      </c>
      <c r="AG504" s="41">
        <f t="shared" si="148"/>
        <v>0</v>
      </c>
      <c r="AH504" s="41">
        <f t="shared" si="149"/>
        <v>590.98140000000001</v>
      </c>
      <c r="AI504" s="60">
        <f t="shared" si="150"/>
        <v>131.32920000000001</v>
      </c>
      <c r="AJ504" s="60">
        <f t="shared" si="151"/>
        <v>738.72675000000004</v>
      </c>
      <c r="AK504" s="60">
        <f t="shared" si="152"/>
        <v>2374.7197808219175</v>
      </c>
      <c r="AL504" s="60">
        <f t="shared" si="153"/>
        <v>1745.4190389041094</v>
      </c>
      <c r="AM504" s="41">
        <f t="shared" si="154"/>
        <v>667.7550110958905</v>
      </c>
      <c r="AN504" s="42">
        <f t="shared" si="155"/>
        <v>45715</v>
      </c>
      <c r="AO504" s="43">
        <f t="shared" si="156"/>
        <v>3283.23</v>
      </c>
    </row>
    <row r="505" spans="1:41" s="24" customFormat="1" ht="15.75" customHeight="1" x14ac:dyDescent="0.35">
      <c r="A505" s="36" t="s">
        <v>27</v>
      </c>
      <c r="B505" s="36">
        <v>202506</v>
      </c>
      <c r="C505" s="24" t="s">
        <v>128</v>
      </c>
      <c r="D505" s="24" t="s">
        <v>129</v>
      </c>
      <c r="E505" s="62">
        <v>45818</v>
      </c>
      <c r="F505" s="62">
        <v>46182</v>
      </c>
      <c r="G505" s="37" t="s">
        <v>631</v>
      </c>
      <c r="H505" s="36">
        <v>2283</v>
      </c>
      <c r="I505" s="63">
        <v>43610</v>
      </c>
      <c r="J505" s="24" t="s">
        <v>1281</v>
      </c>
      <c r="K505" s="63">
        <f t="shared" si="140"/>
        <v>45818</v>
      </c>
      <c r="L505" s="55">
        <f t="shared" si="141"/>
        <v>0.04</v>
      </c>
      <c r="M505" s="76">
        <v>0.22500000000000001</v>
      </c>
      <c r="N505" s="62">
        <v>45818</v>
      </c>
      <c r="O505" s="62">
        <v>46182</v>
      </c>
      <c r="P505" s="63"/>
      <c r="Q505" s="63"/>
      <c r="R505" s="82">
        <v>6</v>
      </c>
      <c r="S505" s="63" t="str">
        <f>VLOOKUP(R505,SA!$B$5:$C$11,2,1)</f>
        <v>0-35</v>
      </c>
      <c r="T505" s="38" t="s">
        <v>97</v>
      </c>
      <c r="U505" s="24" t="s">
        <v>113</v>
      </c>
      <c r="V505" s="24">
        <v>300000</v>
      </c>
      <c r="W505" s="39">
        <f t="shared" si="142"/>
        <v>0</v>
      </c>
      <c r="X505" s="29">
        <f t="shared" si="143"/>
        <v>0</v>
      </c>
      <c r="Y505" s="40">
        <f t="shared" si="144"/>
        <v>365</v>
      </c>
      <c r="Z505" s="38">
        <f t="shared" si="139"/>
        <v>46081</v>
      </c>
      <c r="AA505" s="41">
        <f t="shared" si="145"/>
        <v>264</v>
      </c>
      <c r="AB505" s="24" t="s">
        <v>125</v>
      </c>
      <c r="AC505" s="41">
        <f t="shared" si="146"/>
        <v>3874.2114000000001</v>
      </c>
      <c r="AD505" s="41">
        <v>1</v>
      </c>
      <c r="AE505" s="72">
        <f>IFERROR(INDEX(SA!$C$4:$E$11,MATCH(Details!S505,SA!$C$4:$C$11,0),MATCH(Details!V505,SA!$C$4:$E$4,0)),0)*Y505/(F505-E505+1)</f>
        <v>3283.23</v>
      </c>
      <c r="AF505" s="41">
        <f t="shared" si="147"/>
        <v>0</v>
      </c>
      <c r="AG505" s="41">
        <f t="shared" si="148"/>
        <v>0</v>
      </c>
      <c r="AH505" s="41">
        <f t="shared" si="149"/>
        <v>590.98140000000001</v>
      </c>
      <c r="AI505" s="60">
        <f t="shared" si="150"/>
        <v>131.32920000000001</v>
      </c>
      <c r="AJ505" s="60">
        <f t="shared" si="151"/>
        <v>738.72675000000004</v>
      </c>
      <c r="AK505" s="60">
        <f t="shared" si="152"/>
        <v>2374.7197808219175</v>
      </c>
      <c r="AL505" s="60">
        <f t="shared" si="153"/>
        <v>1745.4190389041094</v>
      </c>
      <c r="AM505" s="41">
        <f t="shared" si="154"/>
        <v>667.7550110958905</v>
      </c>
      <c r="AN505" s="42">
        <f t="shared" si="155"/>
        <v>45715</v>
      </c>
      <c r="AO505" s="43">
        <f t="shared" si="156"/>
        <v>3283.23</v>
      </c>
    </row>
    <row r="506" spans="1:41" s="24" customFormat="1" ht="15.75" customHeight="1" x14ac:dyDescent="0.35">
      <c r="A506" s="36" t="s">
        <v>27</v>
      </c>
      <c r="B506" s="36">
        <v>202506</v>
      </c>
      <c r="C506" s="24" t="s">
        <v>128</v>
      </c>
      <c r="D506" s="24" t="s">
        <v>129</v>
      </c>
      <c r="E506" s="62">
        <v>45818</v>
      </c>
      <c r="F506" s="62">
        <v>46182</v>
      </c>
      <c r="G506" s="37" t="s">
        <v>632</v>
      </c>
      <c r="H506" s="36">
        <v>2284</v>
      </c>
      <c r="I506" s="63">
        <v>34968</v>
      </c>
      <c r="J506" s="24" t="s">
        <v>1282</v>
      </c>
      <c r="K506" s="63">
        <f t="shared" si="140"/>
        <v>45818</v>
      </c>
      <c r="L506" s="55">
        <f t="shared" si="141"/>
        <v>0.04</v>
      </c>
      <c r="M506" s="76">
        <v>0.22500000000000001</v>
      </c>
      <c r="N506" s="62">
        <v>45818</v>
      </c>
      <c r="O506" s="62">
        <v>46182</v>
      </c>
      <c r="P506" s="63"/>
      <c r="Q506" s="63"/>
      <c r="R506" s="82">
        <v>29</v>
      </c>
      <c r="S506" s="63" t="str">
        <f>VLOOKUP(R506,SA!$B$5:$C$11,2,1)</f>
        <v>0-35</v>
      </c>
      <c r="T506" s="38" t="s">
        <v>96</v>
      </c>
      <c r="U506" s="24" t="s">
        <v>56</v>
      </c>
      <c r="V506" s="24">
        <v>300000</v>
      </c>
      <c r="W506" s="39">
        <f t="shared" si="142"/>
        <v>300000</v>
      </c>
      <c r="X506" s="29">
        <f t="shared" si="143"/>
        <v>1</v>
      </c>
      <c r="Y506" s="40">
        <f t="shared" si="144"/>
        <v>365</v>
      </c>
      <c r="Z506" s="38">
        <f t="shared" si="139"/>
        <v>46081</v>
      </c>
      <c r="AA506" s="41">
        <f t="shared" si="145"/>
        <v>264</v>
      </c>
      <c r="AB506" s="24" t="s">
        <v>125</v>
      </c>
      <c r="AC506" s="41">
        <f t="shared" si="146"/>
        <v>3874.2114000000001</v>
      </c>
      <c r="AD506" s="41">
        <v>1</v>
      </c>
      <c r="AE506" s="72">
        <f>IFERROR(INDEX(SA!$C$4:$E$11,MATCH(Details!S506,SA!$C$4:$C$11,0),MATCH(Details!V506,SA!$C$4:$E$4,0)),0)*Y506/(F506-E506+1)</f>
        <v>3283.23</v>
      </c>
      <c r="AF506" s="41">
        <f t="shared" si="147"/>
        <v>0</v>
      </c>
      <c r="AG506" s="41">
        <f t="shared" si="148"/>
        <v>0</v>
      </c>
      <c r="AH506" s="41">
        <f t="shared" si="149"/>
        <v>590.98140000000001</v>
      </c>
      <c r="AI506" s="60">
        <f t="shared" si="150"/>
        <v>131.32920000000001</v>
      </c>
      <c r="AJ506" s="60">
        <f t="shared" si="151"/>
        <v>738.72675000000004</v>
      </c>
      <c r="AK506" s="60">
        <f t="shared" si="152"/>
        <v>2374.7197808219175</v>
      </c>
      <c r="AL506" s="60">
        <f t="shared" si="153"/>
        <v>1745.4190389041094</v>
      </c>
      <c r="AM506" s="41">
        <f t="shared" si="154"/>
        <v>667.7550110958905</v>
      </c>
      <c r="AN506" s="42">
        <f t="shared" si="155"/>
        <v>45715</v>
      </c>
      <c r="AO506" s="43">
        <f t="shared" si="156"/>
        <v>3283.23</v>
      </c>
    </row>
    <row r="507" spans="1:41" s="24" customFormat="1" ht="15.75" customHeight="1" x14ac:dyDescent="0.35">
      <c r="A507" s="36" t="s">
        <v>27</v>
      </c>
      <c r="B507" s="36">
        <v>202506</v>
      </c>
      <c r="C507" s="24" t="s">
        <v>128</v>
      </c>
      <c r="D507" s="24" t="s">
        <v>129</v>
      </c>
      <c r="E507" s="62">
        <v>45818</v>
      </c>
      <c r="F507" s="62">
        <v>46182</v>
      </c>
      <c r="G507" s="37" t="s">
        <v>633</v>
      </c>
      <c r="H507" s="36">
        <v>2284</v>
      </c>
      <c r="I507" s="63">
        <v>35337</v>
      </c>
      <c r="J507" s="24" t="s">
        <v>1283</v>
      </c>
      <c r="K507" s="63">
        <f t="shared" si="140"/>
        <v>45818</v>
      </c>
      <c r="L507" s="55">
        <f t="shared" si="141"/>
        <v>0.04</v>
      </c>
      <c r="M507" s="76">
        <v>0.22500000000000001</v>
      </c>
      <c r="N507" s="62">
        <v>45818</v>
      </c>
      <c r="O507" s="62">
        <v>46182</v>
      </c>
      <c r="P507" s="63"/>
      <c r="Q507" s="63"/>
      <c r="R507" s="82">
        <v>28</v>
      </c>
      <c r="S507" s="63" t="str">
        <f>VLOOKUP(R507,SA!$B$5:$C$11,2,1)</f>
        <v>0-35</v>
      </c>
      <c r="T507" s="38" t="s">
        <v>97</v>
      </c>
      <c r="U507" s="24" t="s">
        <v>115</v>
      </c>
      <c r="V507" s="24">
        <v>300000</v>
      </c>
      <c r="W507" s="39">
        <f t="shared" si="142"/>
        <v>0</v>
      </c>
      <c r="X507" s="29">
        <f t="shared" si="143"/>
        <v>0</v>
      </c>
      <c r="Y507" s="40">
        <f t="shared" si="144"/>
        <v>365</v>
      </c>
      <c r="Z507" s="38">
        <f t="shared" si="139"/>
        <v>46081</v>
      </c>
      <c r="AA507" s="41">
        <f t="shared" si="145"/>
        <v>264</v>
      </c>
      <c r="AB507" s="24" t="s">
        <v>125</v>
      </c>
      <c r="AC507" s="41">
        <f t="shared" si="146"/>
        <v>3874.2114000000001</v>
      </c>
      <c r="AD507" s="41">
        <v>1</v>
      </c>
      <c r="AE507" s="72">
        <f>IFERROR(INDEX(SA!$C$4:$E$11,MATCH(Details!S507,SA!$C$4:$C$11,0),MATCH(Details!V507,SA!$C$4:$E$4,0)),0)*Y507/(F507-E507+1)</f>
        <v>3283.23</v>
      </c>
      <c r="AF507" s="41">
        <f t="shared" si="147"/>
        <v>0</v>
      </c>
      <c r="AG507" s="41">
        <f t="shared" si="148"/>
        <v>0</v>
      </c>
      <c r="AH507" s="41">
        <f t="shared" si="149"/>
        <v>590.98140000000001</v>
      </c>
      <c r="AI507" s="60">
        <f t="shared" si="150"/>
        <v>131.32920000000001</v>
      </c>
      <c r="AJ507" s="60">
        <f t="shared" si="151"/>
        <v>738.72675000000004</v>
      </c>
      <c r="AK507" s="60">
        <f t="shared" si="152"/>
        <v>2374.7197808219175</v>
      </c>
      <c r="AL507" s="60">
        <f t="shared" si="153"/>
        <v>1745.4190389041094</v>
      </c>
      <c r="AM507" s="41">
        <f t="shared" si="154"/>
        <v>667.7550110958905</v>
      </c>
      <c r="AN507" s="42">
        <f t="shared" si="155"/>
        <v>45715</v>
      </c>
      <c r="AO507" s="43">
        <f t="shared" si="156"/>
        <v>3283.23</v>
      </c>
    </row>
    <row r="508" spans="1:41" s="24" customFormat="1" ht="15.75" customHeight="1" x14ac:dyDescent="0.35">
      <c r="A508" s="36" t="s">
        <v>27</v>
      </c>
      <c r="B508" s="36">
        <v>202506</v>
      </c>
      <c r="C508" s="24" t="s">
        <v>128</v>
      </c>
      <c r="D508" s="24" t="s">
        <v>129</v>
      </c>
      <c r="E508" s="62">
        <v>45818</v>
      </c>
      <c r="F508" s="62">
        <v>46182</v>
      </c>
      <c r="G508" s="37" t="s">
        <v>634</v>
      </c>
      <c r="H508" s="36">
        <v>2284</v>
      </c>
      <c r="I508" s="63">
        <v>45727</v>
      </c>
      <c r="J508" s="24" t="s">
        <v>1284</v>
      </c>
      <c r="K508" s="63">
        <f t="shared" si="140"/>
        <v>45818</v>
      </c>
      <c r="L508" s="55">
        <f t="shared" si="141"/>
        <v>0.04</v>
      </c>
      <c r="M508" s="76">
        <v>0.22500000000000001</v>
      </c>
      <c r="N508" s="62">
        <v>45818</v>
      </c>
      <c r="O508" s="62">
        <v>46182</v>
      </c>
      <c r="P508" s="63"/>
      <c r="Q508" s="63"/>
      <c r="R508" s="82">
        <v>0</v>
      </c>
      <c r="S508" s="63" t="str">
        <f>VLOOKUP(R508,SA!$B$5:$C$11,2,1)</f>
        <v>0-35</v>
      </c>
      <c r="T508" s="38" t="s">
        <v>97</v>
      </c>
      <c r="U508" s="24" t="s">
        <v>113</v>
      </c>
      <c r="V508" s="24">
        <v>300000</v>
      </c>
      <c r="W508" s="39">
        <f t="shared" si="142"/>
        <v>0</v>
      </c>
      <c r="X508" s="29">
        <f t="shared" si="143"/>
        <v>0</v>
      </c>
      <c r="Y508" s="40">
        <f t="shared" si="144"/>
        <v>365</v>
      </c>
      <c r="Z508" s="38">
        <f t="shared" si="139"/>
        <v>46081</v>
      </c>
      <c r="AA508" s="41">
        <f t="shared" si="145"/>
        <v>264</v>
      </c>
      <c r="AB508" s="24" t="s">
        <v>125</v>
      </c>
      <c r="AC508" s="41">
        <f t="shared" si="146"/>
        <v>3874.2114000000001</v>
      </c>
      <c r="AD508" s="41">
        <v>1</v>
      </c>
      <c r="AE508" s="72">
        <f>IFERROR(INDEX(SA!$C$4:$E$11,MATCH(Details!S508,SA!$C$4:$C$11,0),MATCH(Details!V508,SA!$C$4:$E$4,0)),0)*Y508/(F508-E508+1)</f>
        <v>3283.23</v>
      </c>
      <c r="AF508" s="41">
        <f t="shared" si="147"/>
        <v>0</v>
      </c>
      <c r="AG508" s="41">
        <f t="shared" si="148"/>
        <v>0</v>
      </c>
      <c r="AH508" s="41">
        <f t="shared" si="149"/>
        <v>590.98140000000001</v>
      </c>
      <c r="AI508" s="60">
        <f t="shared" si="150"/>
        <v>131.32920000000001</v>
      </c>
      <c r="AJ508" s="60">
        <f t="shared" si="151"/>
        <v>738.72675000000004</v>
      </c>
      <c r="AK508" s="60">
        <f t="shared" si="152"/>
        <v>2374.7197808219175</v>
      </c>
      <c r="AL508" s="60">
        <f t="shared" si="153"/>
        <v>1745.4190389041094</v>
      </c>
      <c r="AM508" s="41">
        <f t="shared" si="154"/>
        <v>667.7550110958905</v>
      </c>
      <c r="AN508" s="42">
        <f t="shared" si="155"/>
        <v>45715</v>
      </c>
      <c r="AO508" s="43">
        <f t="shared" si="156"/>
        <v>3283.23</v>
      </c>
    </row>
    <row r="509" spans="1:41" s="24" customFormat="1" ht="15.75" customHeight="1" x14ac:dyDescent="0.35">
      <c r="A509" s="36" t="s">
        <v>27</v>
      </c>
      <c r="B509" s="36">
        <v>202506</v>
      </c>
      <c r="C509" s="24" t="s">
        <v>128</v>
      </c>
      <c r="D509" s="24" t="s">
        <v>129</v>
      </c>
      <c r="E509" s="62">
        <v>45818</v>
      </c>
      <c r="F509" s="62">
        <v>46182</v>
      </c>
      <c r="G509" s="37" t="s">
        <v>635</v>
      </c>
      <c r="H509" s="36">
        <v>2285</v>
      </c>
      <c r="I509" s="63">
        <v>36065</v>
      </c>
      <c r="J509" s="24" t="s">
        <v>1285</v>
      </c>
      <c r="K509" s="63">
        <f t="shared" si="140"/>
        <v>45818</v>
      </c>
      <c r="L509" s="55">
        <f t="shared" si="141"/>
        <v>0.04</v>
      </c>
      <c r="M509" s="76">
        <v>0.22500000000000001</v>
      </c>
      <c r="N509" s="62">
        <v>45818</v>
      </c>
      <c r="O509" s="62">
        <v>46182</v>
      </c>
      <c r="P509" s="63"/>
      <c r="Q509" s="63"/>
      <c r="R509" s="82">
        <v>26</v>
      </c>
      <c r="S509" s="63" t="str">
        <f>VLOOKUP(R509,SA!$B$5:$C$11,2,1)</f>
        <v>0-35</v>
      </c>
      <c r="T509" s="38" t="s">
        <v>96</v>
      </c>
      <c r="U509" s="24" t="s">
        <v>56</v>
      </c>
      <c r="V509" s="24">
        <v>300000</v>
      </c>
      <c r="W509" s="39">
        <f t="shared" si="142"/>
        <v>300000</v>
      </c>
      <c r="X509" s="29">
        <f t="shared" si="143"/>
        <v>1</v>
      </c>
      <c r="Y509" s="40">
        <f t="shared" si="144"/>
        <v>365</v>
      </c>
      <c r="Z509" s="38">
        <f t="shared" si="139"/>
        <v>46081</v>
      </c>
      <c r="AA509" s="41">
        <f t="shared" si="145"/>
        <v>264</v>
      </c>
      <c r="AB509" s="24" t="s">
        <v>125</v>
      </c>
      <c r="AC509" s="41">
        <f t="shared" si="146"/>
        <v>3874.2114000000001</v>
      </c>
      <c r="AD509" s="41">
        <v>1</v>
      </c>
      <c r="AE509" s="72">
        <f>IFERROR(INDEX(SA!$C$4:$E$11,MATCH(Details!S509,SA!$C$4:$C$11,0),MATCH(Details!V509,SA!$C$4:$E$4,0)),0)*Y509/(F509-E509+1)</f>
        <v>3283.23</v>
      </c>
      <c r="AF509" s="41">
        <f t="shared" si="147"/>
        <v>0</v>
      </c>
      <c r="AG509" s="41">
        <f t="shared" si="148"/>
        <v>0</v>
      </c>
      <c r="AH509" s="41">
        <f t="shared" si="149"/>
        <v>590.98140000000001</v>
      </c>
      <c r="AI509" s="60">
        <f t="shared" si="150"/>
        <v>131.32920000000001</v>
      </c>
      <c r="AJ509" s="60">
        <f t="shared" si="151"/>
        <v>738.72675000000004</v>
      </c>
      <c r="AK509" s="60">
        <f t="shared" si="152"/>
        <v>2374.7197808219175</v>
      </c>
      <c r="AL509" s="60">
        <f t="shared" si="153"/>
        <v>1745.4190389041094</v>
      </c>
      <c r="AM509" s="41">
        <f t="shared" si="154"/>
        <v>667.7550110958905</v>
      </c>
      <c r="AN509" s="42">
        <f t="shared" si="155"/>
        <v>45715</v>
      </c>
      <c r="AO509" s="43">
        <f t="shared" si="156"/>
        <v>3283.23</v>
      </c>
    </row>
    <row r="510" spans="1:41" s="24" customFormat="1" ht="15.75" customHeight="1" x14ac:dyDescent="0.35">
      <c r="A510" s="36" t="s">
        <v>27</v>
      </c>
      <c r="B510" s="36">
        <v>202506</v>
      </c>
      <c r="C510" s="24" t="s">
        <v>128</v>
      </c>
      <c r="D510" s="24" t="s">
        <v>129</v>
      </c>
      <c r="E510" s="62">
        <v>45818</v>
      </c>
      <c r="F510" s="62">
        <v>46182</v>
      </c>
      <c r="G510" s="37" t="s">
        <v>636</v>
      </c>
      <c r="H510" s="36">
        <v>2286</v>
      </c>
      <c r="I510" s="63">
        <v>36495</v>
      </c>
      <c r="J510" s="24" t="s">
        <v>1286</v>
      </c>
      <c r="K510" s="63">
        <f t="shared" si="140"/>
        <v>45818</v>
      </c>
      <c r="L510" s="55">
        <f t="shared" si="141"/>
        <v>0.04</v>
      </c>
      <c r="M510" s="76">
        <v>0.22500000000000001</v>
      </c>
      <c r="N510" s="62">
        <v>45818</v>
      </c>
      <c r="O510" s="62">
        <v>46182</v>
      </c>
      <c r="P510" s="63"/>
      <c r="Q510" s="63"/>
      <c r="R510" s="82">
        <v>25</v>
      </c>
      <c r="S510" s="63" t="str">
        <f>VLOOKUP(R510,SA!$B$5:$C$11,2,1)</f>
        <v>0-35</v>
      </c>
      <c r="T510" s="38" t="s">
        <v>96</v>
      </c>
      <c r="U510" s="24" t="s">
        <v>56</v>
      </c>
      <c r="V510" s="24">
        <v>300000</v>
      </c>
      <c r="W510" s="39">
        <f t="shared" si="142"/>
        <v>300000</v>
      </c>
      <c r="X510" s="29">
        <f t="shared" si="143"/>
        <v>1</v>
      </c>
      <c r="Y510" s="40">
        <f t="shared" si="144"/>
        <v>365</v>
      </c>
      <c r="Z510" s="38">
        <f t="shared" si="139"/>
        <v>46081</v>
      </c>
      <c r="AA510" s="41">
        <f t="shared" si="145"/>
        <v>264</v>
      </c>
      <c r="AB510" s="24" t="s">
        <v>125</v>
      </c>
      <c r="AC510" s="41">
        <f t="shared" si="146"/>
        <v>3874.2114000000001</v>
      </c>
      <c r="AD510" s="41">
        <v>1</v>
      </c>
      <c r="AE510" s="72">
        <f>IFERROR(INDEX(SA!$C$4:$E$11,MATCH(Details!S510,SA!$C$4:$C$11,0),MATCH(Details!V510,SA!$C$4:$E$4,0)),0)*Y510/(F510-E510+1)</f>
        <v>3283.23</v>
      </c>
      <c r="AF510" s="41">
        <f t="shared" si="147"/>
        <v>0</v>
      </c>
      <c r="AG510" s="41">
        <f t="shared" si="148"/>
        <v>0</v>
      </c>
      <c r="AH510" s="41">
        <f t="shared" si="149"/>
        <v>590.98140000000001</v>
      </c>
      <c r="AI510" s="60">
        <f t="shared" si="150"/>
        <v>131.32920000000001</v>
      </c>
      <c r="AJ510" s="60">
        <f t="shared" si="151"/>
        <v>738.72675000000004</v>
      </c>
      <c r="AK510" s="60">
        <f t="shared" si="152"/>
        <v>2374.7197808219175</v>
      </c>
      <c r="AL510" s="60">
        <f t="shared" si="153"/>
        <v>1745.4190389041094</v>
      </c>
      <c r="AM510" s="41">
        <f t="shared" si="154"/>
        <v>667.7550110958905</v>
      </c>
      <c r="AN510" s="42">
        <f t="shared" si="155"/>
        <v>45715</v>
      </c>
      <c r="AO510" s="43">
        <f t="shared" si="156"/>
        <v>3283.23</v>
      </c>
    </row>
    <row r="511" spans="1:41" s="24" customFormat="1" ht="15.75" customHeight="1" x14ac:dyDescent="0.35">
      <c r="A511" s="36" t="s">
        <v>27</v>
      </c>
      <c r="B511" s="36">
        <v>202506</v>
      </c>
      <c r="C511" s="24" t="s">
        <v>128</v>
      </c>
      <c r="D511" s="24" t="s">
        <v>129</v>
      </c>
      <c r="E511" s="62">
        <v>45818</v>
      </c>
      <c r="F511" s="62">
        <v>46182</v>
      </c>
      <c r="G511" s="37" t="s">
        <v>637</v>
      </c>
      <c r="H511" s="36">
        <v>2288</v>
      </c>
      <c r="I511" s="63">
        <v>34950</v>
      </c>
      <c r="J511" s="24" t="s">
        <v>1287</v>
      </c>
      <c r="K511" s="63">
        <f t="shared" si="140"/>
        <v>45818</v>
      </c>
      <c r="L511" s="55">
        <f t="shared" si="141"/>
        <v>0.04</v>
      </c>
      <c r="M511" s="76">
        <v>0.22500000000000001</v>
      </c>
      <c r="N511" s="62">
        <v>45818</v>
      </c>
      <c r="O511" s="62">
        <v>46182</v>
      </c>
      <c r="P511" s="63"/>
      <c r="Q511" s="63"/>
      <c r="R511" s="82">
        <v>29</v>
      </c>
      <c r="S511" s="63" t="str">
        <f>VLOOKUP(R511,SA!$B$5:$C$11,2,1)</f>
        <v>0-35</v>
      </c>
      <c r="T511" s="38" t="s">
        <v>96</v>
      </c>
      <c r="U511" s="24" t="s">
        <v>56</v>
      </c>
      <c r="V511" s="24">
        <v>300000</v>
      </c>
      <c r="W511" s="39">
        <f t="shared" si="142"/>
        <v>300000</v>
      </c>
      <c r="X511" s="29">
        <f t="shared" si="143"/>
        <v>1</v>
      </c>
      <c r="Y511" s="40">
        <f t="shared" si="144"/>
        <v>365</v>
      </c>
      <c r="Z511" s="38">
        <f t="shared" si="139"/>
        <v>46081</v>
      </c>
      <c r="AA511" s="41">
        <f t="shared" si="145"/>
        <v>264</v>
      </c>
      <c r="AB511" s="24" t="s">
        <v>125</v>
      </c>
      <c r="AC511" s="41">
        <f t="shared" si="146"/>
        <v>3874.2114000000001</v>
      </c>
      <c r="AD511" s="41">
        <v>1</v>
      </c>
      <c r="AE511" s="72">
        <f>IFERROR(INDEX(SA!$C$4:$E$11,MATCH(Details!S511,SA!$C$4:$C$11,0),MATCH(Details!V511,SA!$C$4:$E$4,0)),0)*Y511/(F511-E511+1)</f>
        <v>3283.23</v>
      </c>
      <c r="AF511" s="41">
        <f t="shared" si="147"/>
        <v>0</v>
      </c>
      <c r="AG511" s="41">
        <f t="shared" si="148"/>
        <v>0</v>
      </c>
      <c r="AH511" s="41">
        <f t="shared" si="149"/>
        <v>590.98140000000001</v>
      </c>
      <c r="AI511" s="60">
        <f t="shared" si="150"/>
        <v>131.32920000000001</v>
      </c>
      <c r="AJ511" s="60">
        <f t="shared" si="151"/>
        <v>738.72675000000004</v>
      </c>
      <c r="AK511" s="60">
        <f t="shared" si="152"/>
        <v>2374.7197808219175</v>
      </c>
      <c r="AL511" s="60">
        <f t="shared" si="153"/>
        <v>1745.4190389041094</v>
      </c>
      <c r="AM511" s="41">
        <f t="shared" si="154"/>
        <v>667.7550110958905</v>
      </c>
      <c r="AN511" s="42">
        <f t="shared" si="155"/>
        <v>45715</v>
      </c>
      <c r="AO511" s="43">
        <f t="shared" si="156"/>
        <v>3283.23</v>
      </c>
    </row>
    <row r="512" spans="1:41" s="24" customFormat="1" ht="15.75" customHeight="1" x14ac:dyDescent="0.35">
      <c r="A512" s="36" t="s">
        <v>27</v>
      </c>
      <c r="B512" s="36">
        <v>202506</v>
      </c>
      <c r="C512" s="24" t="s">
        <v>128</v>
      </c>
      <c r="D512" s="24" t="s">
        <v>129</v>
      </c>
      <c r="E512" s="62">
        <v>45818</v>
      </c>
      <c r="F512" s="62">
        <v>46182</v>
      </c>
      <c r="G512" s="37" t="s">
        <v>638</v>
      </c>
      <c r="H512" s="36">
        <v>2289</v>
      </c>
      <c r="I512" s="63">
        <v>33270</v>
      </c>
      <c r="J512" s="24" t="s">
        <v>1288</v>
      </c>
      <c r="K512" s="63">
        <f t="shared" si="140"/>
        <v>45818</v>
      </c>
      <c r="L512" s="55">
        <f t="shared" si="141"/>
        <v>0.04</v>
      </c>
      <c r="M512" s="76">
        <v>0.22500000000000001</v>
      </c>
      <c r="N512" s="62">
        <v>45818</v>
      </c>
      <c r="O512" s="62">
        <v>46182</v>
      </c>
      <c r="P512" s="63"/>
      <c r="Q512" s="63"/>
      <c r="R512" s="82">
        <v>34</v>
      </c>
      <c r="S512" s="63" t="str">
        <f>VLOOKUP(R512,SA!$B$5:$C$11,2,1)</f>
        <v>0-35</v>
      </c>
      <c r="T512" s="38" t="s">
        <v>96</v>
      </c>
      <c r="U512" s="24" t="s">
        <v>56</v>
      </c>
      <c r="V512" s="24">
        <v>300000</v>
      </c>
      <c r="W512" s="39">
        <f t="shared" si="142"/>
        <v>300000</v>
      </c>
      <c r="X512" s="29">
        <f t="shared" si="143"/>
        <v>1</v>
      </c>
      <c r="Y512" s="40">
        <f t="shared" si="144"/>
        <v>365</v>
      </c>
      <c r="Z512" s="38">
        <f t="shared" si="139"/>
        <v>46081</v>
      </c>
      <c r="AA512" s="41">
        <f t="shared" si="145"/>
        <v>264</v>
      </c>
      <c r="AB512" s="24" t="s">
        <v>125</v>
      </c>
      <c r="AC512" s="41">
        <f t="shared" si="146"/>
        <v>3874.2114000000001</v>
      </c>
      <c r="AD512" s="41">
        <v>1</v>
      </c>
      <c r="AE512" s="72">
        <f>IFERROR(INDEX(SA!$C$4:$E$11,MATCH(Details!S512,SA!$C$4:$C$11,0),MATCH(Details!V512,SA!$C$4:$E$4,0)),0)*Y512/(F512-E512+1)</f>
        <v>3283.23</v>
      </c>
      <c r="AF512" s="41">
        <f t="shared" si="147"/>
        <v>0</v>
      </c>
      <c r="AG512" s="41">
        <f t="shared" si="148"/>
        <v>0</v>
      </c>
      <c r="AH512" s="41">
        <f t="shared" si="149"/>
        <v>590.98140000000001</v>
      </c>
      <c r="AI512" s="60">
        <f t="shared" si="150"/>
        <v>131.32920000000001</v>
      </c>
      <c r="AJ512" s="60">
        <f t="shared" si="151"/>
        <v>738.72675000000004</v>
      </c>
      <c r="AK512" s="60">
        <f t="shared" si="152"/>
        <v>2374.7197808219175</v>
      </c>
      <c r="AL512" s="60">
        <f t="shared" si="153"/>
        <v>1745.4190389041094</v>
      </c>
      <c r="AM512" s="41">
        <f t="shared" si="154"/>
        <v>667.7550110958905</v>
      </c>
      <c r="AN512" s="42">
        <f t="shared" si="155"/>
        <v>45715</v>
      </c>
      <c r="AO512" s="43">
        <f t="shared" si="156"/>
        <v>3283.23</v>
      </c>
    </row>
    <row r="513" spans="1:41" s="24" customFormat="1" ht="15.75" customHeight="1" x14ac:dyDescent="0.35">
      <c r="A513" s="36" t="s">
        <v>27</v>
      </c>
      <c r="B513" s="36">
        <v>202506</v>
      </c>
      <c r="C513" s="24" t="s">
        <v>128</v>
      </c>
      <c r="D513" s="24" t="s">
        <v>129</v>
      </c>
      <c r="E513" s="62">
        <v>45818</v>
      </c>
      <c r="F513" s="62">
        <v>46182</v>
      </c>
      <c r="G513" s="37" t="s">
        <v>639</v>
      </c>
      <c r="H513" s="36">
        <v>2289</v>
      </c>
      <c r="I513" s="63">
        <v>34734</v>
      </c>
      <c r="J513" s="24" t="s">
        <v>1289</v>
      </c>
      <c r="K513" s="63">
        <f t="shared" si="140"/>
        <v>45818</v>
      </c>
      <c r="L513" s="55">
        <f t="shared" si="141"/>
        <v>0.04</v>
      </c>
      <c r="M513" s="76">
        <v>0.22500000000000001</v>
      </c>
      <c r="N513" s="62">
        <v>45818</v>
      </c>
      <c r="O513" s="62">
        <v>46182</v>
      </c>
      <c r="P513" s="63"/>
      <c r="Q513" s="63"/>
      <c r="R513" s="82">
        <v>30</v>
      </c>
      <c r="S513" s="63" t="str">
        <f>VLOOKUP(R513,SA!$B$5:$C$11,2,1)</f>
        <v>0-35</v>
      </c>
      <c r="T513" s="38" t="s">
        <v>97</v>
      </c>
      <c r="U513" s="24" t="s">
        <v>115</v>
      </c>
      <c r="V513" s="24">
        <v>300000</v>
      </c>
      <c r="W513" s="39">
        <f t="shared" si="142"/>
        <v>0</v>
      </c>
      <c r="X513" s="29">
        <f t="shared" si="143"/>
        <v>0</v>
      </c>
      <c r="Y513" s="40">
        <f t="shared" si="144"/>
        <v>365</v>
      </c>
      <c r="Z513" s="38">
        <f t="shared" si="139"/>
        <v>46081</v>
      </c>
      <c r="AA513" s="41">
        <f t="shared" si="145"/>
        <v>264</v>
      </c>
      <c r="AB513" s="24" t="s">
        <v>125</v>
      </c>
      <c r="AC513" s="41">
        <f t="shared" si="146"/>
        <v>3874.2114000000001</v>
      </c>
      <c r="AD513" s="41">
        <v>1</v>
      </c>
      <c r="AE513" s="72">
        <f>IFERROR(INDEX(SA!$C$4:$E$11,MATCH(Details!S513,SA!$C$4:$C$11,0),MATCH(Details!V513,SA!$C$4:$E$4,0)),0)*Y513/(F513-E513+1)</f>
        <v>3283.23</v>
      </c>
      <c r="AF513" s="41">
        <f t="shared" si="147"/>
        <v>0</v>
      </c>
      <c r="AG513" s="41">
        <f t="shared" si="148"/>
        <v>0</v>
      </c>
      <c r="AH513" s="41">
        <f t="shared" si="149"/>
        <v>590.98140000000001</v>
      </c>
      <c r="AI513" s="60">
        <f t="shared" si="150"/>
        <v>131.32920000000001</v>
      </c>
      <c r="AJ513" s="60">
        <f t="shared" si="151"/>
        <v>738.72675000000004</v>
      </c>
      <c r="AK513" s="60">
        <f t="shared" si="152"/>
        <v>2374.7197808219175</v>
      </c>
      <c r="AL513" s="60">
        <f t="shared" si="153"/>
        <v>1745.4190389041094</v>
      </c>
      <c r="AM513" s="41">
        <f t="shared" si="154"/>
        <v>667.7550110958905</v>
      </c>
      <c r="AN513" s="42">
        <f t="shared" si="155"/>
        <v>45715</v>
      </c>
      <c r="AO513" s="43">
        <f t="shared" si="156"/>
        <v>3283.23</v>
      </c>
    </row>
    <row r="514" spans="1:41" s="24" customFormat="1" ht="15.75" customHeight="1" x14ac:dyDescent="0.35">
      <c r="A514" s="36" t="s">
        <v>27</v>
      </c>
      <c r="B514" s="36">
        <v>202506</v>
      </c>
      <c r="C514" s="24" t="s">
        <v>128</v>
      </c>
      <c r="D514" s="24" t="s">
        <v>129</v>
      </c>
      <c r="E514" s="62">
        <v>45818</v>
      </c>
      <c r="F514" s="62">
        <v>46182</v>
      </c>
      <c r="G514" s="37" t="s">
        <v>640</v>
      </c>
      <c r="H514" s="36">
        <v>2289</v>
      </c>
      <c r="I514" s="63">
        <v>45485</v>
      </c>
      <c r="J514" s="24" t="s">
        <v>1290</v>
      </c>
      <c r="K514" s="63">
        <f t="shared" si="140"/>
        <v>45818</v>
      </c>
      <c r="L514" s="55">
        <f t="shared" si="141"/>
        <v>0.04</v>
      </c>
      <c r="M514" s="76">
        <v>0.22500000000000001</v>
      </c>
      <c r="N514" s="62">
        <v>45818</v>
      </c>
      <c r="O514" s="62">
        <v>46182</v>
      </c>
      <c r="P514" s="63"/>
      <c r="Q514" s="63"/>
      <c r="R514" s="82">
        <v>0</v>
      </c>
      <c r="S514" s="63" t="str">
        <f>VLOOKUP(R514,SA!$B$5:$C$11,2,1)</f>
        <v>0-35</v>
      </c>
      <c r="T514" s="38" t="s">
        <v>96</v>
      </c>
      <c r="U514" s="24" t="s">
        <v>114</v>
      </c>
      <c r="V514" s="24">
        <v>300000</v>
      </c>
      <c r="W514" s="39">
        <f t="shared" si="142"/>
        <v>0</v>
      </c>
      <c r="X514" s="29">
        <f t="shared" si="143"/>
        <v>0</v>
      </c>
      <c r="Y514" s="40">
        <f t="shared" si="144"/>
        <v>365</v>
      </c>
      <c r="Z514" s="38">
        <f t="shared" si="139"/>
        <v>46081</v>
      </c>
      <c r="AA514" s="41">
        <f t="shared" si="145"/>
        <v>264</v>
      </c>
      <c r="AB514" s="24" t="s">
        <v>125</v>
      </c>
      <c r="AC514" s="41">
        <f t="shared" si="146"/>
        <v>3874.2114000000001</v>
      </c>
      <c r="AD514" s="41">
        <v>1</v>
      </c>
      <c r="AE514" s="72">
        <f>IFERROR(INDEX(SA!$C$4:$E$11,MATCH(Details!S514,SA!$C$4:$C$11,0),MATCH(Details!V514,SA!$C$4:$E$4,0)),0)*Y514/(F514-E514+1)</f>
        <v>3283.23</v>
      </c>
      <c r="AF514" s="41">
        <f t="shared" si="147"/>
        <v>0</v>
      </c>
      <c r="AG514" s="41">
        <f t="shared" si="148"/>
        <v>0</v>
      </c>
      <c r="AH514" s="41">
        <f t="shared" si="149"/>
        <v>590.98140000000001</v>
      </c>
      <c r="AI514" s="60">
        <f t="shared" si="150"/>
        <v>131.32920000000001</v>
      </c>
      <c r="AJ514" s="60">
        <f t="shared" si="151"/>
        <v>738.72675000000004</v>
      </c>
      <c r="AK514" s="60">
        <f t="shared" si="152"/>
        <v>2374.7197808219175</v>
      </c>
      <c r="AL514" s="60">
        <f t="shared" si="153"/>
        <v>1745.4190389041094</v>
      </c>
      <c r="AM514" s="41">
        <f t="shared" si="154"/>
        <v>667.7550110958905</v>
      </c>
      <c r="AN514" s="42">
        <f t="shared" si="155"/>
        <v>45715</v>
      </c>
      <c r="AO514" s="43">
        <f t="shared" si="156"/>
        <v>3283.23</v>
      </c>
    </row>
    <row r="515" spans="1:41" s="24" customFormat="1" ht="15.75" customHeight="1" x14ac:dyDescent="0.35">
      <c r="A515" s="36" t="s">
        <v>27</v>
      </c>
      <c r="B515" s="36">
        <v>202506</v>
      </c>
      <c r="C515" s="24" t="s">
        <v>128</v>
      </c>
      <c r="D515" s="24" t="s">
        <v>129</v>
      </c>
      <c r="E515" s="62">
        <v>45818</v>
      </c>
      <c r="F515" s="62">
        <v>46182</v>
      </c>
      <c r="G515" s="37" t="s">
        <v>641</v>
      </c>
      <c r="H515" s="36">
        <v>2290</v>
      </c>
      <c r="I515" s="63">
        <v>33816</v>
      </c>
      <c r="J515" s="24" t="s">
        <v>1291</v>
      </c>
      <c r="K515" s="63">
        <f t="shared" si="140"/>
        <v>45818</v>
      </c>
      <c r="L515" s="55">
        <f t="shared" si="141"/>
        <v>0.04</v>
      </c>
      <c r="M515" s="76">
        <v>0.22500000000000001</v>
      </c>
      <c r="N515" s="62">
        <v>45818</v>
      </c>
      <c r="O515" s="62">
        <v>46182</v>
      </c>
      <c r="P515" s="63"/>
      <c r="Q515" s="63"/>
      <c r="R515" s="82">
        <v>32</v>
      </c>
      <c r="S515" s="63" t="str">
        <f>VLOOKUP(R515,SA!$B$5:$C$11,2,1)</f>
        <v>0-35</v>
      </c>
      <c r="T515" s="38" t="s">
        <v>96</v>
      </c>
      <c r="U515" s="24" t="s">
        <v>56</v>
      </c>
      <c r="V515" s="24">
        <v>300000</v>
      </c>
      <c r="W515" s="39">
        <f t="shared" si="142"/>
        <v>300000</v>
      </c>
      <c r="X515" s="29">
        <f t="shared" si="143"/>
        <v>1</v>
      </c>
      <c r="Y515" s="40">
        <f t="shared" si="144"/>
        <v>365</v>
      </c>
      <c r="Z515" s="38">
        <f t="shared" ref="Z515:Z578" si="157">$Z$1</f>
        <v>46081</v>
      </c>
      <c r="AA515" s="41">
        <f t="shared" si="145"/>
        <v>264</v>
      </c>
      <c r="AB515" s="24" t="s">
        <v>125</v>
      </c>
      <c r="AC515" s="41">
        <f t="shared" si="146"/>
        <v>3874.2114000000001</v>
      </c>
      <c r="AD515" s="41">
        <v>1</v>
      </c>
      <c r="AE515" s="72">
        <f>IFERROR(INDEX(SA!$C$4:$E$11,MATCH(Details!S515,SA!$C$4:$C$11,0),MATCH(Details!V515,SA!$C$4:$E$4,0)),0)*Y515/(F515-E515+1)</f>
        <v>3283.23</v>
      </c>
      <c r="AF515" s="41">
        <f t="shared" si="147"/>
        <v>0</v>
      </c>
      <c r="AG515" s="41">
        <f t="shared" si="148"/>
        <v>0</v>
      </c>
      <c r="AH515" s="41">
        <f t="shared" si="149"/>
        <v>590.98140000000001</v>
      </c>
      <c r="AI515" s="60">
        <f t="shared" si="150"/>
        <v>131.32920000000001</v>
      </c>
      <c r="AJ515" s="60">
        <f t="shared" si="151"/>
        <v>738.72675000000004</v>
      </c>
      <c r="AK515" s="60">
        <f t="shared" si="152"/>
        <v>2374.7197808219175</v>
      </c>
      <c r="AL515" s="60">
        <f t="shared" si="153"/>
        <v>1745.4190389041094</v>
      </c>
      <c r="AM515" s="41">
        <f t="shared" si="154"/>
        <v>667.7550110958905</v>
      </c>
      <c r="AN515" s="42">
        <f t="shared" si="155"/>
        <v>45715</v>
      </c>
      <c r="AO515" s="43">
        <f t="shared" si="156"/>
        <v>3283.23</v>
      </c>
    </row>
    <row r="516" spans="1:41" s="24" customFormat="1" ht="15.75" customHeight="1" x14ac:dyDescent="0.35">
      <c r="A516" s="36" t="s">
        <v>27</v>
      </c>
      <c r="B516" s="36">
        <v>202506</v>
      </c>
      <c r="C516" s="24" t="s">
        <v>128</v>
      </c>
      <c r="D516" s="24" t="s">
        <v>129</v>
      </c>
      <c r="E516" s="62">
        <v>45818</v>
      </c>
      <c r="F516" s="62">
        <v>46182</v>
      </c>
      <c r="G516" s="37" t="s">
        <v>642</v>
      </c>
      <c r="H516" s="36">
        <v>2290</v>
      </c>
      <c r="I516" s="63">
        <v>34714</v>
      </c>
      <c r="J516" s="24" t="s">
        <v>1292</v>
      </c>
      <c r="K516" s="63">
        <f t="shared" ref="K516:K579" si="158">N516</f>
        <v>45818</v>
      </c>
      <c r="L516" s="55">
        <f t="shared" ref="L516:L579" si="159">IF(K516&gt;=DATE(2022,4,1),4%,5%)</f>
        <v>0.04</v>
      </c>
      <c r="M516" s="76">
        <v>0.22500000000000001</v>
      </c>
      <c r="N516" s="62">
        <v>45818</v>
      </c>
      <c r="O516" s="62">
        <v>46182</v>
      </c>
      <c r="P516" s="63"/>
      <c r="Q516" s="63"/>
      <c r="R516" s="82">
        <v>30</v>
      </c>
      <c r="S516" s="63" t="str">
        <f>VLOOKUP(R516,SA!$B$5:$C$11,2,1)</f>
        <v>0-35</v>
      </c>
      <c r="T516" s="38" t="s">
        <v>97</v>
      </c>
      <c r="U516" s="24" t="s">
        <v>115</v>
      </c>
      <c r="V516" s="24">
        <v>300000</v>
      </c>
      <c r="W516" s="39">
        <f t="shared" ref="W516:W579" si="160">IF(U516="self",V516,0)</f>
        <v>0</v>
      </c>
      <c r="X516" s="29">
        <f t="shared" ref="X516:X579" si="161">IF(U516="self",1,0)</f>
        <v>0</v>
      </c>
      <c r="Y516" s="40">
        <f t="shared" ref="Y516:Y579" si="162">O516-N516+1</f>
        <v>365</v>
      </c>
      <c r="Z516" s="38">
        <f t="shared" si="157"/>
        <v>46081</v>
      </c>
      <c r="AA516" s="41">
        <f t="shared" ref="AA516:AA579" si="163">IF(MIN((Z516-N516)+1,Y516)&lt;0,0,MIN((Z516-N516)+1,Y516))</f>
        <v>264</v>
      </c>
      <c r="AB516" s="24" t="s">
        <v>125</v>
      </c>
      <c r="AC516" s="41">
        <f t="shared" ref="AC516:AC579" si="164">AE516+AF516+AG516+AH516</f>
        <v>3874.2114000000001</v>
      </c>
      <c r="AD516" s="41">
        <v>1</v>
      </c>
      <c r="AE516" s="72">
        <f>IFERROR(INDEX(SA!$C$4:$E$11,MATCH(Details!S516,SA!$C$4:$C$11,0),MATCH(Details!V516,SA!$C$4:$E$4,0)),0)*Y516/(F516-E516+1)</f>
        <v>3283.23</v>
      </c>
      <c r="AF516" s="41">
        <f t="shared" ref="AF516:AF579" si="165">IF(AB516="Karnataka",AE516*9%,0)</f>
        <v>0</v>
      </c>
      <c r="AG516" s="41">
        <f t="shared" ref="AG516:AG579" si="166">IF(AB516="Karnataka",AE516*9%,0)</f>
        <v>0</v>
      </c>
      <c r="AH516" s="41">
        <f t="shared" ref="AH516:AH579" si="167">IF(AF516+AG516&gt;0,0,AE516*18%)</f>
        <v>590.98140000000001</v>
      </c>
      <c r="AI516" s="60">
        <f t="shared" ref="AI516:AI579" si="168">AE516*L516</f>
        <v>131.32920000000001</v>
      </c>
      <c r="AJ516" s="60">
        <f t="shared" ref="AJ516:AJ579" si="169">$AE516*M516</f>
        <v>738.72675000000004</v>
      </c>
      <c r="AK516" s="60">
        <f t="shared" ref="AK516:AK579" si="170">(AE516)*AA516/Y516</f>
        <v>2374.7197808219175</v>
      </c>
      <c r="AL516" s="60">
        <f t="shared" ref="AL516:AL579" si="171">AK516*(1-L516-M516)</f>
        <v>1745.4190389041094</v>
      </c>
      <c r="AM516" s="41">
        <f t="shared" ref="AM516:AM579" si="172">AE516-AI516-AL516-AJ516</f>
        <v>667.7550110958905</v>
      </c>
      <c r="AN516" s="42">
        <f t="shared" ref="AN516:AN579" si="173">Z516-366</f>
        <v>45715</v>
      </c>
      <c r="AO516" s="43">
        <f t="shared" ref="AO516:AO579" si="174">IF(AND(O516&gt;Z516,N516&gt;AN516),AE516,0)</f>
        <v>3283.23</v>
      </c>
    </row>
    <row r="517" spans="1:41" s="24" customFormat="1" ht="15.75" customHeight="1" x14ac:dyDescent="0.35">
      <c r="A517" s="36" t="s">
        <v>27</v>
      </c>
      <c r="B517" s="36">
        <v>202506</v>
      </c>
      <c r="C517" s="24" t="s">
        <v>128</v>
      </c>
      <c r="D517" s="24" t="s">
        <v>129</v>
      </c>
      <c r="E517" s="62">
        <v>45818</v>
      </c>
      <c r="F517" s="62">
        <v>46182</v>
      </c>
      <c r="G517" s="37" t="s">
        <v>643</v>
      </c>
      <c r="H517" s="36">
        <v>2290</v>
      </c>
      <c r="I517" s="63">
        <v>43010</v>
      </c>
      <c r="J517" s="24" t="s">
        <v>1293</v>
      </c>
      <c r="K517" s="63">
        <f t="shared" si="158"/>
        <v>45818</v>
      </c>
      <c r="L517" s="55">
        <f t="shared" si="159"/>
        <v>0.04</v>
      </c>
      <c r="M517" s="76">
        <v>0.22500000000000001</v>
      </c>
      <c r="N517" s="62">
        <v>45818</v>
      </c>
      <c r="O517" s="62">
        <v>46182</v>
      </c>
      <c r="P517" s="63"/>
      <c r="Q517" s="63"/>
      <c r="R517" s="82">
        <v>7</v>
      </c>
      <c r="S517" s="63" t="str">
        <f>VLOOKUP(R517,SA!$B$5:$C$11,2,1)</f>
        <v>0-35</v>
      </c>
      <c r="T517" s="38" t="s">
        <v>97</v>
      </c>
      <c r="U517" s="24" t="s">
        <v>113</v>
      </c>
      <c r="V517" s="24">
        <v>300000</v>
      </c>
      <c r="W517" s="39">
        <f t="shared" si="160"/>
        <v>0</v>
      </c>
      <c r="X517" s="29">
        <f t="shared" si="161"/>
        <v>0</v>
      </c>
      <c r="Y517" s="40">
        <f t="shared" si="162"/>
        <v>365</v>
      </c>
      <c r="Z517" s="38">
        <f t="shared" si="157"/>
        <v>46081</v>
      </c>
      <c r="AA517" s="41">
        <f t="shared" si="163"/>
        <v>264</v>
      </c>
      <c r="AB517" s="24" t="s">
        <v>125</v>
      </c>
      <c r="AC517" s="41">
        <f t="shared" si="164"/>
        <v>3874.2114000000001</v>
      </c>
      <c r="AD517" s="41">
        <v>1</v>
      </c>
      <c r="AE517" s="72">
        <f>IFERROR(INDEX(SA!$C$4:$E$11,MATCH(Details!S517,SA!$C$4:$C$11,0),MATCH(Details!V517,SA!$C$4:$E$4,0)),0)*Y517/(F517-E517+1)</f>
        <v>3283.23</v>
      </c>
      <c r="AF517" s="41">
        <f t="shared" si="165"/>
        <v>0</v>
      </c>
      <c r="AG517" s="41">
        <f t="shared" si="166"/>
        <v>0</v>
      </c>
      <c r="AH517" s="41">
        <f t="shared" si="167"/>
        <v>590.98140000000001</v>
      </c>
      <c r="AI517" s="60">
        <f t="shared" si="168"/>
        <v>131.32920000000001</v>
      </c>
      <c r="AJ517" s="60">
        <f t="shared" si="169"/>
        <v>738.72675000000004</v>
      </c>
      <c r="AK517" s="60">
        <f t="shared" si="170"/>
        <v>2374.7197808219175</v>
      </c>
      <c r="AL517" s="60">
        <f t="shared" si="171"/>
        <v>1745.4190389041094</v>
      </c>
      <c r="AM517" s="41">
        <f t="shared" si="172"/>
        <v>667.7550110958905</v>
      </c>
      <c r="AN517" s="42">
        <f t="shared" si="173"/>
        <v>45715</v>
      </c>
      <c r="AO517" s="43">
        <f t="shared" si="174"/>
        <v>3283.23</v>
      </c>
    </row>
    <row r="518" spans="1:41" s="24" customFormat="1" ht="15.75" customHeight="1" x14ac:dyDescent="0.35">
      <c r="A518" s="36" t="s">
        <v>27</v>
      </c>
      <c r="B518" s="36">
        <v>202506</v>
      </c>
      <c r="C518" s="24" t="s">
        <v>128</v>
      </c>
      <c r="D518" s="24" t="s">
        <v>129</v>
      </c>
      <c r="E518" s="62">
        <v>45818</v>
      </c>
      <c r="F518" s="62">
        <v>46182</v>
      </c>
      <c r="G518" s="37" t="s">
        <v>644</v>
      </c>
      <c r="H518" s="36">
        <v>2290</v>
      </c>
      <c r="I518" s="63">
        <v>43547</v>
      </c>
      <c r="J518" s="24" t="s">
        <v>1294</v>
      </c>
      <c r="K518" s="63">
        <f t="shared" si="158"/>
        <v>45818</v>
      </c>
      <c r="L518" s="55">
        <f t="shared" si="159"/>
        <v>0.04</v>
      </c>
      <c r="M518" s="76">
        <v>0.22500000000000001</v>
      </c>
      <c r="N518" s="62">
        <v>45818</v>
      </c>
      <c r="O518" s="62">
        <v>46182</v>
      </c>
      <c r="P518" s="63"/>
      <c r="Q518" s="63"/>
      <c r="R518" s="82">
        <v>6</v>
      </c>
      <c r="S518" s="63" t="str">
        <f>VLOOKUP(R518,SA!$B$5:$C$11,2,1)</f>
        <v>0-35</v>
      </c>
      <c r="T518" s="38" t="s">
        <v>96</v>
      </c>
      <c r="U518" s="24" t="s">
        <v>114</v>
      </c>
      <c r="V518" s="24">
        <v>300000</v>
      </c>
      <c r="W518" s="39">
        <f t="shared" si="160"/>
        <v>0</v>
      </c>
      <c r="X518" s="29">
        <f t="shared" si="161"/>
        <v>0</v>
      </c>
      <c r="Y518" s="40">
        <f t="shared" si="162"/>
        <v>365</v>
      </c>
      <c r="Z518" s="38">
        <f t="shared" si="157"/>
        <v>46081</v>
      </c>
      <c r="AA518" s="41">
        <f t="shared" si="163"/>
        <v>264</v>
      </c>
      <c r="AB518" s="24" t="s">
        <v>125</v>
      </c>
      <c r="AC518" s="41">
        <f t="shared" si="164"/>
        <v>3874.2114000000001</v>
      </c>
      <c r="AD518" s="41">
        <v>1</v>
      </c>
      <c r="AE518" s="72">
        <f>IFERROR(INDEX(SA!$C$4:$E$11,MATCH(Details!S518,SA!$C$4:$C$11,0),MATCH(Details!V518,SA!$C$4:$E$4,0)),0)*Y518/(F518-E518+1)</f>
        <v>3283.23</v>
      </c>
      <c r="AF518" s="41">
        <f t="shared" si="165"/>
        <v>0</v>
      </c>
      <c r="AG518" s="41">
        <f t="shared" si="166"/>
        <v>0</v>
      </c>
      <c r="AH518" s="41">
        <f t="shared" si="167"/>
        <v>590.98140000000001</v>
      </c>
      <c r="AI518" s="60">
        <f t="shared" si="168"/>
        <v>131.32920000000001</v>
      </c>
      <c r="AJ518" s="60">
        <f t="shared" si="169"/>
        <v>738.72675000000004</v>
      </c>
      <c r="AK518" s="60">
        <f t="shared" si="170"/>
        <v>2374.7197808219175</v>
      </c>
      <c r="AL518" s="60">
        <f t="shared" si="171"/>
        <v>1745.4190389041094</v>
      </c>
      <c r="AM518" s="41">
        <f t="shared" si="172"/>
        <v>667.7550110958905</v>
      </c>
      <c r="AN518" s="42">
        <f t="shared" si="173"/>
        <v>45715</v>
      </c>
      <c r="AO518" s="43">
        <f t="shared" si="174"/>
        <v>3283.23</v>
      </c>
    </row>
    <row r="519" spans="1:41" s="24" customFormat="1" ht="15.75" customHeight="1" x14ac:dyDescent="0.35">
      <c r="A519" s="36" t="s">
        <v>27</v>
      </c>
      <c r="B519" s="36">
        <v>202506</v>
      </c>
      <c r="C519" s="24" t="s">
        <v>128</v>
      </c>
      <c r="D519" s="24" t="s">
        <v>129</v>
      </c>
      <c r="E519" s="62">
        <v>45818</v>
      </c>
      <c r="F519" s="62">
        <v>46182</v>
      </c>
      <c r="G519" s="37" t="s">
        <v>645</v>
      </c>
      <c r="H519" s="36">
        <v>2291</v>
      </c>
      <c r="I519" s="63">
        <v>28525</v>
      </c>
      <c r="J519" s="24" t="s">
        <v>1295</v>
      </c>
      <c r="K519" s="63">
        <f t="shared" si="158"/>
        <v>45818</v>
      </c>
      <c r="L519" s="55">
        <f t="shared" si="159"/>
        <v>0.04</v>
      </c>
      <c r="M519" s="76">
        <v>0.22500000000000001</v>
      </c>
      <c r="N519" s="62">
        <v>45818</v>
      </c>
      <c r="O519" s="62">
        <v>46182</v>
      </c>
      <c r="P519" s="63"/>
      <c r="Q519" s="63"/>
      <c r="R519" s="82">
        <v>47</v>
      </c>
      <c r="S519" s="63" t="str">
        <f>VLOOKUP(R519,SA!$B$5:$C$11,2,1)</f>
        <v>46-55</v>
      </c>
      <c r="T519" s="38" t="s">
        <v>96</v>
      </c>
      <c r="U519" s="24" t="s">
        <v>56</v>
      </c>
      <c r="V519" s="24">
        <v>300000</v>
      </c>
      <c r="W519" s="39">
        <f t="shared" si="160"/>
        <v>300000</v>
      </c>
      <c r="X519" s="29">
        <f t="shared" si="161"/>
        <v>1</v>
      </c>
      <c r="Y519" s="40">
        <f t="shared" si="162"/>
        <v>365</v>
      </c>
      <c r="Z519" s="38">
        <f t="shared" si="157"/>
        <v>46081</v>
      </c>
      <c r="AA519" s="41">
        <f t="shared" si="163"/>
        <v>264</v>
      </c>
      <c r="AB519" s="24" t="s">
        <v>125</v>
      </c>
      <c r="AC519" s="41">
        <f t="shared" si="164"/>
        <v>9586.9925999999996</v>
      </c>
      <c r="AD519" s="41">
        <v>1</v>
      </c>
      <c r="AE519" s="72">
        <f>IFERROR(INDEX(SA!$C$4:$E$11,MATCH(Details!S519,SA!$C$4:$C$11,0),MATCH(Details!V519,SA!$C$4:$E$4,0)),0)*Y519/(F519-E519+1)</f>
        <v>8124.57</v>
      </c>
      <c r="AF519" s="41">
        <f t="shared" si="165"/>
        <v>0</v>
      </c>
      <c r="AG519" s="41">
        <f t="shared" si="166"/>
        <v>0</v>
      </c>
      <c r="AH519" s="41">
        <f t="shared" si="167"/>
        <v>1462.4225999999999</v>
      </c>
      <c r="AI519" s="60">
        <f t="shared" si="168"/>
        <v>324.9828</v>
      </c>
      <c r="AJ519" s="60">
        <f t="shared" si="169"/>
        <v>1828.0282500000001</v>
      </c>
      <c r="AK519" s="60">
        <f t="shared" si="170"/>
        <v>5876.4013150684932</v>
      </c>
      <c r="AL519" s="60">
        <f t="shared" si="171"/>
        <v>4319.1549665753428</v>
      </c>
      <c r="AM519" s="41">
        <f t="shared" si="172"/>
        <v>1652.4039834246571</v>
      </c>
      <c r="AN519" s="42">
        <f t="shared" si="173"/>
        <v>45715</v>
      </c>
      <c r="AO519" s="43">
        <f t="shared" si="174"/>
        <v>8124.57</v>
      </c>
    </row>
    <row r="520" spans="1:41" s="24" customFormat="1" ht="15.75" customHeight="1" x14ac:dyDescent="0.35">
      <c r="A520" s="36" t="s">
        <v>27</v>
      </c>
      <c r="B520" s="36">
        <v>202506</v>
      </c>
      <c r="C520" s="24" t="s">
        <v>128</v>
      </c>
      <c r="D520" s="24" t="s">
        <v>129</v>
      </c>
      <c r="E520" s="62">
        <v>45818</v>
      </c>
      <c r="F520" s="62">
        <v>46182</v>
      </c>
      <c r="G520" s="37" t="s">
        <v>646</v>
      </c>
      <c r="H520" s="36">
        <v>2291</v>
      </c>
      <c r="I520" s="63">
        <v>28819</v>
      </c>
      <c r="J520" s="24" t="s">
        <v>1296</v>
      </c>
      <c r="K520" s="63">
        <f t="shared" si="158"/>
        <v>45818</v>
      </c>
      <c r="L520" s="55">
        <f t="shared" si="159"/>
        <v>0.04</v>
      </c>
      <c r="M520" s="76">
        <v>0.22500000000000001</v>
      </c>
      <c r="N520" s="62">
        <v>45818</v>
      </c>
      <c r="O520" s="62">
        <v>46182</v>
      </c>
      <c r="P520" s="63"/>
      <c r="Q520" s="63"/>
      <c r="R520" s="82">
        <v>46</v>
      </c>
      <c r="S520" s="63" t="str">
        <f>VLOOKUP(R520,SA!$B$5:$C$11,2,1)</f>
        <v>46-55</v>
      </c>
      <c r="T520" s="38" t="s">
        <v>97</v>
      </c>
      <c r="U520" s="24" t="s">
        <v>115</v>
      </c>
      <c r="V520" s="24">
        <v>300000</v>
      </c>
      <c r="W520" s="39">
        <f t="shared" si="160"/>
        <v>0</v>
      </c>
      <c r="X520" s="29">
        <f t="shared" si="161"/>
        <v>0</v>
      </c>
      <c r="Y520" s="40">
        <f t="shared" si="162"/>
        <v>365</v>
      </c>
      <c r="Z520" s="38">
        <f t="shared" si="157"/>
        <v>46081</v>
      </c>
      <c r="AA520" s="41">
        <f t="shared" si="163"/>
        <v>264</v>
      </c>
      <c r="AB520" s="24" t="s">
        <v>125</v>
      </c>
      <c r="AC520" s="41">
        <f t="shared" si="164"/>
        <v>9586.9925999999996</v>
      </c>
      <c r="AD520" s="41">
        <v>1</v>
      </c>
      <c r="AE520" s="72">
        <f>IFERROR(INDEX(SA!$C$4:$E$11,MATCH(Details!S520,SA!$C$4:$C$11,0),MATCH(Details!V520,SA!$C$4:$E$4,0)),0)*Y520/(F520-E520+1)</f>
        <v>8124.57</v>
      </c>
      <c r="AF520" s="41">
        <f t="shared" si="165"/>
        <v>0</v>
      </c>
      <c r="AG520" s="41">
        <f t="shared" si="166"/>
        <v>0</v>
      </c>
      <c r="AH520" s="41">
        <f t="shared" si="167"/>
        <v>1462.4225999999999</v>
      </c>
      <c r="AI520" s="60">
        <f t="shared" si="168"/>
        <v>324.9828</v>
      </c>
      <c r="AJ520" s="60">
        <f t="shared" si="169"/>
        <v>1828.0282500000001</v>
      </c>
      <c r="AK520" s="60">
        <f t="shared" si="170"/>
        <v>5876.4013150684932</v>
      </c>
      <c r="AL520" s="60">
        <f t="shared" si="171"/>
        <v>4319.1549665753428</v>
      </c>
      <c r="AM520" s="41">
        <f t="shared" si="172"/>
        <v>1652.4039834246571</v>
      </c>
      <c r="AN520" s="42">
        <f t="shared" si="173"/>
        <v>45715</v>
      </c>
      <c r="AO520" s="43">
        <f t="shared" si="174"/>
        <v>8124.57</v>
      </c>
    </row>
    <row r="521" spans="1:41" s="24" customFormat="1" ht="15.75" customHeight="1" x14ac:dyDescent="0.35">
      <c r="A521" s="36" t="s">
        <v>27</v>
      </c>
      <c r="B521" s="36">
        <v>202506</v>
      </c>
      <c r="C521" s="24" t="s">
        <v>128</v>
      </c>
      <c r="D521" s="24" t="s">
        <v>129</v>
      </c>
      <c r="E521" s="62">
        <v>45818</v>
      </c>
      <c r="F521" s="62">
        <v>46182</v>
      </c>
      <c r="G521" s="37" t="s">
        <v>647</v>
      </c>
      <c r="H521" s="36">
        <v>2291</v>
      </c>
      <c r="I521" s="63">
        <v>39368</v>
      </c>
      <c r="J521" s="24" t="s">
        <v>1297</v>
      </c>
      <c r="K521" s="63">
        <f t="shared" si="158"/>
        <v>45818</v>
      </c>
      <c r="L521" s="55">
        <f t="shared" si="159"/>
        <v>0.04</v>
      </c>
      <c r="M521" s="76">
        <v>0.22500000000000001</v>
      </c>
      <c r="N521" s="62">
        <v>45818</v>
      </c>
      <c r="O521" s="62">
        <v>46182</v>
      </c>
      <c r="P521" s="63"/>
      <c r="Q521" s="63"/>
      <c r="R521" s="82">
        <v>17</v>
      </c>
      <c r="S521" s="63" t="str">
        <f>VLOOKUP(R521,SA!$B$5:$C$11,2,1)</f>
        <v>0-35</v>
      </c>
      <c r="T521" s="38" t="s">
        <v>96</v>
      </c>
      <c r="U521" s="24" t="s">
        <v>114</v>
      </c>
      <c r="V521" s="24">
        <v>300000</v>
      </c>
      <c r="W521" s="39">
        <f t="shared" si="160"/>
        <v>0</v>
      </c>
      <c r="X521" s="29">
        <f t="shared" si="161"/>
        <v>0</v>
      </c>
      <c r="Y521" s="40">
        <f t="shared" si="162"/>
        <v>365</v>
      </c>
      <c r="Z521" s="38">
        <f t="shared" si="157"/>
        <v>46081</v>
      </c>
      <c r="AA521" s="41">
        <f t="shared" si="163"/>
        <v>264</v>
      </c>
      <c r="AB521" s="24" t="s">
        <v>125</v>
      </c>
      <c r="AC521" s="41">
        <f t="shared" si="164"/>
        <v>3874.2114000000001</v>
      </c>
      <c r="AD521" s="41">
        <v>1</v>
      </c>
      <c r="AE521" s="72">
        <f>IFERROR(INDEX(SA!$C$4:$E$11,MATCH(Details!S521,SA!$C$4:$C$11,0),MATCH(Details!V521,SA!$C$4:$E$4,0)),0)*Y521/(F521-E521+1)</f>
        <v>3283.23</v>
      </c>
      <c r="AF521" s="41">
        <f t="shared" si="165"/>
        <v>0</v>
      </c>
      <c r="AG521" s="41">
        <f t="shared" si="166"/>
        <v>0</v>
      </c>
      <c r="AH521" s="41">
        <f t="shared" si="167"/>
        <v>590.98140000000001</v>
      </c>
      <c r="AI521" s="60">
        <f t="shared" si="168"/>
        <v>131.32920000000001</v>
      </c>
      <c r="AJ521" s="60">
        <f t="shared" si="169"/>
        <v>738.72675000000004</v>
      </c>
      <c r="AK521" s="60">
        <f t="shared" si="170"/>
        <v>2374.7197808219175</v>
      </c>
      <c r="AL521" s="60">
        <f t="shared" si="171"/>
        <v>1745.4190389041094</v>
      </c>
      <c r="AM521" s="41">
        <f t="shared" si="172"/>
        <v>667.7550110958905</v>
      </c>
      <c r="AN521" s="42">
        <f t="shared" si="173"/>
        <v>45715</v>
      </c>
      <c r="AO521" s="43">
        <f t="shared" si="174"/>
        <v>3283.23</v>
      </c>
    </row>
    <row r="522" spans="1:41" s="24" customFormat="1" ht="15.75" customHeight="1" x14ac:dyDescent="0.35">
      <c r="A522" s="36" t="s">
        <v>27</v>
      </c>
      <c r="B522" s="36">
        <v>202506</v>
      </c>
      <c r="C522" s="24" t="s">
        <v>128</v>
      </c>
      <c r="D522" s="24" t="s">
        <v>129</v>
      </c>
      <c r="E522" s="62">
        <v>45818</v>
      </c>
      <c r="F522" s="62">
        <v>46182</v>
      </c>
      <c r="G522" s="37" t="s">
        <v>648</v>
      </c>
      <c r="H522" s="36">
        <v>2291</v>
      </c>
      <c r="I522" s="63">
        <v>39908</v>
      </c>
      <c r="J522" s="24" t="s">
        <v>1298</v>
      </c>
      <c r="K522" s="63">
        <f t="shared" si="158"/>
        <v>45818</v>
      </c>
      <c r="L522" s="55">
        <f t="shared" si="159"/>
        <v>0.04</v>
      </c>
      <c r="M522" s="76">
        <v>0.22500000000000001</v>
      </c>
      <c r="N522" s="62">
        <v>45818</v>
      </c>
      <c r="O522" s="62">
        <v>46182</v>
      </c>
      <c r="P522" s="63"/>
      <c r="Q522" s="63"/>
      <c r="R522" s="82">
        <v>16</v>
      </c>
      <c r="S522" s="63" t="str">
        <f>VLOOKUP(R522,SA!$B$5:$C$11,2,1)</f>
        <v>0-35</v>
      </c>
      <c r="T522" s="38" t="s">
        <v>96</v>
      </c>
      <c r="U522" s="24" t="s">
        <v>114</v>
      </c>
      <c r="V522" s="24">
        <v>300000</v>
      </c>
      <c r="W522" s="39">
        <f t="shared" si="160"/>
        <v>0</v>
      </c>
      <c r="X522" s="29">
        <f t="shared" si="161"/>
        <v>0</v>
      </c>
      <c r="Y522" s="40">
        <f t="shared" si="162"/>
        <v>365</v>
      </c>
      <c r="Z522" s="38">
        <f t="shared" si="157"/>
        <v>46081</v>
      </c>
      <c r="AA522" s="41">
        <f t="shared" si="163"/>
        <v>264</v>
      </c>
      <c r="AB522" s="24" t="s">
        <v>125</v>
      </c>
      <c r="AC522" s="41">
        <f t="shared" si="164"/>
        <v>3874.2114000000001</v>
      </c>
      <c r="AD522" s="41">
        <v>1</v>
      </c>
      <c r="AE522" s="72">
        <f>IFERROR(INDEX(SA!$C$4:$E$11,MATCH(Details!S522,SA!$C$4:$C$11,0),MATCH(Details!V522,SA!$C$4:$E$4,0)),0)*Y522/(F522-E522+1)</f>
        <v>3283.23</v>
      </c>
      <c r="AF522" s="41">
        <f t="shared" si="165"/>
        <v>0</v>
      </c>
      <c r="AG522" s="41">
        <f t="shared" si="166"/>
        <v>0</v>
      </c>
      <c r="AH522" s="41">
        <f t="shared" si="167"/>
        <v>590.98140000000001</v>
      </c>
      <c r="AI522" s="60">
        <f t="shared" si="168"/>
        <v>131.32920000000001</v>
      </c>
      <c r="AJ522" s="60">
        <f t="shared" si="169"/>
        <v>738.72675000000004</v>
      </c>
      <c r="AK522" s="60">
        <f t="shared" si="170"/>
        <v>2374.7197808219175</v>
      </c>
      <c r="AL522" s="60">
        <f t="shared" si="171"/>
        <v>1745.4190389041094</v>
      </c>
      <c r="AM522" s="41">
        <f t="shared" si="172"/>
        <v>667.7550110958905</v>
      </c>
      <c r="AN522" s="42">
        <f t="shared" si="173"/>
        <v>45715</v>
      </c>
      <c r="AO522" s="43">
        <f t="shared" si="174"/>
        <v>3283.23</v>
      </c>
    </row>
    <row r="523" spans="1:41" s="24" customFormat="1" ht="15.75" customHeight="1" x14ac:dyDescent="0.35">
      <c r="A523" s="36" t="s">
        <v>27</v>
      </c>
      <c r="B523" s="36">
        <v>202506</v>
      </c>
      <c r="C523" s="24" t="s">
        <v>128</v>
      </c>
      <c r="D523" s="24" t="s">
        <v>129</v>
      </c>
      <c r="E523" s="62">
        <v>45818</v>
      </c>
      <c r="F523" s="62">
        <v>46182</v>
      </c>
      <c r="G523" s="37" t="s">
        <v>649</v>
      </c>
      <c r="H523" s="36">
        <v>2293</v>
      </c>
      <c r="I523" s="63">
        <v>32789</v>
      </c>
      <c r="J523" s="24" t="s">
        <v>1299</v>
      </c>
      <c r="K523" s="63">
        <f t="shared" si="158"/>
        <v>45818</v>
      </c>
      <c r="L523" s="55">
        <f t="shared" si="159"/>
        <v>0.04</v>
      </c>
      <c r="M523" s="76">
        <v>0.22500000000000001</v>
      </c>
      <c r="N523" s="62">
        <v>45818</v>
      </c>
      <c r="O523" s="62">
        <v>46182</v>
      </c>
      <c r="P523" s="63"/>
      <c r="Q523" s="63"/>
      <c r="R523" s="82">
        <v>35</v>
      </c>
      <c r="S523" s="63" t="str">
        <f>VLOOKUP(R523,SA!$B$5:$C$11,2,1)</f>
        <v>0-35</v>
      </c>
      <c r="T523" s="38" t="s">
        <v>96</v>
      </c>
      <c r="U523" s="24" t="s">
        <v>56</v>
      </c>
      <c r="V523" s="24">
        <v>300000</v>
      </c>
      <c r="W523" s="39">
        <f t="shared" si="160"/>
        <v>300000</v>
      </c>
      <c r="X523" s="29">
        <f t="shared" si="161"/>
        <v>1</v>
      </c>
      <c r="Y523" s="40">
        <f t="shared" si="162"/>
        <v>365</v>
      </c>
      <c r="Z523" s="38">
        <f t="shared" si="157"/>
        <v>46081</v>
      </c>
      <c r="AA523" s="41">
        <f t="shared" si="163"/>
        <v>264</v>
      </c>
      <c r="AB523" s="24" t="s">
        <v>125</v>
      </c>
      <c r="AC523" s="41">
        <f t="shared" si="164"/>
        <v>3874.2114000000001</v>
      </c>
      <c r="AD523" s="41">
        <v>1</v>
      </c>
      <c r="AE523" s="72">
        <f>IFERROR(INDEX(SA!$C$4:$E$11,MATCH(Details!S523,SA!$C$4:$C$11,0),MATCH(Details!V523,SA!$C$4:$E$4,0)),0)*Y523/(F523-E523+1)</f>
        <v>3283.23</v>
      </c>
      <c r="AF523" s="41">
        <f t="shared" si="165"/>
        <v>0</v>
      </c>
      <c r="AG523" s="41">
        <f t="shared" si="166"/>
        <v>0</v>
      </c>
      <c r="AH523" s="41">
        <f t="shared" si="167"/>
        <v>590.98140000000001</v>
      </c>
      <c r="AI523" s="60">
        <f t="shared" si="168"/>
        <v>131.32920000000001</v>
      </c>
      <c r="AJ523" s="60">
        <f t="shared" si="169"/>
        <v>738.72675000000004</v>
      </c>
      <c r="AK523" s="60">
        <f t="shared" si="170"/>
        <v>2374.7197808219175</v>
      </c>
      <c r="AL523" s="60">
        <f t="shared" si="171"/>
        <v>1745.4190389041094</v>
      </c>
      <c r="AM523" s="41">
        <f t="shared" si="172"/>
        <v>667.7550110958905</v>
      </c>
      <c r="AN523" s="42">
        <f t="shared" si="173"/>
        <v>45715</v>
      </c>
      <c r="AO523" s="43">
        <f t="shared" si="174"/>
        <v>3283.23</v>
      </c>
    </row>
    <row r="524" spans="1:41" s="24" customFormat="1" ht="15.75" customHeight="1" x14ac:dyDescent="0.35">
      <c r="A524" s="36" t="s">
        <v>27</v>
      </c>
      <c r="B524" s="36">
        <v>202506</v>
      </c>
      <c r="C524" s="24" t="s">
        <v>128</v>
      </c>
      <c r="D524" s="24" t="s">
        <v>129</v>
      </c>
      <c r="E524" s="62">
        <v>45818</v>
      </c>
      <c r="F524" s="62">
        <v>46182</v>
      </c>
      <c r="G524" s="37" t="s">
        <v>650</v>
      </c>
      <c r="H524" s="36">
        <v>2293</v>
      </c>
      <c r="I524" s="63">
        <v>34496</v>
      </c>
      <c r="J524" s="24" t="s">
        <v>1300</v>
      </c>
      <c r="K524" s="63">
        <f t="shared" si="158"/>
        <v>45818</v>
      </c>
      <c r="L524" s="55">
        <f t="shared" si="159"/>
        <v>0.04</v>
      </c>
      <c r="M524" s="76">
        <v>0.22500000000000001</v>
      </c>
      <c r="N524" s="62">
        <v>45818</v>
      </c>
      <c r="O524" s="62">
        <v>46182</v>
      </c>
      <c r="P524" s="63"/>
      <c r="Q524" s="63"/>
      <c r="R524" s="82">
        <v>30</v>
      </c>
      <c r="S524" s="63" t="str">
        <f>VLOOKUP(R524,SA!$B$5:$C$11,2,1)</f>
        <v>0-35</v>
      </c>
      <c r="T524" s="38" t="s">
        <v>97</v>
      </c>
      <c r="U524" s="24" t="s">
        <v>115</v>
      </c>
      <c r="V524" s="24">
        <v>300000</v>
      </c>
      <c r="W524" s="39">
        <f t="shared" si="160"/>
        <v>0</v>
      </c>
      <c r="X524" s="29">
        <f t="shared" si="161"/>
        <v>0</v>
      </c>
      <c r="Y524" s="40">
        <f t="shared" si="162"/>
        <v>365</v>
      </c>
      <c r="Z524" s="38">
        <f t="shared" si="157"/>
        <v>46081</v>
      </c>
      <c r="AA524" s="41">
        <f t="shared" si="163"/>
        <v>264</v>
      </c>
      <c r="AB524" s="24" t="s">
        <v>125</v>
      </c>
      <c r="AC524" s="41">
        <f t="shared" si="164"/>
        <v>3874.2114000000001</v>
      </c>
      <c r="AD524" s="41">
        <v>1</v>
      </c>
      <c r="AE524" s="72">
        <f>IFERROR(INDEX(SA!$C$4:$E$11,MATCH(Details!S524,SA!$C$4:$C$11,0),MATCH(Details!V524,SA!$C$4:$E$4,0)),0)*Y524/(F524-E524+1)</f>
        <v>3283.23</v>
      </c>
      <c r="AF524" s="41">
        <f t="shared" si="165"/>
        <v>0</v>
      </c>
      <c r="AG524" s="41">
        <f t="shared" si="166"/>
        <v>0</v>
      </c>
      <c r="AH524" s="41">
        <f t="shared" si="167"/>
        <v>590.98140000000001</v>
      </c>
      <c r="AI524" s="60">
        <f t="shared" si="168"/>
        <v>131.32920000000001</v>
      </c>
      <c r="AJ524" s="60">
        <f t="shared" si="169"/>
        <v>738.72675000000004</v>
      </c>
      <c r="AK524" s="60">
        <f t="shared" si="170"/>
        <v>2374.7197808219175</v>
      </c>
      <c r="AL524" s="60">
        <f t="shared" si="171"/>
        <v>1745.4190389041094</v>
      </c>
      <c r="AM524" s="41">
        <f t="shared" si="172"/>
        <v>667.7550110958905</v>
      </c>
      <c r="AN524" s="42">
        <f t="shared" si="173"/>
        <v>45715</v>
      </c>
      <c r="AO524" s="43">
        <f t="shared" si="174"/>
        <v>3283.23</v>
      </c>
    </row>
    <row r="525" spans="1:41" s="24" customFormat="1" ht="15.75" customHeight="1" x14ac:dyDescent="0.35">
      <c r="A525" s="36" t="s">
        <v>27</v>
      </c>
      <c r="B525" s="36">
        <v>202506</v>
      </c>
      <c r="C525" s="24" t="s">
        <v>128</v>
      </c>
      <c r="D525" s="24" t="s">
        <v>129</v>
      </c>
      <c r="E525" s="62">
        <v>45818</v>
      </c>
      <c r="F525" s="62">
        <v>46182</v>
      </c>
      <c r="G525" s="37" t="s">
        <v>651</v>
      </c>
      <c r="H525" s="36">
        <v>2293</v>
      </c>
      <c r="I525" s="63">
        <v>43261</v>
      </c>
      <c r="J525" s="24" t="s">
        <v>1301</v>
      </c>
      <c r="K525" s="63">
        <f t="shared" si="158"/>
        <v>45818</v>
      </c>
      <c r="L525" s="55">
        <f t="shared" si="159"/>
        <v>0.04</v>
      </c>
      <c r="M525" s="76">
        <v>0.22500000000000001</v>
      </c>
      <c r="N525" s="62">
        <v>45818</v>
      </c>
      <c r="O525" s="62">
        <v>46182</v>
      </c>
      <c r="P525" s="63"/>
      <c r="Q525" s="63"/>
      <c r="R525" s="82">
        <v>7</v>
      </c>
      <c r="S525" s="63" t="str">
        <f>VLOOKUP(R525,SA!$B$5:$C$11,2,1)</f>
        <v>0-35</v>
      </c>
      <c r="T525" s="38" t="s">
        <v>96</v>
      </c>
      <c r="U525" s="24" t="s">
        <v>114</v>
      </c>
      <c r="V525" s="24">
        <v>300000</v>
      </c>
      <c r="W525" s="39">
        <f t="shared" si="160"/>
        <v>0</v>
      </c>
      <c r="X525" s="29">
        <f t="shared" si="161"/>
        <v>0</v>
      </c>
      <c r="Y525" s="40">
        <f t="shared" si="162"/>
        <v>365</v>
      </c>
      <c r="Z525" s="38">
        <f t="shared" si="157"/>
        <v>46081</v>
      </c>
      <c r="AA525" s="41">
        <f t="shared" si="163"/>
        <v>264</v>
      </c>
      <c r="AB525" s="24" t="s">
        <v>125</v>
      </c>
      <c r="AC525" s="41">
        <f t="shared" si="164"/>
        <v>3874.2114000000001</v>
      </c>
      <c r="AD525" s="41">
        <v>1</v>
      </c>
      <c r="AE525" s="72">
        <f>IFERROR(INDEX(SA!$C$4:$E$11,MATCH(Details!S525,SA!$C$4:$C$11,0),MATCH(Details!V525,SA!$C$4:$E$4,0)),0)*Y525/(F525-E525+1)</f>
        <v>3283.23</v>
      </c>
      <c r="AF525" s="41">
        <f t="shared" si="165"/>
        <v>0</v>
      </c>
      <c r="AG525" s="41">
        <f t="shared" si="166"/>
        <v>0</v>
      </c>
      <c r="AH525" s="41">
        <f t="shared" si="167"/>
        <v>590.98140000000001</v>
      </c>
      <c r="AI525" s="60">
        <f t="shared" si="168"/>
        <v>131.32920000000001</v>
      </c>
      <c r="AJ525" s="60">
        <f t="shared" si="169"/>
        <v>738.72675000000004</v>
      </c>
      <c r="AK525" s="60">
        <f t="shared" si="170"/>
        <v>2374.7197808219175</v>
      </c>
      <c r="AL525" s="60">
        <f t="shared" si="171"/>
        <v>1745.4190389041094</v>
      </c>
      <c r="AM525" s="41">
        <f t="shared" si="172"/>
        <v>667.7550110958905</v>
      </c>
      <c r="AN525" s="42">
        <f t="shared" si="173"/>
        <v>45715</v>
      </c>
      <c r="AO525" s="43">
        <f t="shared" si="174"/>
        <v>3283.23</v>
      </c>
    </row>
    <row r="526" spans="1:41" s="24" customFormat="1" ht="15.75" customHeight="1" x14ac:dyDescent="0.35">
      <c r="A526" s="36" t="s">
        <v>27</v>
      </c>
      <c r="B526" s="36">
        <v>202506</v>
      </c>
      <c r="C526" s="24" t="s">
        <v>128</v>
      </c>
      <c r="D526" s="24" t="s">
        <v>129</v>
      </c>
      <c r="E526" s="62">
        <v>45818</v>
      </c>
      <c r="F526" s="62">
        <v>46182</v>
      </c>
      <c r="G526" s="37" t="s">
        <v>652</v>
      </c>
      <c r="H526" s="36">
        <v>2294</v>
      </c>
      <c r="I526" s="63">
        <v>28928</v>
      </c>
      <c r="J526" s="24" t="s">
        <v>1302</v>
      </c>
      <c r="K526" s="63">
        <f t="shared" si="158"/>
        <v>45818</v>
      </c>
      <c r="L526" s="55">
        <f t="shared" si="159"/>
        <v>0.04</v>
      </c>
      <c r="M526" s="76">
        <v>0.22500000000000001</v>
      </c>
      <c r="N526" s="62">
        <v>45818</v>
      </c>
      <c r="O526" s="62">
        <v>46182</v>
      </c>
      <c r="P526" s="63"/>
      <c r="Q526" s="63"/>
      <c r="R526" s="82">
        <v>46</v>
      </c>
      <c r="S526" s="63" t="str">
        <f>VLOOKUP(R526,SA!$B$5:$C$11,2,1)</f>
        <v>46-55</v>
      </c>
      <c r="T526" s="38" t="s">
        <v>96</v>
      </c>
      <c r="U526" s="24" t="s">
        <v>56</v>
      </c>
      <c r="V526" s="24">
        <v>300000</v>
      </c>
      <c r="W526" s="39">
        <f t="shared" si="160"/>
        <v>300000</v>
      </c>
      <c r="X526" s="29">
        <f t="shared" si="161"/>
        <v>1</v>
      </c>
      <c r="Y526" s="40">
        <f t="shared" si="162"/>
        <v>365</v>
      </c>
      <c r="Z526" s="38">
        <f t="shared" si="157"/>
        <v>46081</v>
      </c>
      <c r="AA526" s="41">
        <f t="shared" si="163"/>
        <v>264</v>
      </c>
      <c r="AB526" s="24" t="s">
        <v>125</v>
      </c>
      <c r="AC526" s="41">
        <f t="shared" si="164"/>
        <v>9586.9925999999996</v>
      </c>
      <c r="AD526" s="41">
        <v>1</v>
      </c>
      <c r="AE526" s="72">
        <f>IFERROR(INDEX(SA!$C$4:$E$11,MATCH(Details!S526,SA!$C$4:$C$11,0),MATCH(Details!V526,SA!$C$4:$E$4,0)),0)*Y526/(F526-E526+1)</f>
        <v>8124.57</v>
      </c>
      <c r="AF526" s="41">
        <f t="shared" si="165"/>
        <v>0</v>
      </c>
      <c r="AG526" s="41">
        <f t="shared" si="166"/>
        <v>0</v>
      </c>
      <c r="AH526" s="41">
        <f t="shared" si="167"/>
        <v>1462.4225999999999</v>
      </c>
      <c r="AI526" s="60">
        <f t="shared" si="168"/>
        <v>324.9828</v>
      </c>
      <c r="AJ526" s="60">
        <f t="shared" si="169"/>
        <v>1828.0282500000001</v>
      </c>
      <c r="AK526" s="60">
        <f t="shared" si="170"/>
        <v>5876.4013150684932</v>
      </c>
      <c r="AL526" s="60">
        <f t="shared" si="171"/>
        <v>4319.1549665753428</v>
      </c>
      <c r="AM526" s="41">
        <f t="shared" si="172"/>
        <v>1652.4039834246571</v>
      </c>
      <c r="AN526" s="42">
        <f t="shared" si="173"/>
        <v>45715</v>
      </c>
      <c r="AO526" s="43">
        <f t="shared" si="174"/>
        <v>8124.57</v>
      </c>
    </row>
    <row r="527" spans="1:41" s="24" customFormat="1" ht="15.75" customHeight="1" x14ac:dyDescent="0.35">
      <c r="A527" s="36" t="s">
        <v>27</v>
      </c>
      <c r="B527" s="36">
        <v>202506</v>
      </c>
      <c r="C527" s="24" t="s">
        <v>128</v>
      </c>
      <c r="D527" s="24" t="s">
        <v>129</v>
      </c>
      <c r="E527" s="62">
        <v>45818</v>
      </c>
      <c r="F527" s="62">
        <v>46182</v>
      </c>
      <c r="G527" s="37" t="s">
        <v>653</v>
      </c>
      <c r="H527" s="36">
        <v>2294</v>
      </c>
      <c r="I527" s="63">
        <v>31533</v>
      </c>
      <c r="J527" s="24" t="s">
        <v>1303</v>
      </c>
      <c r="K527" s="63">
        <f t="shared" si="158"/>
        <v>45818</v>
      </c>
      <c r="L527" s="55">
        <f t="shared" si="159"/>
        <v>0.04</v>
      </c>
      <c r="M527" s="76">
        <v>0.22500000000000001</v>
      </c>
      <c r="N527" s="62">
        <v>45818</v>
      </c>
      <c r="O527" s="62">
        <v>46182</v>
      </c>
      <c r="P527" s="63"/>
      <c r="Q527" s="63"/>
      <c r="R527" s="82">
        <v>39</v>
      </c>
      <c r="S527" s="63" t="str">
        <f>VLOOKUP(R527,SA!$B$5:$C$11,2,1)</f>
        <v>36-45</v>
      </c>
      <c r="T527" s="38" t="s">
        <v>97</v>
      </c>
      <c r="U527" s="24" t="s">
        <v>115</v>
      </c>
      <c r="V527" s="24">
        <v>300000</v>
      </c>
      <c r="W527" s="39">
        <f t="shared" si="160"/>
        <v>0</v>
      </c>
      <c r="X527" s="29">
        <f t="shared" si="161"/>
        <v>0</v>
      </c>
      <c r="Y527" s="40">
        <f t="shared" si="162"/>
        <v>365</v>
      </c>
      <c r="Z527" s="38">
        <f t="shared" si="157"/>
        <v>46081</v>
      </c>
      <c r="AA527" s="41">
        <f t="shared" si="163"/>
        <v>264</v>
      </c>
      <c r="AB527" s="24" t="s">
        <v>125</v>
      </c>
      <c r="AC527" s="41">
        <f t="shared" si="164"/>
        <v>5017.3245999999999</v>
      </c>
      <c r="AD527" s="41">
        <v>1</v>
      </c>
      <c r="AE527" s="72">
        <f>IFERROR(INDEX(SA!$C$4:$E$11,MATCH(Details!S527,SA!$C$4:$C$11,0),MATCH(Details!V527,SA!$C$4:$E$4,0)),0)*Y527/(F527-E527+1)</f>
        <v>4251.97</v>
      </c>
      <c r="AF527" s="41">
        <f t="shared" si="165"/>
        <v>0</v>
      </c>
      <c r="AG527" s="41">
        <f t="shared" si="166"/>
        <v>0</v>
      </c>
      <c r="AH527" s="41">
        <f t="shared" si="167"/>
        <v>765.3546</v>
      </c>
      <c r="AI527" s="60">
        <f t="shared" si="168"/>
        <v>170.0788</v>
      </c>
      <c r="AJ527" s="60">
        <f t="shared" si="169"/>
        <v>956.69325000000003</v>
      </c>
      <c r="AK527" s="60">
        <f t="shared" si="170"/>
        <v>3075.397479452055</v>
      </c>
      <c r="AL527" s="60">
        <f t="shared" si="171"/>
        <v>2260.4171473972606</v>
      </c>
      <c r="AM527" s="41">
        <f t="shared" si="172"/>
        <v>864.78080260273941</v>
      </c>
      <c r="AN527" s="42">
        <f t="shared" si="173"/>
        <v>45715</v>
      </c>
      <c r="AO527" s="43">
        <f t="shared" si="174"/>
        <v>4251.97</v>
      </c>
    </row>
    <row r="528" spans="1:41" s="24" customFormat="1" ht="15.75" customHeight="1" x14ac:dyDescent="0.35">
      <c r="A528" s="36" t="s">
        <v>27</v>
      </c>
      <c r="B528" s="36">
        <v>202506</v>
      </c>
      <c r="C528" s="24" t="s">
        <v>128</v>
      </c>
      <c r="D528" s="24" t="s">
        <v>129</v>
      </c>
      <c r="E528" s="62">
        <v>45818</v>
      </c>
      <c r="F528" s="62">
        <v>46182</v>
      </c>
      <c r="G528" s="37" t="s">
        <v>654</v>
      </c>
      <c r="H528" s="36">
        <v>2294</v>
      </c>
      <c r="I528" s="63">
        <v>41422</v>
      </c>
      <c r="J528" s="24" t="s">
        <v>1304</v>
      </c>
      <c r="K528" s="63">
        <f t="shared" si="158"/>
        <v>45818</v>
      </c>
      <c r="L528" s="55">
        <f t="shared" si="159"/>
        <v>0.04</v>
      </c>
      <c r="M528" s="76">
        <v>0.22500000000000001</v>
      </c>
      <c r="N528" s="62">
        <v>45818</v>
      </c>
      <c r="O528" s="62">
        <v>46182</v>
      </c>
      <c r="P528" s="63"/>
      <c r="Q528" s="63"/>
      <c r="R528" s="82">
        <v>12</v>
      </c>
      <c r="S528" s="63" t="str">
        <f>VLOOKUP(R528,SA!$B$5:$C$11,2,1)</f>
        <v>0-35</v>
      </c>
      <c r="T528" s="38" t="s">
        <v>97</v>
      </c>
      <c r="U528" s="24" t="s">
        <v>113</v>
      </c>
      <c r="V528" s="24">
        <v>300000</v>
      </c>
      <c r="W528" s="39">
        <f t="shared" si="160"/>
        <v>0</v>
      </c>
      <c r="X528" s="29">
        <f t="shared" si="161"/>
        <v>0</v>
      </c>
      <c r="Y528" s="40">
        <f t="shared" si="162"/>
        <v>365</v>
      </c>
      <c r="Z528" s="38">
        <f t="shared" si="157"/>
        <v>46081</v>
      </c>
      <c r="AA528" s="41">
        <f t="shared" si="163"/>
        <v>264</v>
      </c>
      <c r="AB528" s="24" t="s">
        <v>125</v>
      </c>
      <c r="AC528" s="41">
        <f t="shared" si="164"/>
        <v>3874.2114000000001</v>
      </c>
      <c r="AD528" s="41">
        <v>1</v>
      </c>
      <c r="AE528" s="72">
        <f>IFERROR(INDEX(SA!$C$4:$E$11,MATCH(Details!S528,SA!$C$4:$C$11,0),MATCH(Details!V528,SA!$C$4:$E$4,0)),0)*Y528/(F528-E528+1)</f>
        <v>3283.23</v>
      </c>
      <c r="AF528" s="41">
        <f t="shared" si="165"/>
        <v>0</v>
      </c>
      <c r="AG528" s="41">
        <f t="shared" si="166"/>
        <v>0</v>
      </c>
      <c r="AH528" s="41">
        <f t="shared" si="167"/>
        <v>590.98140000000001</v>
      </c>
      <c r="AI528" s="60">
        <f t="shared" si="168"/>
        <v>131.32920000000001</v>
      </c>
      <c r="AJ528" s="60">
        <f t="shared" si="169"/>
        <v>738.72675000000004</v>
      </c>
      <c r="AK528" s="60">
        <f t="shared" si="170"/>
        <v>2374.7197808219175</v>
      </c>
      <c r="AL528" s="60">
        <f t="shared" si="171"/>
        <v>1745.4190389041094</v>
      </c>
      <c r="AM528" s="41">
        <f t="shared" si="172"/>
        <v>667.7550110958905</v>
      </c>
      <c r="AN528" s="42">
        <f t="shared" si="173"/>
        <v>45715</v>
      </c>
      <c r="AO528" s="43">
        <f t="shared" si="174"/>
        <v>3283.23</v>
      </c>
    </row>
    <row r="529" spans="1:41" s="24" customFormat="1" ht="15.75" customHeight="1" x14ac:dyDescent="0.35">
      <c r="A529" s="36" t="s">
        <v>27</v>
      </c>
      <c r="B529" s="36">
        <v>202506</v>
      </c>
      <c r="C529" s="24" t="s">
        <v>128</v>
      </c>
      <c r="D529" s="24" t="s">
        <v>129</v>
      </c>
      <c r="E529" s="62">
        <v>45818</v>
      </c>
      <c r="F529" s="62">
        <v>46182</v>
      </c>
      <c r="G529" s="37" t="s">
        <v>655</v>
      </c>
      <c r="H529" s="36">
        <v>2295</v>
      </c>
      <c r="I529" s="63">
        <v>35738</v>
      </c>
      <c r="J529" s="24" t="s">
        <v>1305</v>
      </c>
      <c r="K529" s="63">
        <f t="shared" si="158"/>
        <v>45818</v>
      </c>
      <c r="L529" s="55">
        <f t="shared" si="159"/>
        <v>0.04</v>
      </c>
      <c r="M529" s="76">
        <v>0.22500000000000001</v>
      </c>
      <c r="N529" s="62">
        <v>45818</v>
      </c>
      <c r="O529" s="62">
        <v>46182</v>
      </c>
      <c r="P529" s="63"/>
      <c r="Q529" s="63"/>
      <c r="R529" s="82">
        <v>27</v>
      </c>
      <c r="S529" s="63" t="str">
        <f>VLOOKUP(R529,SA!$B$5:$C$11,2,1)</f>
        <v>0-35</v>
      </c>
      <c r="T529" s="38" t="s">
        <v>96</v>
      </c>
      <c r="U529" s="24" t="s">
        <v>56</v>
      </c>
      <c r="V529" s="24">
        <v>300000</v>
      </c>
      <c r="W529" s="39">
        <f t="shared" si="160"/>
        <v>300000</v>
      </c>
      <c r="X529" s="29">
        <f t="shared" si="161"/>
        <v>1</v>
      </c>
      <c r="Y529" s="40">
        <f t="shared" si="162"/>
        <v>365</v>
      </c>
      <c r="Z529" s="38">
        <f t="shared" si="157"/>
        <v>46081</v>
      </c>
      <c r="AA529" s="41">
        <f t="shared" si="163"/>
        <v>264</v>
      </c>
      <c r="AB529" s="24" t="s">
        <v>125</v>
      </c>
      <c r="AC529" s="41">
        <f t="shared" si="164"/>
        <v>3874.2114000000001</v>
      </c>
      <c r="AD529" s="41">
        <v>1</v>
      </c>
      <c r="AE529" s="72">
        <f>IFERROR(INDEX(SA!$C$4:$E$11,MATCH(Details!S529,SA!$C$4:$C$11,0),MATCH(Details!V529,SA!$C$4:$E$4,0)),0)*Y529/(F529-E529+1)</f>
        <v>3283.23</v>
      </c>
      <c r="AF529" s="41">
        <f t="shared" si="165"/>
        <v>0</v>
      </c>
      <c r="AG529" s="41">
        <f t="shared" si="166"/>
        <v>0</v>
      </c>
      <c r="AH529" s="41">
        <f t="shared" si="167"/>
        <v>590.98140000000001</v>
      </c>
      <c r="AI529" s="60">
        <f t="shared" si="168"/>
        <v>131.32920000000001</v>
      </c>
      <c r="AJ529" s="60">
        <f t="shared" si="169"/>
        <v>738.72675000000004</v>
      </c>
      <c r="AK529" s="60">
        <f t="shared" si="170"/>
        <v>2374.7197808219175</v>
      </c>
      <c r="AL529" s="60">
        <f t="shared" si="171"/>
        <v>1745.4190389041094</v>
      </c>
      <c r="AM529" s="41">
        <f t="shared" si="172"/>
        <v>667.7550110958905</v>
      </c>
      <c r="AN529" s="42">
        <f t="shared" si="173"/>
        <v>45715</v>
      </c>
      <c r="AO529" s="43">
        <f t="shared" si="174"/>
        <v>3283.23</v>
      </c>
    </row>
    <row r="530" spans="1:41" s="24" customFormat="1" ht="15.75" customHeight="1" x14ac:dyDescent="0.35">
      <c r="A530" s="36" t="s">
        <v>27</v>
      </c>
      <c r="B530" s="36">
        <v>202506</v>
      </c>
      <c r="C530" s="24" t="s">
        <v>128</v>
      </c>
      <c r="D530" s="24" t="s">
        <v>129</v>
      </c>
      <c r="E530" s="62">
        <v>45818</v>
      </c>
      <c r="F530" s="62">
        <v>46182</v>
      </c>
      <c r="G530" s="37" t="s">
        <v>656</v>
      </c>
      <c r="H530" s="36">
        <v>2298</v>
      </c>
      <c r="I530" s="63">
        <v>34420</v>
      </c>
      <c r="J530" s="24" t="s">
        <v>1306</v>
      </c>
      <c r="K530" s="63">
        <f t="shared" si="158"/>
        <v>45818</v>
      </c>
      <c r="L530" s="55">
        <f t="shared" si="159"/>
        <v>0.04</v>
      </c>
      <c r="M530" s="76">
        <v>0.22500000000000001</v>
      </c>
      <c r="N530" s="62">
        <v>45818</v>
      </c>
      <c r="O530" s="62">
        <v>46182</v>
      </c>
      <c r="P530" s="63"/>
      <c r="Q530" s="63"/>
      <c r="R530" s="82">
        <v>31</v>
      </c>
      <c r="S530" s="63" t="str">
        <f>VLOOKUP(R530,SA!$B$5:$C$11,2,1)</f>
        <v>0-35</v>
      </c>
      <c r="T530" s="38" t="s">
        <v>96</v>
      </c>
      <c r="U530" s="24" t="s">
        <v>56</v>
      </c>
      <c r="V530" s="24">
        <v>300000</v>
      </c>
      <c r="W530" s="39">
        <f t="shared" si="160"/>
        <v>300000</v>
      </c>
      <c r="X530" s="29">
        <f t="shared" si="161"/>
        <v>1</v>
      </c>
      <c r="Y530" s="40">
        <f t="shared" si="162"/>
        <v>365</v>
      </c>
      <c r="Z530" s="38">
        <f t="shared" si="157"/>
        <v>46081</v>
      </c>
      <c r="AA530" s="41">
        <f t="shared" si="163"/>
        <v>264</v>
      </c>
      <c r="AB530" s="24" t="s">
        <v>125</v>
      </c>
      <c r="AC530" s="41">
        <f t="shared" si="164"/>
        <v>3874.2114000000001</v>
      </c>
      <c r="AD530" s="41">
        <v>1</v>
      </c>
      <c r="AE530" s="72">
        <f>IFERROR(INDEX(SA!$C$4:$E$11,MATCH(Details!S530,SA!$C$4:$C$11,0),MATCH(Details!V530,SA!$C$4:$E$4,0)),0)*Y530/(F530-E530+1)</f>
        <v>3283.23</v>
      </c>
      <c r="AF530" s="41">
        <f t="shared" si="165"/>
        <v>0</v>
      </c>
      <c r="AG530" s="41">
        <f t="shared" si="166"/>
        <v>0</v>
      </c>
      <c r="AH530" s="41">
        <f t="shared" si="167"/>
        <v>590.98140000000001</v>
      </c>
      <c r="AI530" s="60">
        <f t="shared" si="168"/>
        <v>131.32920000000001</v>
      </c>
      <c r="AJ530" s="60">
        <f t="shared" si="169"/>
        <v>738.72675000000004</v>
      </c>
      <c r="AK530" s="60">
        <f t="shared" si="170"/>
        <v>2374.7197808219175</v>
      </c>
      <c r="AL530" s="60">
        <f t="shared" si="171"/>
        <v>1745.4190389041094</v>
      </c>
      <c r="AM530" s="41">
        <f t="shared" si="172"/>
        <v>667.7550110958905</v>
      </c>
      <c r="AN530" s="42">
        <f t="shared" si="173"/>
        <v>45715</v>
      </c>
      <c r="AO530" s="43">
        <f t="shared" si="174"/>
        <v>3283.23</v>
      </c>
    </row>
    <row r="531" spans="1:41" s="24" customFormat="1" ht="15.75" customHeight="1" x14ac:dyDescent="0.35">
      <c r="A531" s="36" t="s">
        <v>27</v>
      </c>
      <c r="B531" s="36">
        <v>202506</v>
      </c>
      <c r="C531" s="24" t="s">
        <v>128</v>
      </c>
      <c r="D531" s="24" t="s">
        <v>129</v>
      </c>
      <c r="E531" s="62">
        <v>45818</v>
      </c>
      <c r="F531" s="62">
        <v>46182</v>
      </c>
      <c r="G531" s="37" t="s">
        <v>657</v>
      </c>
      <c r="H531" s="36">
        <v>2298</v>
      </c>
      <c r="I531" s="63">
        <v>34916</v>
      </c>
      <c r="J531" s="24" t="s">
        <v>1307</v>
      </c>
      <c r="K531" s="63">
        <f t="shared" si="158"/>
        <v>45818</v>
      </c>
      <c r="L531" s="55">
        <f t="shared" si="159"/>
        <v>0.04</v>
      </c>
      <c r="M531" s="76">
        <v>0.22500000000000001</v>
      </c>
      <c r="N531" s="62">
        <v>45818</v>
      </c>
      <c r="O531" s="62">
        <v>46182</v>
      </c>
      <c r="P531" s="63"/>
      <c r="Q531" s="63"/>
      <c r="R531" s="82">
        <v>29</v>
      </c>
      <c r="S531" s="63" t="str">
        <f>VLOOKUP(R531,SA!$B$5:$C$11,2,1)</f>
        <v>0-35</v>
      </c>
      <c r="T531" s="38" t="s">
        <v>97</v>
      </c>
      <c r="U531" s="24" t="s">
        <v>115</v>
      </c>
      <c r="V531" s="24">
        <v>300000</v>
      </c>
      <c r="W531" s="39">
        <f t="shared" si="160"/>
        <v>0</v>
      </c>
      <c r="X531" s="29">
        <f t="shared" si="161"/>
        <v>0</v>
      </c>
      <c r="Y531" s="40">
        <f t="shared" si="162"/>
        <v>365</v>
      </c>
      <c r="Z531" s="38">
        <f t="shared" si="157"/>
        <v>46081</v>
      </c>
      <c r="AA531" s="41">
        <f t="shared" si="163"/>
        <v>264</v>
      </c>
      <c r="AB531" s="24" t="s">
        <v>125</v>
      </c>
      <c r="AC531" s="41">
        <f t="shared" si="164"/>
        <v>3874.2114000000001</v>
      </c>
      <c r="AD531" s="41">
        <v>1</v>
      </c>
      <c r="AE531" s="72">
        <f>IFERROR(INDEX(SA!$C$4:$E$11,MATCH(Details!S531,SA!$C$4:$C$11,0),MATCH(Details!V531,SA!$C$4:$E$4,0)),0)*Y531/(F531-E531+1)</f>
        <v>3283.23</v>
      </c>
      <c r="AF531" s="41">
        <f t="shared" si="165"/>
        <v>0</v>
      </c>
      <c r="AG531" s="41">
        <f t="shared" si="166"/>
        <v>0</v>
      </c>
      <c r="AH531" s="41">
        <f t="shared" si="167"/>
        <v>590.98140000000001</v>
      </c>
      <c r="AI531" s="60">
        <f t="shared" si="168"/>
        <v>131.32920000000001</v>
      </c>
      <c r="AJ531" s="60">
        <f t="shared" si="169"/>
        <v>738.72675000000004</v>
      </c>
      <c r="AK531" s="60">
        <f t="shared" si="170"/>
        <v>2374.7197808219175</v>
      </c>
      <c r="AL531" s="60">
        <f t="shared" si="171"/>
        <v>1745.4190389041094</v>
      </c>
      <c r="AM531" s="41">
        <f t="shared" si="172"/>
        <v>667.7550110958905</v>
      </c>
      <c r="AN531" s="42">
        <f t="shared" si="173"/>
        <v>45715</v>
      </c>
      <c r="AO531" s="43">
        <f t="shared" si="174"/>
        <v>3283.23</v>
      </c>
    </row>
    <row r="532" spans="1:41" s="24" customFormat="1" ht="15.75" customHeight="1" x14ac:dyDescent="0.35">
      <c r="A532" s="36" t="s">
        <v>27</v>
      </c>
      <c r="B532" s="36">
        <v>202506</v>
      </c>
      <c r="C532" s="24" t="s">
        <v>128</v>
      </c>
      <c r="D532" s="24" t="s">
        <v>129</v>
      </c>
      <c r="E532" s="62">
        <v>45818</v>
      </c>
      <c r="F532" s="62">
        <v>46182</v>
      </c>
      <c r="G532" s="37" t="s">
        <v>658</v>
      </c>
      <c r="H532" s="36">
        <v>2298</v>
      </c>
      <c r="I532" s="63">
        <v>44996</v>
      </c>
      <c r="J532" s="24" t="s">
        <v>1308</v>
      </c>
      <c r="K532" s="63">
        <f t="shared" si="158"/>
        <v>45818</v>
      </c>
      <c r="L532" s="55">
        <f t="shared" si="159"/>
        <v>0.04</v>
      </c>
      <c r="M532" s="76">
        <v>0.22500000000000001</v>
      </c>
      <c r="N532" s="62">
        <v>45818</v>
      </c>
      <c r="O532" s="62">
        <v>46182</v>
      </c>
      <c r="P532" s="63"/>
      <c r="Q532" s="63"/>
      <c r="R532" s="82">
        <v>2</v>
      </c>
      <c r="S532" s="63" t="str">
        <f>VLOOKUP(R532,SA!$B$5:$C$11,2,1)</f>
        <v>0-35</v>
      </c>
      <c r="T532" s="38" t="s">
        <v>96</v>
      </c>
      <c r="U532" s="24" t="s">
        <v>114</v>
      </c>
      <c r="V532" s="24">
        <v>300000</v>
      </c>
      <c r="W532" s="39">
        <f t="shared" si="160"/>
        <v>0</v>
      </c>
      <c r="X532" s="29">
        <f t="shared" si="161"/>
        <v>0</v>
      </c>
      <c r="Y532" s="40">
        <f t="shared" si="162"/>
        <v>365</v>
      </c>
      <c r="Z532" s="38">
        <f t="shared" si="157"/>
        <v>46081</v>
      </c>
      <c r="AA532" s="41">
        <f t="shared" si="163"/>
        <v>264</v>
      </c>
      <c r="AB532" s="24" t="s">
        <v>125</v>
      </c>
      <c r="AC532" s="41">
        <f t="shared" si="164"/>
        <v>3874.2114000000001</v>
      </c>
      <c r="AD532" s="41">
        <v>1</v>
      </c>
      <c r="AE532" s="72">
        <f>IFERROR(INDEX(SA!$C$4:$E$11,MATCH(Details!S532,SA!$C$4:$C$11,0),MATCH(Details!V532,SA!$C$4:$E$4,0)),0)*Y532/(F532-E532+1)</f>
        <v>3283.23</v>
      </c>
      <c r="AF532" s="41">
        <f t="shared" si="165"/>
        <v>0</v>
      </c>
      <c r="AG532" s="41">
        <f t="shared" si="166"/>
        <v>0</v>
      </c>
      <c r="AH532" s="41">
        <f t="shared" si="167"/>
        <v>590.98140000000001</v>
      </c>
      <c r="AI532" s="60">
        <f t="shared" si="168"/>
        <v>131.32920000000001</v>
      </c>
      <c r="AJ532" s="60">
        <f t="shared" si="169"/>
        <v>738.72675000000004</v>
      </c>
      <c r="AK532" s="60">
        <f t="shared" si="170"/>
        <v>2374.7197808219175</v>
      </c>
      <c r="AL532" s="60">
        <f t="shared" si="171"/>
        <v>1745.4190389041094</v>
      </c>
      <c r="AM532" s="41">
        <f t="shared" si="172"/>
        <v>667.7550110958905</v>
      </c>
      <c r="AN532" s="42">
        <f t="shared" si="173"/>
        <v>45715</v>
      </c>
      <c r="AO532" s="43">
        <f t="shared" si="174"/>
        <v>3283.23</v>
      </c>
    </row>
    <row r="533" spans="1:41" s="24" customFormat="1" ht="15.75" customHeight="1" x14ac:dyDescent="0.35">
      <c r="A533" s="36" t="s">
        <v>27</v>
      </c>
      <c r="B533" s="36">
        <v>202506</v>
      </c>
      <c r="C533" s="24" t="s">
        <v>128</v>
      </c>
      <c r="D533" s="24" t="s">
        <v>129</v>
      </c>
      <c r="E533" s="62">
        <v>45818</v>
      </c>
      <c r="F533" s="62">
        <v>46182</v>
      </c>
      <c r="G533" s="37" t="s">
        <v>659</v>
      </c>
      <c r="H533" s="36">
        <v>2303</v>
      </c>
      <c r="I533" s="63">
        <v>34381</v>
      </c>
      <c r="J533" s="24" t="s">
        <v>1309</v>
      </c>
      <c r="K533" s="63">
        <f t="shared" si="158"/>
        <v>45818</v>
      </c>
      <c r="L533" s="55">
        <f t="shared" si="159"/>
        <v>0.04</v>
      </c>
      <c r="M533" s="76">
        <v>0.22500000000000001</v>
      </c>
      <c r="N533" s="62">
        <v>45818</v>
      </c>
      <c r="O533" s="62">
        <v>46182</v>
      </c>
      <c r="P533" s="63"/>
      <c r="Q533" s="63"/>
      <c r="R533" s="82">
        <v>31</v>
      </c>
      <c r="S533" s="63" t="str">
        <f>VLOOKUP(R533,SA!$B$5:$C$11,2,1)</f>
        <v>0-35</v>
      </c>
      <c r="T533" s="38" t="s">
        <v>96</v>
      </c>
      <c r="U533" s="24" t="s">
        <v>56</v>
      </c>
      <c r="V533" s="24">
        <v>300000</v>
      </c>
      <c r="W533" s="39">
        <f t="shared" si="160"/>
        <v>300000</v>
      </c>
      <c r="X533" s="29">
        <f t="shared" si="161"/>
        <v>1</v>
      </c>
      <c r="Y533" s="40">
        <f t="shared" si="162"/>
        <v>365</v>
      </c>
      <c r="Z533" s="38">
        <f t="shared" si="157"/>
        <v>46081</v>
      </c>
      <c r="AA533" s="41">
        <f t="shared" si="163"/>
        <v>264</v>
      </c>
      <c r="AB533" s="24" t="s">
        <v>125</v>
      </c>
      <c r="AC533" s="41">
        <f t="shared" si="164"/>
        <v>3874.2114000000001</v>
      </c>
      <c r="AD533" s="41">
        <v>1</v>
      </c>
      <c r="AE533" s="72">
        <f>IFERROR(INDEX(SA!$C$4:$E$11,MATCH(Details!S533,SA!$C$4:$C$11,0),MATCH(Details!V533,SA!$C$4:$E$4,0)),0)*Y533/(F533-E533+1)</f>
        <v>3283.23</v>
      </c>
      <c r="AF533" s="41">
        <f t="shared" si="165"/>
        <v>0</v>
      </c>
      <c r="AG533" s="41">
        <f t="shared" si="166"/>
        <v>0</v>
      </c>
      <c r="AH533" s="41">
        <f t="shared" si="167"/>
        <v>590.98140000000001</v>
      </c>
      <c r="AI533" s="60">
        <f t="shared" si="168"/>
        <v>131.32920000000001</v>
      </c>
      <c r="AJ533" s="60">
        <f t="shared" si="169"/>
        <v>738.72675000000004</v>
      </c>
      <c r="AK533" s="60">
        <f t="shared" si="170"/>
        <v>2374.7197808219175</v>
      </c>
      <c r="AL533" s="60">
        <f t="shared" si="171"/>
        <v>1745.4190389041094</v>
      </c>
      <c r="AM533" s="41">
        <f t="shared" si="172"/>
        <v>667.7550110958905</v>
      </c>
      <c r="AN533" s="42">
        <f t="shared" si="173"/>
        <v>45715</v>
      </c>
      <c r="AO533" s="43">
        <f t="shared" si="174"/>
        <v>3283.23</v>
      </c>
    </row>
    <row r="534" spans="1:41" s="24" customFormat="1" ht="15.75" customHeight="1" x14ac:dyDescent="0.35">
      <c r="A534" s="36" t="s">
        <v>27</v>
      </c>
      <c r="B534" s="36">
        <v>202506</v>
      </c>
      <c r="C534" s="24" t="s">
        <v>128</v>
      </c>
      <c r="D534" s="24" t="s">
        <v>129</v>
      </c>
      <c r="E534" s="62">
        <v>45818</v>
      </c>
      <c r="F534" s="62">
        <v>46182</v>
      </c>
      <c r="G534" s="37" t="s">
        <v>660</v>
      </c>
      <c r="H534" s="36">
        <v>2303</v>
      </c>
      <c r="I534" s="63">
        <v>36932</v>
      </c>
      <c r="J534" s="24" t="s">
        <v>1310</v>
      </c>
      <c r="K534" s="63">
        <f t="shared" si="158"/>
        <v>45818</v>
      </c>
      <c r="L534" s="55">
        <f t="shared" si="159"/>
        <v>0.04</v>
      </c>
      <c r="M534" s="76">
        <v>0.22500000000000001</v>
      </c>
      <c r="N534" s="62">
        <v>45818</v>
      </c>
      <c r="O534" s="62">
        <v>46182</v>
      </c>
      <c r="P534" s="63"/>
      <c r="Q534" s="63"/>
      <c r="R534" s="82">
        <v>24</v>
      </c>
      <c r="S534" s="63" t="str">
        <f>VLOOKUP(R534,SA!$B$5:$C$11,2,1)</f>
        <v>0-35</v>
      </c>
      <c r="T534" s="38" t="s">
        <v>97</v>
      </c>
      <c r="U534" s="24" t="s">
        <v>115</v>
      </c>
      <c r="V534" s="24">
        <v>300000</v>
      </c>
      <c r="W534" s="39">
        <f t="shared" si="160"/>
        <v>0</v>
      </c>
      <c r="X534" s="29">
        <f t="shared" si="161"/>
        <v>0</v>
      </c>
      <c r="Y534" s="40">
        <f t="shared" si="162"/>
        <v>365</v>
      </c>
      <c r="Z534" s="38">
        <f t="shared" si="157"/>
        <v>46081</v>
      </c>
      <c r="AA534" s="41">
        <f t="shared" si="163"/>
        <v>264</v>
      </c>
      <c r="AB534" s="24" t="s">
        <v>125</v>
      </c>
      <c r="AC534" s="41">
        <f t="shared" si="164"/>
        <v>3874.2114000000001</v>
      </c>
      <c r="AD534" s="41">
        <v>1</v>
      </c>
      <c r="AE534" s="72">
        <f>IFERROR(INDEX(SA!$C$4:$E$11,MATCH(Details!S534,SA!$C$4:$C$11,0),MATCH(Details!V534,SA!$C$4:$E$4,0)),0)*Y534/(F534-E534+1)</f>
        <v>3283.23</v>
      </c>
      <c r="AF534" s="41">
        <f t="shared" si="165"/>
        <v>0</v>
      </c>
      <c r="AG534" s="41">
        <f t="shared" si="166"/>
        <v>0</v>
      </c>
      <c r="AH534" s="41">
        <f t="shared" si="167"/>
        <v>590.98140000000001</v>
      </c>
      <c r="AI534" s="60">
        <f t="shared" si="168"/>
        <v>131.32920000000001</v>
      </c>
      <c r="AJ534" s="60">
        <f t="shared" si="169"/>
        <v>738.72675000000004</v>
      </c>
      <c r="AK534" s="60">
        <f t="shared" si="170"/>
        <v>2374.7197808219175</v>
      </c>
      <c r="AL534" s="60">
        <f t="shared" si="171"/>
        <v>1745.4190389041094</v>
      </c>
      <c r="AM534" s="41">
        <f t="shared" si="172"/>
        <v>667.7550110958905</v>
      </c>
      <c r="AN534" s="42">
        <f t="shared" si="173"/>
        <v>45715</v>
      </c>
      <c r="AO534" s="43">
        <f t="shared" si="174"/>
        <v>3283.23</v>
      </c>
    </row>
    <row r="535" spans="1:41" s="24" customFormat="1" ht="15.75" customHeight="1" x14ac:dyDescent="0.35">
      <c r="A535" s="36" t="s">
        <v>27</v>
      </c>
      <c r="B535" s="36">
        <v>202506</v>
      </c>
      <c r="C535" s="24" t="s">
        <v>128</v>
      </c>
      <c r="D535" s="24" t="s">
        <v>129</v>
      </c>
      <c r="E535" s="62">
        <v>45818</v>
      </c>
      <c r="F535" s="62">
        <v>46182</v>
      </c>
      <c r="G535" s="37" t="s">
        <v>661</v>
      </c>
      <c r="H535" s="36">
        <v>2304</v>
      </c>
      <c r="I535" s="63">
        <v>32985</v>
      </c>
      <c r="J535" s="24" t="s">
        <v>1311</v>
      </c>
      <c r="K535" s="63">
        <f t="shared" si="158"/>
        <v>45818</v>
      </c>
      <c r="L535" s="55">
        <f t="shared" si="159"/>
        <v>0.04</v>
      </c>
      <c r="M535" s="76">
        <v>0.22500000000000001</v>
      </c>
      <c r="N535" s="62">
        <v>45818</v>
      </c>
      <c r="O535" s="62">
        <v>46182</v>
      </c>
      <c r="P535" s="63"/>
      <c r="Q535" s="63"/>
      <c r="R535" s="82">
        <v>35</v>
      </c>
      <c r="S535" s="63" t="str">
        <f>VLOOKUP(R535,SA!$B$5:$C$11,2,1)</f>
        <v>0-35</v>
      </c>
      <c r="T535" s="38" t="s">
        <v>96</v>
      </c>
      <c r="U535" s="24" t="s">
        <v>56</v>
      </c>
      <c r="V535" s="24">
        <v>300000</v>
      </c>
      <c r="W535" s="39">
        <f t="shared" si="160"/>
        <v>300000</v>
      </c>
      <c r="X535" s="29">
        <f t="shared" si="161"/>
        <v>1</v>
      </c>
      <c r="Y535" s="40">
        <f t="shared" si="162"/>
        <v>365</v>
      </c>
      <c r="Z535" s="38">
        <f t="shared" si="157"/>
        <v>46081</v>
      </c>
      <c r="AA535" s="41">
        <f t="shared" si="163"/>
        <v>264</v>
      </c>
      <c r="AB535" s="24" t="s">
        <v>125</v>
      </c>
      <c r="AC535" s="41">
        <f t="shared" si="164"/>
        <v>3874.2114000000001</v>
      </c>
      <c r="AD535" s="41">
        <v>1</v>
      </c>
      <c r="AE535" s="72">
        <f>IFERROR(INDEX(SA!$C$4:$E$11,MATCH(Details!S535,SA!$C$4:$C$11,0),MATCH(Details!V535,SA!$C$4:$E$4,0)),0)*Y535/(F535-E535+1)</f>
        <v>3283.23</v>
      </c>
      <c r="AF535" s="41">
        <f t="shared" si="165"/>
        <v>0</v>
      </c>
      <c r="AG535" s="41">
        <f t="shared" si="166"/>
        <v>0</v>
      </c>
      <c r="AH535" s="41">
        <f t="shared" si="167"/>
        <v>590.98140000000001</v>
      </c>
      <c r="AI535" s="60">
        <f t="shared" si="168"/>
        <v>131.32920000000001</v>
      </c>
      <c r="AJ535" s="60">
        <f t="shared" si="169"/>
        <v>738.72675000000004</v>
      </c>
      <c r="AK535" s="60">
        <f t="shared" si="170"/>
        <v>2374.7197808219175</v>
      </c>
      <c r="AL535" s="60">
        <f t="shared" si="171"/>
        <v>1745.4190389041094</v>
      </c>
      <c r="AM535" s="41">
        <f t="shared" si="172"/>
        <v>667.7550110958905</v>
      </c>
      <c r="AN535" s="42">
        <f t="shared" si="173"/>
        <v>45715</v>
      </c>
      <c r="AO535" s="43">
        <f t="shared" si="174"/>
        <v>3283.23</v>
      </c>
    </row>
    <row r="536" spans="1:41" s="24" customFormat="1" ht="15.75" customHeight="1" x14ac:dyDescent="0.35">
      <c r="A536" s="36" t="s">
        <v>27</v>
      </c>
      <c r="B536" s="36">
        <v>202506</v>
      </c>
      <c r="C536" s="24" t="s">
        <v>128</v>
      </c>
      <c r="D536" s="24" t="s">
        <v>129</v>
      </c>
      <c r="E536" s="62">
        <v>45818</v>
      </c>
      <c r="F536" s="62">
        <v>46182</v>
      </c>
      <c r="G536" s="37" t="s">
        <v>662</v>
      </c>
      <c r="H536" s="36">
        <v>2304</v>
      </c>
      <c r="I536" s="63">
        <v>34882</v>
      </c>
      <c r="J536" s="24" t="s">
        <v>1312</v>
      </c>
      <c r="K536" s="63">
        <f t="shared" si="158"/>
        <v>45818</v>
      </c>
      <c r="L536" s="55">
        <f t="shared" si="159"/>
        <v>0.04</v>
      </c>
      <c r="M536" s="76">
        <v>0.22500000000000001</v>
      </c>
      <c r="N536" s="62">
        <v>45818</v>
      </c>
      <c r="O536" s="62">
        <v>46182</v>
      </c>
      <c r="P536" s="63"/>
      <c r="Q536" s="63"/>
      <c r="R536" s="82">
        <v>29</v>
      </c>
      <c r="S536" s="63" t="str">
        <f>VLOOKUP(R536,SA!$B$5:$C$11,2,1)</f>
        <v>0-35</v>
      </c>
      <c r="T536" s="38" t="s">
        <v>97</v>
      </c>
      <c r="U536" s="24" t="s">
        <v>115</v>
      </c>
      <c r="V536" s="24">
        <v>300000</v>
      </c>
      <c r="W536" s="39">
        <f t="shared" si="160"/>
        <v>0</v>
      </c>
      <c r="X536" s="29">
        <f t="shared" si="161"/>
        <v>0</v>
      </c>
      <c r="Y536" s="40">
        <f t="shared" si="162"/>
        <v>365</v>
      </c>
      <c r="Z536" s="38">
        <f t="shared" si="157"/>
        <v>46081</v>
      </c>
      <c r="AA536" s="41">
        <f t="shared" si="163"/>
        <v>264</v>
      </c>
      <c r="AB536" s="24" t="s">
        <v>125</v>
      </c>
      <c r="AC536" s="41">
        <f t="shared" si="164"/>
        <v>3874.2114000000001</v>
      </c>
      <c r="AD536" s="41">
        <v>1</v>
      </c>
      <c r="AE536" s="72">
        <f>IFERROR(INDEX(SA!$C$4:$E$11,MATCH(Details!S536,SA!$C$4:$C$11,0),MATCH(Details!V536,SA!$C$4:$E$4,0)),0)*Y536/(F536-E536+1)</f>
        <v>3283.23</v>
      </c>
      <c r="AF536" s="41">
        <f t="shared" si="165"/>
        <v>0</v>
      </c>
      <c r="AG536" s="41">
        <f t="shared" si="166"/>
        <v>0</v>
      </c>
      <c r="AH536" s="41">
        <f t="shared" si="167"/>
        <v>590.98140000000001</v>
      </c>
      <c r="AI536" s="60">
        <f t="shared" si="168"/>
        <v>131.32920000000001</v>
      </c>
      <c r="AJ536" s="60">
        <f t="shared" si="169"/>
        <v>738.72675000000004</v>
      </c>
      <c r="AK536" s="60">
        <f t="shared" si="170"/>
        <v>2374.7197808219175</v>
      </c>
      <c r="AL536" s="60">
        <f t="shared" si="171"/>
        <v>1745.4190389041094</v>
      </c>
      <c r="AM536" s="41">
        <f t="shared" si="172"/>
        <v>667.7550110958905</v>
      </c>
      <c r="AN536" s="42">
        <f t="shared" si="173"/>
        <v>45715</v>
      </c>
      <c r="AO536" s="43">
        <f t="shared" si="174"/>
        <v>3283.23</v>
      </c>
    </row>
    <row r="537" spans="1:41" s="24" customFormat="1" ht="15.75" customHeight="1" x14ac:dyDescent="0.35">
      <c r="A537" s="36" t="s">
        <v>27</v>
      </c>
      <c r="B537" s="36">
        <v>202506</v>
      </c>
      <c r="C537" s="24" t="s">
        <v>128</v>
      </c>
      <c r="D537" s="24" t="s">
        <v>129</v>
      </c>
      <c r="E537" s="62">
        <v>45818</v>
      </c>
      <c r="F537" s="62">
        <v>46182</v>
      </c>
      <c r="G537" s="37" t="s">
        <v>663</v>
      </c>
      <c r="H537" s="36">
        <v>2304</v>
      </c>
      <c r="I537" s="63">
        <v>43861</v>
      </c>
      <c r="J537" s="24" t="s">
        <v>1313</v>
      </c>
      <c r="K537" s="63">
        <f t="shared" si="158"/>
        <v>45818</v>
      </c>
      <c r="L537" s="55">
        <f t="shared" si="159"/>
        <v>0.04</v>
      </c>
      <c r="M537" s="76">
        <v>0.22500000000000001</v>
      </c>
      <c r="N537" s="62">
        <v>45818</v>
      </c>
      <c r="O537" s="62">
        <v>46182</v>
      </c>
      <c r="P537" s="63"/>
      <c r="Q537" s="63"/>
      <c r="R537" s="82">
        <v>5</v>
      </c>
      <c r="S537" s="63" t="str">
        <f>VLOOKUP(R537,SA!$B$5:$C$11,2,1)</f>
        <v>0-35</v>
      </c>
      <c r="T537" s="38" t="s">
        <v>97</v>
      </c>
      <c r="U537" s="24" t="s">
        <v>113</v>
      </c>
      <c r="V537" s="24">
        <v>300000</v>
      </c>
      <c r="W537" s="39">
        <f t="shared" si="160"/>
        <v>0</v>
      </c>
      <c r="X537" s="29">
        <f t="shared" si="161"/>
        <v>0</v>
      </c>
      <c r="Y537" s="40">
        <f t="shared" si="162"/>
        <v>365</v>
      </c>
      <c r="Z537" s="38">
        <f t="shared" si="157"/>
        <v>46081</v>
      </c>
      <c r="AA537" s="41">
        <f t="shared" si="163"/>
        <v>264</v>
      </c>
      <c r="AB537" s="24" t="s">
        <v>125</v>
      </c>
      <c r="AC537" s="41">
        <f t="shared" si="164"/>
        <v>3874.2114000000001</v>
      </c>
      <c r="AD537" s="41">
        <v>1</v>
      </c>
      <c r="AE537" s="72">
        <f>IFERROR(INDEX(SA!$C$4:$E$11,MATCH(Details!S537,SA!$C$4:$C$11,0),MATCH(Details!V537,SA!$C$4:$E$4,0)),0)*Y537/(F537-E537+1)</f>
        <v>3283.23</v>
      </c>
      <c r="AF537" s="41">
        <f t="shared" si="165"/>
        <v>0</v>
      </c>
      <c r="AG537" s="41">
        <f t="shared" si="166"/>
        <v>0</v>
      </c>
      <c r="AH537" s="41">
        <f t="shared" si="167"/>
        <v>590.98140000000001</v>
      </c>
      <c r="AI537" s="60">
        <f t="shared" si="168"/>
        <v>131.32920000000001</v>
      </c>
      <c r="AJ537" s="60">
        <f t="shared" si="169"/>
        <v>738.72675000000004</v>
      </c>
      <c r="AK537" s="60">
        <f t="shared" si="170"/>
        <v>2374.7197808219175</v>
      </c>
      <c r="AL537" s="60">
        <f t="shared" si="171"/>
        <v>1745.4190389041094</v>
      </c>
      <c r="AM537" s="41">
        <f t="shared" si="172"/>
        <v>667.7550110958905</v>
      </c>
      <c r="AN537" s="42">
        <f t="shared" si="173"/>
        <v>45715</v>
      </c>
      <c r="AO537" s="43">
        <f t="shared" si="174"/>
        <v>3283.23</v>
      </c>
    </row>
    <row r="538" spans="1:41" s="24" customFormat="1" ht="15.75" customHeight="1" x14ac:dyDescent="0.35">
      <c r="A538" s="36" t="s">
        <v>27</v>
      </c>
      <c r="B538" s="36">
        <v>202506</v>
      </c>
      <c r="C538" s="24" t="s">
        <v>128</v>
      </c>
      <c r="D538" s="24" t="s">
        <v>129</v>
      </c>
      <c r="E538" s="62">
        <v>45818</v>
      </c>
      <c r="F538" s="62">
        <v>46182</v>
      </c>
      <c r="G538" s="37" t="s">
        <v>664</v>
      </c>
      <c r="H538" s="36">
        <v>2304</v>
      </c>
      <c r="I538" s="63">
        <v>44640</v>
      </c>
      <c r="J538" s="24" t="s">
        <v>1314</v>
      </c>
      <c r="K538" s="63">
        <f t="shared" si="158"/>
        <v>45818</v>
      </c>
      <c r="L538" s="55">
        <f t="shared" si="159"/>
        <v>0.04</v>
      </c>
      <c r="M538" s="76">
        <v>0.22500000000000001</v>
      </c>
      <c r="N538" s="62">
        <v>45818</v>
      </c>
      <c r="O538" s="62">
        <v>46182</v>
      </c>
      <c r="P538" s="63"/>
      <c r="Q538" s="63"/>
      <c r="R538" s="82">
        <v>3</v>
      </c>
      <c r="S538" s="63" t="str">
        <f>VLOOKUP(R538,SA!$B$5:$C$11,2,1)</f>
        <v>0-35</v>
      </c>
      <c r="T538" s="38" t="s">
        <v>96</v>
      </c>
      <c r="U538" s="24" t="s">
        <v>114</v>
      </c>
      <c r="V538" s="24">
        <v>300000</v>
      </c>
      <c r="W538" s="39">
        <f t="shared" si="160"/>
        <v>0</v>
      </c>
      <c r="X538" s="29">
        <f t="shared" si="161"/>
        <v>0</v>
      </c>
      <c r="Y538" s="40">
        <f t="shared" si="162"/>
        <v>365</v>
      </c>
      <c r="Z538" s="38">
        <f t="shared" si="157"/>
        <v>46081</v>
      </c>
      <c r="AA538" s="41">
        <f t="shared" si="163"/>
        <v>264</v>
      </c>
      <c r="AB538" s="24" t="s">
        <v>125</v>
      </c>
      <c r="AC538" s="41">
        <f t="shared" si="164"/>
        <v>3874.2114000000001</v>
      </c>
      <c r="AD538" s="41">
        <v>1</v>
      </c>
      <c r="AE538" s="72">
        <f>IFERROR(INDEX(SA!$C$4:$E$11,MATCH(Details!S538,SA!$C$4:$C$11,0),MATCH(Details!V538,SA!$C$4:$E$4,0)),0)*Y538/(F538-E538+1)</f>
        <v>3283.23</v>
      </c>
      <c r="AF538" s="41">
        <f t="shared" si="165"/>
        <v>0</v>
      </c>
      <c r="AG538" s="41">
        <f t="shared" si="166"/>
        <v>0</v>
      </c>
      <c r="AH538" s="41">
        <f t="shared" si="167"/>
        <v>590.98140000000001</v>
      </c>
      <c r="AI538" s="60">
        <f t="shared" si="168"/>
        <v>131.32920000000001</v>
      </c>
      <c r="AJ538" s="60">
        <f t="shared" si="169"/>
        <v>738.72675000000004</v>
      </c>
      <c r="AK538" s="60">
        <f t="shared" si="170"/>
        <v>2374.7197808219175</v>
      </c>
      <c r="AL538" s="60">
        <f t="shared" si="171"/>
        <v>1745.4190389041094</v>
      </c>
      <c r="AM538" s="41">
        <f t="shared" si="172"/>
        <v>667.7550110958905</v>
      </c>
      <c r="AN538" s="42">
        <f t="shared" si="173"/>
        <v>45715</v>
      </c>
      <c r="AO538" s="43">
        <f t="shared" si="174"/>
        <v>3283.23</v>
      </c>
    </row>
    <row r="539" spans="1:41" s="24" customFormat="1" ht="15.75" customHeight="1" x14ac:dyDescent="0.35">
      <c r="A539" s="36" t="s">
        <v>27</v>
      </c>
      <c r="B539" s="36">
        <v>202506</v>
      </c>
      <c r="C539" s="24" t="s">
        <v>128</v>
      </c>
      <c r="D539" s="24" t="s">
        <v>129</v>
      </c>
      <c r="E539" s="62">
        <v>45818</v>
      </c>
      <c r="F539" s="62">
        <v>46182</v>
      </c>
      <c r="G539" s="37" t="s">
        <v>665</v>
      </c>
      <c r="H539" s="36">
        <v>2305</v>
      </c>
      <c r="I539" s="63">
        <v>36342</v>
      </c>
      <c r="J539" s="24" t="s">
        <v>1315</v>
      </c>
      <c r="K539" s="63">
        <f t="shared" si="158"/>
        <v>45818</v>
      </c>
      <c r="L539" s="55">
        <f t="shared" si="159"/>
        <v>0.04</v>
      </c>
      <c r="M539" s="76">
        <v>0.22500000000000001</v>
      </c>
      <c r="N539" s="62">
        <v>45818</v>
      </c>
      <c r="O539" s="62">
        <v>46182</v>
      </c>
      <c r="P539" s="63"/>
      <c r="Q539" s="63"/>
      <c r="R539" s="82">
        <v>25</v>
      </c>
      <c r="S539" s="63" t="str">
        <f>VLOOKUP(R539,SA!$B$5:$C$11,2,1)</f>
        <v>0-35</v>
      </c>
      <c r="T539" s="38" t="s">
        <v>96</v>
      </c>
      <c r="U539" s="24" t="s">
        <v>56</v>
      </c>
      <c r="V539" s="24">
        <v>300000</v>
      </c>
      <c r="W539" s="39">
        <f t="shared" si="160"/>
        <v>300000</v>
      </c>
      <c r="X539" s="29">
        <f t="shared" si="161"/>
        <v>1</v>
      </c>
      <c r="Y539" s="40">
        <f t="shared" si="162"/>
        <v>365</v>
      </c>
      <c r="Z539" s="38">
        <f t="shared" si="157"/>
        <v>46081</v>
      </c>
      <c r="AA539" s="41">
        <f t="shared" si="163"/>
        <v>264</v>
      </c>
      <c r="AB539" s="24" t="s">
        <v>125</v>
      </c>
      <c r="AC539" s="41">
        <f t="shared" si="164"/>
        <v>3874.2114000000001</v>
      </c>
      <c r="AD539" s="41">
        <v>1</v>
      </c>
      <c r="AE539" s="72">
        <f>IFERROR(INDEX(SA!$C$4:$E$11,MATCH(Details!S539,SA!$C$4:$C$11,0),MATCH(Details!V539,SA!$C$4:$E$4,0)),0)*Y539/(F539-E539+1)</f>
        <v>3283.23</v>
      </c>
      <c r="AF539" s="41">
        <f t="shared" si="165"/>
        <v>0</v>
      </c>
      <c r="AG539" s="41">
        <f t="shared" si="166"/>
        <v>0</v>
      </c>
      <c r="AH539" s="41">
        <f t="shared" si="167"/>
        <v>590.98140000000001</v>
      </c>
      <c r="AI539" s="60">
        <f t="shared" si="168"/>
        <v>131.32920000000001</v>
      </c>
      <c r="AJ539" s="60">
        <f t="shared" si="169"/>
        <v>738.72675000000004</v>
      </c>
      <c r="AK539" s="60">
        <f t="shared" si="170"/>
        <v>2374.7197808219175</v>
      </c>
      <c r="AL539" s="60">
        <f t="shared" si="171"/>
        <v>1745.4190389041094</v>
      </c>
      <c r="AM539" s="41">
        <f t="shared" si="172"/>
        <v>667.7550110958905</v>
      </c>
      <c r="AN539" s="42">
        <f t="shared" si="173"/>
        <v>45715</v>
      </c>
      <c r="AO539" s="43">
        <f t="shared" si="174"/>
        <v>3283.23</v>
      </c>
    </row>
    <row r="540" spans="1:41" s="24" customFormat="1" ht="15.75" customHeight="1" x14ac:dyDescent="0.35">
      <c r="A540" s="36" t="s">
        <v>27</v>
      </c>
      <c r="B540" s="36">
        <v>202506</v>
      </c>
      <c r="C540" s="24" t="s">
        <v>128</v>
      </c>
      <c r="D540" s="24" t="s">
        <v>129</v>
      </c>
      <c r="E540" s="62">
        <v>45818</v>
      </c>
      <c r="F540" s="62">
        <v>46182</v>
      </c>
      <c r="G540" s="37" t="s">
        <v>666</v>
      </c>
      <c r="H540" s="36">
        <v>2306</v>
      </c>
      <c r="I540" s="63">
        <v>33890</v>
      </c>
      <c r="J540" s="24" t="s">
        <v>1316</v>
      </c>
      <c r="K540" s="63">
        <f t="shared" si="158"/>
        <v>45818</v>
      </c>
      <c r="L540" s="55">
        <f t="shared" si="159"/>
        <v>0.04</v>
      </c>
      <c r="M540" s="76">
        <v>0.22500000000000001</v>
      </c>
      <c r="N540" s="62">
        <v>45818</v>
      </c>
      <c r="O540" s="62">
        <v>46182</v>
      </c>
      <c r="P540" s="63"/>
      <c r="Q540" s="63"/>
      <c r="R540" s="82">
        <v>32</v>
      </c>
      <c r="S540" s="63" t="str">
        <f>VLOOKUP(R540,SA!$B$5:$C$11,2,1)</f>
        <v>0-35</v>
      </c>
      <c r="T540" s="38" t="s">
        <v>96</v>
      </c>
      <c r="U540" s="24" t="s">
        <v>56</v>
      </c>
      <c r="V540" s="24">
        <v>300000</v>
      </c>
      <c r="W540" s="39">
        <f t="shared" si="160"/>
        <v>300000</v>
      </c>
      <c r="X540" s="29">
        <f t="shared" si="161"/>
        <v>1</v>
      </c>
      <c r="Y540" s="40">
        <f t="shared" si="162"/>
        <v>365</v>
      </c>
      <c r="Z540" s="38">
        <f t="shared" si="157"/>
        <v>46081</v>
      </c>
      <c r="AA540" s="41">
        <f t="shared" si="163"/>
        <v>264</v>
      </c>
      <c r="AB540" s="24" t="s">
        <v>125</v>
      </c>
      <c r="AC540" s="41">
        <f t="shared" si="164"/>
        <v>3874.2114000000001</v>
      </c>
      <c r="AD540" s="41">
        <v>1</v>
      </c>
      <c r="AE540" s="72">
        <f>IFERROR(INDEX(SA!$C$4:$E$11,MATCH(Details!S540,SA!$C$4:$C$11,0),MATCH(Details!V540,SA!$C$4:$E$4,0)),0)*Y540/(F540-E540+1)</f>
        <v>3283.23</v>
      </c>
      <c r="AF540" s="41">
        <f t="shared" si="165"/>
        <v>0</v>
      </c>
      <c r="AG540" s="41">
        <f t="shared" si="166"/>
        <v>0</v>
      </c>
      <c r="AH540" s="41">
        <f t="shared" si="167"/>
        <v>590.98140000000001</v>
      </c>
      <c r="AI540" s="60">
        <f t="shared" si="168"/>
        <v>131.32920000000001</v>
      </c>
      <c r="AJ540" s="60">
        <f t="shared" si="169"/>
        <v>738.72675000000004</v>
      </c>
      <c r="AK540" s="60">
        <f t="shared" si="170"/>
        <v>2374.7197808219175</v>
      </c>
      <c r="AL540" s="60">
        <f t="shared" si="171"/>
        <v>1745.4190389041094</v>
      </c>
      <c r="AM540" s="41">
        <f t="shared" si="172"/>
        <v>667.7550110958905</v>
      </c>
      <c r="AN540" s="42">
        <f t="shared" si="173"/>
        <v>45715</v>
      </c>
      <c r="AO540" s="43">
        <f t="shared" si="174"/>
        <v>3283.23</v>
      </c>
    </row>
    <row r="541" spans="1:41" s="24" customFormat="1" ht="15.75" customHeight="1" x14ac:dyDescent="0.35">
      <c r="A541" s="36" t="s">
        <v>27</v>
      </c>
      <c r="B541" s="36">
        <v>202506</v>
      </c>
      <c r="C541" s="24" t="s">
        <v>128</v>
      </c>
      <c r="D541" s="24" t="s">
        <v>129</v>
      </c>
      <c r="E541" s="62">
        <v>45818</v>
      </c>
      <c r="F541" s="62">
        <v>46182</v>
      </c>
      <c r="G541" s="37" t="s">
        <v>667</v>
      </c>
      <c r="H541" s="36">
        <v>2306</v>
      </c>
      <c r="I541" s="63">
        <v>33963</v>
      </c>
      <c r="J541" s="24" t="s">
        <v>1317</v>
      </c>
      <c r="K541" s="63">
        <f t="shared" si="158"/>
        <v>45818</v>
      </c>
      <c r="L541" s="55">
        <f t="shared" si="159"/>
        <v>0.04</v>
      </c>
      <c r="M541" s="76">
        <v>0.22500000000000001</v>
      </c>
      <c r="N541" s="62">
        <v>45818</v>
      </c>
      <c r="O541" s="62">
        <v>46182</v>
      </c>
      <c r="P541" s="63"/>
      <c r="Q541" s="63"/>
      <c r="R541" s="82">
        <v>32</v>
      </c>
      <c r="S541" s="63" t="str">
        <f>VLOOKUP(R541,SA!$B$5:$C$11,2,1)</f>
        <v>0-35</v>
      </c>
      <c r="T541" s="38" t="s">
        <v>97</v>
      </c>
      <c r="U541" s="24" t="s">
        <v>115</v>
      </c>
      <c r="V541" s="24">
        <v>300000</v>
      </c>
      <c r="W541" s="39">
        <f t="shared" si="160"/>
        <v>0</v>
      </c>
      <c r="X541" s="29">
        <f t="shared" si="161"/>
        <v>0</v>
      </c>
      <c r="Y541" s="40">
        <f t="shared" si="162"/>
        <v>365</v>
      </c>
      <c r="Z541" s="38">
        <f t="shared" si="157"/>
        <v>46081</v>
      </c>
      <c r="AA541" s="41">
        <f t="shared" si="163"/>
        <v>264</v>
      </c>
      <c r="AB541" s="24" t="s">
        <v>125</v>
      </c>
      <c r="AC541" s="41">
        <f t="shared" si="164"/>
        <v>3874.2114000000001</v>
      </c>
      <c r="AD541" s="41">
        <v>1</v>
      </c>
      <c r="AE541" s="72">
        <f>IFERROR(INDEX(SA!$C$4:$E$11,MATCH(Details!S541,SA!$C$4:$C$11,0),MATCH(Details!V541,SA!$C$4:$E$4,0)),0)*Y541/(F541-E541+1)</f>
        <v>3283.23</v>
      </c>
      <c r="AF541" s="41">
        <f t="shared" si="165"/>
        <v>0</v>
      </c>
      <c r="AG541" s="41">
        <f t="shared" si="166"/>
        <v>0</v>
      </c>
      <c r="AH541" s="41">
        <f t="shared" si="167"/>
        <v>590.98140000000001</v>
      </c>
      <c r="AI541" s="60">
        <f t="shared" si="168"/>
        <v>131.32920000000001</v>
      </c>
      <c r="AJ541" s="60">
        <f t="shared" si="169"/>
        <v>738.72675000000004</v>
      </c>
      <c r="AK541" s="60">
        <f t="shared" si="170"/>
        <v>2374.7197808219175</v>
      </c>
      <c r="AL541" s="60">
        <f t="shared" si="171"/>
        <v>1745.4190389041094</v>
      </c>
      <c r="AM541" s="41">
        <f t="shared" si="172"/>
        <v>667.7550110958905</v>
      </c>
      <c r="AN541" s="42">
        <f t="shared" si="173"/>
        <v>45715</v>
      </c>
      <c r="AO541" s="43">
        <f t="shared" si="174"/>
        <v>3283.23</v>
      </c>
    </row>
    <row r="542" spans="1:41" s="24" customFormat="1" ht="15.75" customHeight="1" x14ac:dyDescent="0.35">
      <c r="A542" s="36" t="s">
        <v>27</v>
      </c>
      <c r="B542" s="36">
        <v>202506</v>
      </c>
      <c r="C542" s="24" t="s">
        <v>128</v>
      </c>
      <c r="D542" s="24" t="s">
        <v>129</v>
      </c>
      <c r="E542" s="62">
        <v>45818</v>
      </c>
      <c r="F542" s="62">
        <v>46182</v>
      </c>
      <c r="G542" s="37" t="s">
        <v>668</v>
      </c>
      <c r="H542" s="36">
        <v>2306</v>
      </c>
      <c r="I542" s="63">
        <v>41271</v>
      </c>
      <c r="J542" s="24" t="s">
        <v>1318</v>
      </c>
      <c r="K542" s="63">
        <f t="shared" si="158"/>
        <v>45818</v>
      </c>
      <c r="L542" s="55">
        <f t="shared" si="159"/>
        <v>0.04</v>
      </c>
      <c r="M542" s="76">
        <v>0.22500000000000001</v>
      </c>
      <c r="N542" s="62">
        <v>45818</v>
      </c>
      <c r="O542" s="62">
        <v>46182</v>
      </c>
      <c r="P542" s="63"/>
      <c r="Q542" s="63"/>
      <c r="R542" s="82">
        <v>12</v>
      </c>
      <c r="S542" s="63" t="str">
        <f>VLOOKUP(R542,SA!$B$5:$C$11,2,1)</f>
        <v>0-35</v>
      </c>
      <c r="T542" s="38" t="s">
        <v>97</v>
      </c>
      <c r="U542" s="24" t="s">
        <v>113</v>
      </c>
      <c r="V542" s="24">
        <v>300000</v>
      </c>
      <c r="W542" s="39">
        <f t="shared" si="160"/>
        <v>0</v>
      </c>
      <c r="X542" s="29">
        <f t="shared" si="161"/>
        <v>0</v>
      </c>
      <c r="Y542" s="40">
        <f t="shared" si="162"/>
        <v>365</v>
      </c>
      <c r="Z542" s="38">
        <f t="shared" si="157"/>
        <v>46081</v>
      </c>
      <c r="AA542" s="41">
        <f t="shared" si="163"/>
        <v>264</v>
      </c>
      <c r="AB542" s="24" t="s">
        <v>125</v>
      </c>
      <c r="AC542" s="41">
        <f t="shared" si="164"/>
        <v>3874.2114000000001</v>
      </c>
      <c r="AD542" s="41">
        <v>1</v>
      </c>
      <c r="AE542" s="72">
        <f>IFERROR(INDEX(SA!$C$4:$E$11,MATCH(Details!S542,SA!$C$4:$C$11,0),MATCH(Details!V542,SA!$C$4:$E$4,0)),0)*Y542/(F542-E542+1)</f>
        <v>3283.23</v>
      </c>
      <c r="AF542" s="41">
        <f t="shared" si="165"/>
        <v>0</v>
      </c>
      <c r="AG542" s="41">
        <f t="shared" si="166"/>
        <v>0</v>
      </c>
      <c r="AH542" s="41">
        <f t="shared" si="167"/>
        <v>590.98140000000001</v>
      </c>
      <c r="AI542" s="60">
        <f t="shared" si="168"/>
        <v>131.32920000000001</v>
      </c>
      <c r="AJ542" s="60">
        <f t="shared" si="169"/>
        <v>738.72675000000004</v>
      </c>
      <c r="AK542" s="60">
        <f t="shared" si="170"/>
        <v>2374.7197808219175</v>
      </c>
      <c r="AL542" s="60">
        <f t="shared" si="171"/>
        <v>1745.4190389041094</v>
      </c>
      <c r="AM542" s="41">
        <f t="shared" si="172"/>
        <v>667.7550110958905</v>
      </c>
      <c r="AN542" s="42">
        <f t="shared" si="173"/>
        <v>45715</v>
      </c>
      <c r="AO542" s="43">
        <f t="shared" si="174"/>
        <v>3283.23</v>
      </c>
    </row>
    <row r="543" spans="1:41" s="24" customFormat="1" ht="15.75" customHeight="1" x14ac:dyDescent="0.35">
      <c r="A543" s="36" t="s">
        <v>27</v>
      </c>
      <c r="B543" s="36">
        <v>202506</v>
      </c>
      <c r="C543" s="24" t="s">
        <v>128</v>
      </c>
      <c r="D543" s="24" t="s">
        <v>129</v>
      </c>
      <c r="E543" s="62">
        <v>45818</v>
      </c>
      <c r="F543" s="62">
        <v>46182</v>
      </c>
      <c r="G543" s="37" t="s">
        <v>669</v>
      </c>
      <c r="H543" s="36">
        <v>2306</v>
      </c>
      <c r="I543" s="63">
        <v>43166</v>
      </c>
      <c r="J543" s="24" t="s">
        <v>1319</v>
      </c>
      <c r="K543" s="63">
        <f t="shared" si="158"/>
        <v>45818</v>
      </c>
      <c r="L543" s="55">
        <f t="shared" si="159"/>
        <v>0.04</v>
      </c>
      <c r="M543" s="76">
        <v>0.22500000000000001</v>
      </c>
      <c r="N543" s="62">
        <v>45818</v>
      </c>
      <c r="O543" s="62">
        <v>46182</v>
      </c>
      <c r="P543" s="63"/>
      <c r="Q543" s="63"/>
      <c r="R543" s="82">
        <v>7</v>
      </c>
      <c r="S543" s="63" t="str">
        <f>VLOOKUP(R543,SA!$B$5:$C$11,2,1)</f>
        <v>0-35</v>
      </c>
      <c r="T543" s="38" t="s">
        <v>97</v>
      </c>
      <c r="U543" s="24" t="s">
        <v>113</v>
      </c>
      <c r="V543" s="24">
        <v>300000</v>
      </c>
      <c r="W543" s="39">
        <f t="shared" si="160"/>
        <v>0</v>
      </c>
      <c r="X543" s="29">
        <f t="shared" si="161"/>
        <v>0</v>
      </c>
      <c r="Y543" s="40">
        <f t="shared" si="162"/>
        <v>365</v>
      </c>
      <c r="Z543" s="38">
        <f t="shared" si="157"/>
        <v>46081</v>
      </c>
      <c r="AA543" s="41">
        <f t="shared" si="163"/>
        <v>264</v>
      </c>
      <c r="AB543" s="24" t="s">
        <v>125</v>
      </c>
      <c r="AC543" s="41">
        <f t="shared" si="164"/>
        <v>3874.2114000000001</v>
      </c>
      <c r="AD543" s="41">
        <v>1</v>
      </c>
      <c r="AE543" s="72">
        <f>IFERROR(INDEX(SA!$C$4:$E$11,MATCH(Details!S543,SA!$C$4:$C$11,0),MATCH(Details!V543,SA!$C$4:$E$4,0)),0)*Y543/(F543-E543+1)</f>
        <v>3283.23</v>
      </c>
      <c r="AF543" s="41">
        <f t="shared" si="165"/>
        <v>0</v>
      </c>
      <c r="AG543" s="41">
        <f t="shared" si="166"/>
        <v>0</v>
      </c>
      <c r="AH543" s="41">
        <f t="shared" si="167"/>
        <v>590.98140000000001</v>
      </c>
      <c r="AI543" s="60">
        <f t="shared" si="168"/>
        <v>131.32920000000001</v>
      </c>
      <c r="AJ543" s="60">
        <f t="shared" si="169"/>
        <v>738.72675000000004</v>
      </c>
      <c r="AK543" s="60">
        <f t="shared" si="170"/>
        <v>2374.7197808219175</v>
      </c>
      <c r="AL543" s="60">
        <f t="shared" si="171"/>
        <v>1745.4190389041094</v>
      </c>
      <c r="AM543" s="41">
        <f t="shared" si="172"/>
        <v>667.7550110958905</v>
      </c>
      <c r="AN543" s="42">
        <f t="shared" si="173"/>
        <v>45715</v>
      </c>
      <c r="AO543" s="43">
        <f t="shared" si="174"/>
        <v>3283.23</v>
      </c>
    </row>
    <row r="544" spans="1:41" s="24" customFormat="1" ht="15.75" customHeight="1" x14ac:dyDescent="0.35">
      <c r="A544" s="36" t="s">
        <v>27</v>
      </c>
      <c r="B544" s="36">
        <v>202506</v>
      </c>
      <c r="C544" s="24" t="s">
        <v>128</v>
      </c>
      <c r="D544" s="24" t="s">
        <v>129</v>
      </c>
      <c r="E544" s="62">
        <v>45818</v>
      </c>
      <c r="F544" s="62">
        <v>46182</v>
      </c>
      <c r="G544" s="37" t="s">
        <v>670</v>
      </c>
      <c r="H544" s="36">
        <v>2307</v>
      </c>
      <c r="I544" s="63">
        <v>32403</v>
      </c>
      <c r="J544" s="24" t="s">
        <v>1320</v>
      </c>
      <c r="K544" s="63">
        <f t="shared" si="158"/>
        <v>45818</v>
      </c>
      <c r="L544" s="55">
        <f t="shared" si="159"/>
        <v>0.04</v>
      </c>
      <c r="M544" s="76">
        <v>0.22500000000000001</v>
      </c>
      <c r="N544" s="62">
        <v>45818</v>
      </c>
      <c r="O544" s="62">
        <v>46182</v>
      </c>
      <c r="P544" s="63"/>
      <c r="Q544" s="63"/>
      <c r="R544" s="82">
        <v>36</v>
      </c>
      <c r="S544" s="63" t="str">
        <f>VLOOKUP(R544,SA!$B$5:$C$11,2,1)</f>
        <v>36-45</v>
      </c>
      <c r="T544" s="38" t="s">
        <v>96</v>
      </c>
      <c r="U544" s="24" t="s">
        <v>56</v>
      </c>
      <c r="V544" s="24">
        <v>300000</v>
      </c>
      <c r="W544" s="39">
        <f t="shared" si="160"/>
        <v>300000</v>
      </c>
      <c r="X544" s="29">
        <f t="shared" si="161"/>
        <v>1</v>
      </c>
      <c r="Y544" s="40">
        <f t="shared" si="162"/>
        <v>365</v>
      </c>
      <c r="Z544" s="38">
        <f t="shared" si="157"/>
        <v>46081</v>
      </c>
      <c r="AA544" s="41">
        <f t="shared" si="163"/>
        <v>264</v>
      </c>
      <c r="AB544" s="24" t="s">
        <v>125</v>
      </c>
      <c r="AC544" s="41">
        <f t="shared" si="164"/>
        <v>5017.3245999999999</v>
      </c>
      <c r="AD544" s="41">
        <v>1</v>
      </c>
      <c r="AE544" s="72">
        <f>IFERROR(INDEX(SA!$C$4:$E$11,MATCH(Details!S544,SA!$C$4:$C$11,0),MATCH(Details!V544,SA!$C$4:$E$4,0)),0)*Y544/(F544-E544+1)</f>
        <v>4251.97</v>
      </c>
      <c r="AF544" s="41">
        <f t="shared" si="165"/>
        <v>0</v>
      </c>
      <c r="AG544" s="41">
        <f t="shared" si="166"/>
        <v>0</v>
      </c>
      <c r="AH544" s="41">
        <f t="shared" si="167"/>
        <v>765.3546</v>
      </c>
      <c r="AI544" s="60">
        <f t="shared" si="168"/>
        <v>170.0788</v>
      </c>
      <c r="AJ544" s="60">
        <f t="shared" si="169"/>
        <v>956.69325000000003</v>
      </c>
      <c r="AK544" s="60">
        <f t="shared" si="170"/>
        <v>3075.397479452055</v>
      </c>
      <c r="AL544" s="60">
        <f t="shared" si="171"/>
        <v>2260.4171473972606</v>
      </c>
      <c r="AM544" s="41">
        <f t="shared" si="172"/>
        <v>864.78080260273941</v>
      </c>
      <c r="AN544" s="42">
        <f t="shared" si="173"/>
        <v>45715</v>
      </c>
      <c r="AO544" s="43">
        <f t="shared" si="174"/>
        <v>4251.97</v>
      </c>
    </row>
    <row r="545" spans="1:41" s="24" customFormat="1" ht="15.75" customHeight="1" x14ac:dyDescent="0.35">
      <c r="A545" s="36" t="s">
        <v>27</v>
      </c>
      <c r="B545" s="36">
        <v>202506</v>
      </c>
      <c r="C545" s="24" t="s">
        <v>128</v>
      </c>
      <c r="D545" s="24" t="s">
        <v>129</v>
      </c>
      <c r="E545" s="62">
        <v>45818</v>
      </c>
      <c r="F545" s="62">
        <v>46182</v>
      </c>
      <c r="G545" s="37" t="s">
        <v>671</v>
      </c>
      <c r="H545" s="36">
        <v>2307</v>
      </c>
      <c r="I545" s="63">
        <v>32141</v>
      </c>
      <c r="J545" s="24" t="s">
        <v>1321</v>
      </c>
      <c r="K545" s="63">
        <f t="shared" si="158"/>
        <v>45818</v>
      </c>
      <c r="L545" s="55">
        <f t="shared" si="159"/>
        <v>0.04</v>
      </c>
      <c r="M545" s="76">
        <v>0.22500000000000001</v>
      </c>
      <c r="N545" s="62">
        <v>45818</v>
      </c>
      <c r="O545" s="62">
        <v>46182</v>
      </c>
      <c r="P545" s="63"/>
      <c r="Q545" s="63"/>
      <c r="R545" s="82">
        <v>37</v>
      </c>
      <c r="S545" s="63" t="str">
        <f>VLOOKUP(R545,SA!$B$5:$C$11,2,1)</f>
        <v>36-45</v>
      </c>
      <c r="T545" s="38" t="s">
        <v>97</v>
      </c>
      <c r="U545" s="24" t="s">
        <v>115</v>
      </c>
      <c r="V545" s="24">
        <v>300000</v>
      </c>
      <c r="W545" s="39">
        <f t="shared" si="160"/>
        <v>0</v>
      </c>
      <c r="X545" s="29">
        <f t="shared" si="161"/>
        <v>0</v>
      </c>
      <c r="Y545" s="40">
        <f t="shared" si="162"/>
        <v>365</v>
      </c>
      <c r="Z545" s="38">
        <f t="shared" si="157"/>
        <v>46081</v>
      </c>
      <c r="AA545" s="41">
        <f t="shared" si="163"/>
        <v>264</v>
      </c>
      <c r="AB545" s="24" t="s">
        <v>125</v>
      </c>
      <c r="AC545" s="41">
        <f t="shared" si="164"/>
        <v>5017.3245999999999</v>
      </c>
      <c r="AD545" s="41">
        <v>1</v>
      </c>
      <c r="AE545" s="72">
        <f>IFERROR(INDEX(SA!$C$4:$E$11,MATCH(Details!S545,SA!$C$4:$C$11,0),MATCH(Details!V545,SA!$C$4:$E$4,0)),0)*Y545/(F545-E545+1)</f>
        <v>4251.97</v>
      </c>
      <c r="AF545" s="41">
        <f t="shared" si="165"/>
        <v>0</v>
      </c>
      <c r="AG545" s="41">
        <f t="shared" si="166"/>
        <v>0</v>
      </c>
      <c r="AH545" s="41">
        <f t="shared" si="167"/>
        <v>765.3546</v>
      </c>
      <c r="AI545" s="60">
        <f t="shared" si="168"/>
        <v>170.0788</v>
      </c>
      <c r="AJ545" s="60">
        <f t="shared" si="169"/>
        <v>956.69325000000003</v>
      </c>
      <c r="AK545" s="60">
        <f t="shared" si="170"/>
        <v>3075.397479452055</v>
      </c>
      <c r="AL545" s="60">
        <f t="shared" si="171"/>
        <v>2260.4171473972606</v>
      </c>
      <c r="AM545" s="41">
        <f t="shared" si="172"/>
        <v>864.78080260273941</v>
      </c>
      <c r="AN545" s="42">
        <f t="shared" si="173"/>
        <v>45715</v>
      </c>
      <c r="AO545" s="43">
        <f t="shared" si="174"/>
        <v>4251.97</v>
      </c>
    </row>
    <row r="546" spans="1:41" s="24" customFormat="1" ht="15.75" customHeight="1" x14ac:dyDescent="0.35">
      <c r="A546" s="36" t="s">
        <v>27</v>
      </c>
      <c r="B546" s="36">
        <v>202506</v>
      </c>
      <c r="C546" s="24" t="s">
        <v>128</v>
      </c>
      <c r="D546" s="24" t="s">
        <v>129</v>
      </c>
      <c r="E546" s="62">
        <v>45818</v>
      </c>
      <c r="F546" s="62">
        <v>46182</v>
      </c>
      <c r="G546" s="37" t="s">
        <v>672</v>
      </c>
      <c r="H546" s="36">
        <v>2307</v>
      </c>
      <c r="I546" s="63">
        <v>40689</v>
      </c>
      <c r="J546" s="24" t="s">
        <v>1322</v>
      </c>
      <c r="K546" s="63">
        <f t="shared" si="158"/>
        <v>45818</v>
      </c>
      <c r="L546" s="55">
        <f t="shared" si="159"/>
        <v>0.04</v>
      </c>
      <c r="M546" s="76">
        <v>0.22500000000000001</v>
      </c>
      <c r="N546" s="62">
        <v>45818</v>
      </c>
      <c r="O546" s="62">
        <v>46182</v>
      </c>
      <c r="P546" s="63"/>
      <c r="Q546" s="63"/>
      <c r="R546" s="82">
        <v>14</v>
      </c>
      <c r="S546" s="63" t="str">
        <f>VLOOKUP(R546,SA!$B$5:$C$11,2,1)</f>
        <v>0-35</v>
      </c>
      <c r="T546" s="38" t="s">
        <v>96</v>
      </c>
      <c r="U546" s="24" t="s">
        <v>114</v>
      </c>
      <c r="V546" s="24">
        <v>300000</v>
      </c>
      <c r="W546" s="39">
        <f t="shared" si="160"/>
        <v>0</v>
      </c>
      <c r="X546" s="29">
        <f t="shared" si="161"/>
        <v>0</v>
      </c>
      <c r="Y546" s="40">
        <f t="shared" si="162"/>
        <v>365</v>
      </c>
      <c r="Z546" s="38">
        <f t="shared" si="157"/>
        <v>46081</v>
      </c>
      <c r="AA546" s="41">
        <f t="shared" si="163"/>
        <v>264</v>
      </c>
      <c r="AB546" s="24" t="s">
        <v>125</v>
      </c>
      <c r="AC546" s="41">
        <f t="shared" si="164"/>
        <v>3874.2114000000001</v>
      </c>
      <c r="AD546" s="41">
        <v>1</v>
      </c>
      <c r="AE546" s="72">
        <f>IFERROR(INDEX(SA!$C$4:$E$11,MATCH(Details!S546,SA!$C$4:$C$11,0),MATCH(Details!V546,SA!$C$4:$E$4,0)),0)*Y546/(F546-E546+1)</f>
        <v>3283.23</v>
      </c>
      <c r="AF546" s="41">
        <f t="shared" si="165"/>
        <v>0</v>
      </c>
      <c r="AG546" s="41">
        <f t="shared" si="166"/>
        <v>0</v>
      </c>
      <c r="AH546" s="41">
        <f t="shared" si="167"/>
        <v>590.98140000000001</v>
      </c>
      <c r="AI546" s="60">
        <f t="shared" si="168"/>
        <v>131.32920000000001</v>
      </c>
      <c r="AJ546" s="60">
        <f t="shared" si="169"/>
        <v>738.72675000000004</v>
      </c>
      <c r="AK546" s="60">
        <f t="shared" si="170"/>
        <v>2374.7197808219175</v>
      </c>
      <c r="AL546" s="60">
        <f t="shared" si="171"/>
        <v>1745.4190389041094</v>
      </c>
      <c r="AM546" s="41">
        <f t="shared" si="172"/>
        <v>667.7550110958905</v>
      </c>
      <c r="AN546" s="42">
        <f t="shared" si="173"/>
        <v>45715</v>
      </c>
      <c r="AO546" s="43">
        <f t="shared" si="174"/>
        <v>3283.23</v>
      </c>
    </row>
    <row r="547" spans="1:41" s="24" customFormat="1" ht="15.75" customHeight="1" x14ac:dyDescent="0.35">
      <c r="A547" s="36" t="s">
        <v>27</v>
      </c>
      <c r="B547" s="36">
        <v>202506</v>
      </c>
      <c r="C547" s="24" t="s">
        <v>128</v>
      </c>
      <c r="D547" s="24" t="s">
        <v>129</v>
      </c>
      <c r="E547" s="62">
        <v>45818</v>
      </c>
      <c r="F547" s="62">
        <v>46182</v>
      </c>
      <c r="G547" s="37" t="s">
        <v>673</v>
      </c>
      <c r="H547" s="36">
        <v>2307</v>
      </c>
      <c r="I547" s="63">
        <v>43395</v>
      </c>
      <c r="J547" s="24" t="s">
        <v>1323</v>
      </c>
      <c r="K547" s="63">
        <f t="shared" si="158"/>
        <v>45818</v>
      </c>
      <c r="L547" s="55">
        <f t="shared" si="159"/>
        <v>0.04</v>
      </c>
      <c r="M547" s="76">
        <v>0.22500000000000001</v>
      </c>
      <c r="N547" s="62">
        <v>45818</v>
      </c>
      <c r="O547" s="62">
        <v>46182</v>
      </c>
      <c r="P547" s="63"/>
      <c r="Q547" s="63"/>
      <c r="R547" s="82">
        <v>6</v>
      </c>
      <c r="S547" s="63" t="str">
        <f>VLOOKUP(R547,SA!$B$5:$C$11,2,1)</f>
        <v>0-35</v>
      </c>
      <c r="T547" s="38" t="s">
        <v>96</v>
      </c>
      <c r="U547" s="24" t="s">
        <v>114</v>
      </c>
      <c r="V547" s="24">
        <v>300000</v>
      </c>
      <c r="W547" s="39">
        <f t="shared" si="160"/>
        <v>0</v>
      </c>
      <c r="X547" s="29">
        <f t="shared" si="161"/>
        <v>0</v>
      </c>
      <c r="Y547" s="40">
        <f t="shared" si="162"/>
        <v>365</v>
      </c>
      <c r="Z547" s="38">
        <f t="shared" si="157"/>
        <v>46081</v>
      </c>
      <c r="AA547" s="41">
        <f t="shared" si="163"/>
        <v>264</v>
      </c>
      <c r="AB547" s="24" t="s">
        <v>125</v>
      </c>
      <c r="AC547" s="41">
        <f t="shared" si="164"/>
        <v>3874.2114000000001</v>
      </c>
      <c r="AD547" s="41">
        <v>1</v>
      </c>
      <c r="AE547" s="72">
        <f>IFERROR(INDEX(SA!$C$4:$E$11,MATCH(Details!S547,SA!$C$4:$C$11,0),MATCH(Details!V547,SA!$C$4:$E$4,0)),0)*Y547/(F547-E547+1)</f>
        <v>3283.23</v>
      </c>
      <c r="AF547" s="41">
        <f t="shared" si="165"/>
        <v>0</v>
      </c>
      <c r="AG547" s="41">
        <f t="shared" si="166"/>
        <v>0</v>
      </c>
      <c r="AH547" s="41">
        <f t="shared" si="167"/>
        <v>590.98140000000001</v>
      </c>
      <c r="AI547" s="60">
        <f t="shared" si="168"/>
        <v>131.32920000000001</v>
      </c>
      <c r="AJ547" s="60">
        <f t="shared" si="169"/>
        <v>738.72675000000004</v>
      </c>
      <c r="AK547" s="60">
        <f t="shared" si="170"/>
        <v>2374.7197808219175</v>
      </c>
      <c r="AL547" s="60">
        <f t="shared" si="171"/>
        <v>1745.4190389041094</v>
      </c>
      <c r="AM547" s="41">
        <f t="shared" si="172"/>
        <v>667.7550110958905</v>
      </c>
      <c r="AN547" s="42">
        <f t="shared" si="173"/>
        <v>45715</v>
      </c>
      <c r="AO547" s="43">
        <f t="shared" si="174"/>
        <v>3283.23</v>
      </c>
    </row>
    <row r="548" spans="1:41" s="24" customFormat="1" ht="15.75" customHeight="1" x14ac:dyDescent="0.35">
      <c r="A548" s="36" t="s">
        <v>27</v>
      </c>
      <c r="B548" s="36">
        <v>202506</v>
      </c>
      <c r="C548" s="24" t="s">
        <v>128</v>
      </c>
      <c r="D548" s="24" t="s">
        <v>129</v>
      </c>
      <c r="E548" s="62">
        <v>45818</v>
      </c>
      <c r="F548" s="62">
        <v>46182</v>
      </c>
      <c r="G548" s="37" t="s">
        <v>674</v>
      </c>
      <c r="H548" s="36">
        <v>2310</v>
      </c>
      <c r="I548" s="63">
        <v>30620</v>
      </c>
      <c r="J548" s="24" t="s">
        <v>1324</v>
      </c>
      <c r="K548" s="63">
        <f t="shared" si="158"/>
        <v>45818</v>
      </c>
      <c r="L548" s="55">
        <f t="shared" si="159"/>
        <v>0.04</v>
      </c>
      <c r="M548" s="76">
        <v>0.22500000000000001</v>
      </c>
      <c r="N548" s="62">
        <v>45818</v>
      </c>
      <c r="O548" s="62">
        <v>46182</v>
      </c>
      <c r="P548" s="63"/>
      <c r="Q548" s="63"/>
      <c r="R548" s="82">
        <v>41</v>
      </c>
      <c r="S548" s="63" t="str">
        <f>VLOOKUP(R548,SA!$B$5:$C$11,2,1)</f>
        <v>36-45</v>
      </c>
      <c r="T548" s="38" t="s">
        <v>96</v>
      </c>
      <c r="U548" s="24" t="s">
        <v>56</v>
      </c>
      <c r="V548" s="24">
        <v>300000</v>
      </c>
      <c r="W548" s="39">
        <f t="shared" si="160"/>
        <v>300000</v>
      </c>
      <c r="X548" s="29">
        <f t="shared" si="161"/>
        <v>1</v>
      </c>
      <c r="Y548" s="40">
        <f t="shared" si="162"/>
        <v>365</v>
      </c>
      <c r="Z548" s="38">
        <f t="shared" si="157"/>
        <v>46081</v>
      </c>
      <c r="AA548" s="41">
        <f t="shared" si="163"/>
        <v>264</v>
      </c>
      <c r="AB548" s="24" t="s">
        <v>125</v>
      </c>
      <c r="AC548" s="41">
        <f t="shared" si="164"/>
        <v>5017.3245999999999</v>
      </c>
      <c r="AD548" s="41">
        <v>1</v>
      </c>
      <c r="AE548" s="72">
        <f>IFERROR(INDEX(SA!$C$4:$E$11,MATCH(Details!S548,SA!$C$4:$C$11,0),MATCH(Details!V548,SA!$C$4:$E$4,0)),0)*Y548/(F548-E548+1)</f>
        <v>4251.97</v>
      </c>
      <c r="AF548" s="41">
        <f t="shared" si="165"/>
        <v>0</v>
      </c>
      <c r="AG548" s="41">
        <f t="shared" si="166"/>
        <v>0</v>
      </c>
      <c r="AH548" s="41">
        <f t="shared" si="167"/>
        <v>765.3546</v>
      </c>
      <c r="AI548" s="60">
        <f t="shared" si="168"/>
        <v>170.0788</v>
      </c>
      <c r="AJ548" s="60">
        <f t="shared" si="169"/>
        <v>956.69325000000003</v>
      </c>
      <c r="AK548" s="60">
        <f t="shared" si="170"/>
        <v>3075.397479452055</v>
      </c>
      <c r="AL548" s="60">
        <f t="shared" si="171"/>
        <v>2260.4171473972606</v>
      </c>
      <c r="AM548" s="41">
        <f t="shared" si="172"/>
        <v>864.78080260273941</v>
      </c>
      <c r="AN548" s="42">
        <f t="shared" si="173"/>
        <v>45715</v>
      </c>
      <c r="AO548" s="43">
        <f t="shared" si="174"/>
        <v>4251.97</v>
      </c>
    </row>
    <row r="549" spans="1:41" s="24" customFormat="1" ht="15.75" customHeight="1" x14ac:dyDescent="0.35">
      <c r="A549" s="36" t="s">
        <v>27</v>
      </c>
      <c r="B549" s="36">
        <v>202506</v>
      </c>
      <c r="C549" s="24" t="s">
        <v>128</v>
      </c>
      <c r="D549" s="24" t="s">
        <v>129</v>
      </c>
      <c r="E549" s="62">
        <v>45818</v>
      </c>
      <c r="F549" s="62">
        <v>46182</v>
      </c>
      <c r="G549" s="37" t="s">
        <v>675</v>
      </c>
      <c r="H549" s="36">
        <v>2310</v>
      </c>
      <c r="I549" s="63">
        <v>30979</v>
      </c>
      <c r="J549" s="24" t="s">
        <v>1325</v>
      </c>
      <c r="K549" s="63">
        <f t="shared" si="158"/>
        <v>45818</v>
      </c>
      <c r="L549" s="55">
        <f t="shared" si="159"/>
        <v>0.04</v>
      </c>
      <c r="M549" s="76">
        <v>0.22500000000000001</v>
      </c>
      <c r="N549" s="62">
        <v>45818</v>
      </c>
      <c r="O549" s="62">
        <v>46182</v>
      </c>
      <c r="P549" s="63"/>
      <c r="Q549" s="63"/>
      <c r="R549" s="82">
        <v>40</v>
      </c>
      <c r="S549" s="63" t="str">
        <f>VLOOKUP(R549,SA!$B$5:$C$11,2,1)</f>
        <v>36-45</v>
      </c>
      <c r="T549" s="38" t="s">
        <v>97</v>
      </c>
      <c r="U549" s="24" t="s">
        <v>115</v>
      </c>
      <c r="V549" s="24">
        <v>300000</v>
      </c>
      <c r="W549" s="39">
        <f t="shared" si="160"/>
        <v>0</v>
      </c>
      <c r="X549" s="29">
        <f t="shared" si="161"/>
        <v>0</v>
      </c>
      <c r="Y549" s="40">
        <f t="shared" si="162"/>
        <v>365</v>
      </c>
      <c r="Z549" s="38">
        <f t="shared" si="157"/>
        <v>46081</v>
      </c>
      <c r="AA549" s="41">
        <f t="shared" si="163"/>
        <v>264</v>
      </c>
      <c r="AB549" s="24" t="s">
        <v>125</v>
      </c>
      <c r="AC549" s="41">
        <f t="shared" si="164"/>
        <v>5017.3245999999999</v>
      </c>
      <c r="AD549" s="41">
        <v>1</v>
      </c>
      <c r="AE549" s="72">
        <f>IFERROR(INDEX(SA!$C$4:$E$11,MATCH(Details!S549,SA!$C$4:$C$11,0),MATCH(Details!V549,SA!$C$4:$E$4,0)),0)*Y549/(F549-E549+1)</f>
        <v>4251.97</v>
      </c>
      <c r="AF549" s="41">
        <f t="shared" si="165"/>
        <v>0</v>
      </c>
      <c r="AG549" s="41">
        <f t="shared" si="166"/>
        <v>0</v>
      </c>
      <c r="AH549" s="41">
        <f t="shared" si="167"/>
        <v>765.3546</v>
      </c>
      <c r="AI549" s="60">
        <f t="shared" si="168"/>
        <v>170.0788</v>
      </c>
      <c r="AJ549" s="60">
        <f t="shared" si="169"/>
        <v>956.69325000000003</v>
      </c>
      <c r="AK549" s="60">
        <f t="shared" si="170"/>
        <v>3075.397479452055</v>
      </c>
      <c r="AL549" s="60">
        <f t="shared" si="171"/>
        <v>2260.4171473972606</v>
      </c>
      <c r="AM549" s="41">
        <f t="shared" si="172"/>
        <v>864.78080260273941</v>
      </c>
      <c r="AN549" s="42">
        <f t="shared" si="173"/>
        <v>45715</v>
      </c>
      <c r="AO549" s="43">
        <f t="shared" si="174"/>
        <v>4251.97</v>
      </c>
    </row>
    <row r="550" spans="1:41" s="24" customFormat="1" ht="15.75" customHeight="1" x14ac:dyDescent="0.35">
      <c r="A550" s="36" t="s">
        <v>27</v>
      </c>
      <c r="B550" s="36">
        <v>202506</v>
      </c>
      <c r="C550" s="24" t="s">
        <v>128</v>
      </c>
      <c r="D550" s="24" t="s">
        <v>129</v>
      </c>
      <c r="E550" s="62">
        <v>45818</v>
      </c>
      <c r="F550" s="62">
        <v>46182</v>
      </c>
      <c r="G550" s="37" t="s">
        <v>676</v>
      </c>
      <c r="H550" s="36">
        <v>2310</v>
      </c>
      <c r="I550" s="63">
        <v>41728</v>
      </c>
      <c r="J550" s="24" t="s">
        <v>1326</v>
      </c>
      <c r="K550" s="63">
        <f t="shared" si="158"/>
        <v>45818</v>
      </c>
      <c r="L550" s="55">
        <f t="shared" si="159"/>
        <v>0.04</v>
      </c>
      <c r="M550" s="76">
        <v>0.22500000000000001</v>
      </c>
      <c r="N550" s="62">
        <v>45818</v>
      </c>
      <c r="O550" s="62">
        <v>46182</v>
      </c>
      <c r="P550" s="63"/>
      <c r="Q550" s="63"/>
      <c r="R550" s="82">
        <v>11</v>
      </c>
      <c r="S550" s="63" t="str">
        <f>VLOOKUP(R550,SA!$B$5:$C$11,2,1)</f>
        <v>0-35</v>
      </c>
      <c r="T550" s="38" t="s">
        <v>96</v>
      </c>
      <c r="U550" s="24" t="s">
        <v>114</v>
      </c>
      <c r="V550" s="24">
        <v>300000</v>
      </c>
      <c r="W550" s="39">
        <f t="shared" si="160"/>
        <v>0</v>
      </c>
      <c r="X550" s="29">
        <f t="shared" si="161"/>
        <v>0</v>
      </c>
      <c r="Y550" s="40">
        <f t="shared" si="162"/>
        <v>365</v>
      </c>
      <c r="Z550" s="38">
        <f t="shared" si="157"/>
        <v>46081</v>
      </c>
      <c r="AA550" s="41">
        <f t="shared" si="163"/>
        <v>264</v>
      </c>
      <c r="AB550" s="24" t="s">
        <v>125</v>
      </c>
      <c r="AC550" s="41">
        <f t="shared" si="164"/>
        <v>3874.2114000000001</v>
      </c>
      <c r="AD550" s="41">
        <v>1</v>
      </c>
      <c r="AE550" s="72">
        <f>IFERROR(INDEX(SA!$C$4:$E$11,MATCH(Details!S550,SA!$C$4:$C$11,0),MATCH(Details!V550,SA!$C$4:$E$4,0)),0)*Y550/(F550-E550+1)</f>
        <v>3283.23</v>
      </c>
      <c r="AF550" s="41">
        <f t="shared" si="165"/>
        <v>0</v>
      </c>
      <c r="AG550" s="41">
        <f t="shared" si="166"/>
        <v>0</v>
      </c>
      <c r="AH550" s="41">
        <f t="shared" si="167"/>
        <v>590.98140000000001</v>
      </c>
      <c r="AI550" s="60">
        <f t="shared" si="168"/>
        <v>131.32920000000001</v>
      </c>
      <c r="AJ550" s="60">
        <f t="shared" si="169"/>
        <v>738.72675000000004</v>
      </c>
      <c r="AK550" s="60">
        <f t="shared" si="170"/>
        <v>2374.7197808219175</v>
      </c>
      <c r="AL550" s="60">
        <f t="shared" si="171"/>
        <v>1745.4190389041094</v>
      </c>
      <c r="AM550" s="41">
        <f t="shared" si="172"/>
        <v>667.7550110958905</v>
      </c>
      <c r="AN550" s="42">
        <f t="shared" si="173"/>
        <v>45715</v>
      </c>
      <c r="AO550" s="43">
        <f t="shared" si="174"/>
        <v>3283.23</v>
      </c>
    </row>
    <row r="551" spans="1:41" s="24" customFormat="1" ht="15.75" customHeight="1" x14ac:dyDescent="0.35">
      <c r="A551" s="36" t="s">
        <v>27</v>
      </c>
      <c r="B551" s="36">
        <v>202506</v>
      </c>
      <c r="C551" s="24" t="s">
        <v>128</v>
      </c>
      <c r="D551" s="24" t="s">
        <v>129</v>
      </c>
      <c r="E551" s="62">
        <v>45818</v>
      </c>
      <c r="F551" s="62">
        <v>46182</v>
      </c>
      <c r="G551" s="37" t="s">
        <v>677</v>
      </c>
      <c r="H551" s="36">
        <v>2311</v>
      </c>
      <c r="I551" s="63">
        <v>30840</v>
      </c>
      <c r="J551" s="24" t="s">
        <v>1327</v>
      </c>
      <c r="K551" s="63">
        <f t="shared" si="158"/>
        <v>45818</v>
      </c>
      <c r="L551" s="55">
        <f t="shared" si="159"/>
        <v>0.04</v>
      </c>
      <c r="M551" s="76">
        <v>0.22500000000000001</v>
      </c>
      <c r="N551" s="62">
        <v>45818</v>
      </c>
      <c r="O551" s="62">
        <v>46182</v>
      </c>
      <c r="P551" s="63"/>
      <c r="Q551" s="63"/>
      <c r="R551" s="82">
        <v>41</v>
      </c>
      <c r="S551" s="63" t="str">
        <f>VLOOKUP(R551,SA!$B$5:$C$11,2,1)</f>
        <v>36-45</v>
      </c>
      <c r="T551" s="38" t="s">
        <v>97</v>
      </c>
      <c r="U551" s="24" t="s">
        <v>56</v>
      </c>
      <c r="V551" s="24">
        <v>300000</v>
      </c>
      <c r="W551" s="39">
        <f t="shared" si="160"/>
        <v>300000</v>
      </c>
      <c r="X551" s="29">
        <f t="shared" si="161"/>
        <v>1</v>
      </c>
      <c r="Y551" s="40">
        <f t="shared" si="162"/>
        <v>365</v>
      </c>
      <c r="Z551" s="38">
        <f t="shared" si="157"/>
        <v>46081</v>
      </c>
      <c r="AA551" s="41">
        <f t="shared" si="163"/>
        <v>264</v>
      </c>
      <c r="AB551" s="24" t="s">
        <v>125</v>
      </c>
      <c r="AC551" s="41">
        <f t="shared" si="164"/>
        <v>5017.3245999999999</v>
      </c>
      <c r="AD551" s="41">
        <v>1</v>
      </c>
      <c r="AE551" s="72">
        <f>IFERROR(INDEX(SA!$C$4:$E$11,MATCH(Details!S551,SA!$C$4:$C$11,0),MATCH(Details!V551,SA!$C$4:$E$4,0)),0)*Y551/(F551-E551+1)</f>
        <v>4251.97</v>
      </c>
      <c r="AF551" s="41">
        <f t="shared" si="165"/>
        <v>0</v>
      </c>
      <c r="AG551" s="41">
        <f t="shared" si="166"/>
        <v>0</v>
      </c>
      <c r="AH551" s="41">
        <f t="shared" si="167"/>
        <v>765.3546</v>
      </c>
      <c r="AI551" s="60">
        <f t="shared" si="168"/>
        <v>170.0788</v>
      </c>
      <c r="AJ551" s="60">
        <f t="shared" si="169"/>
        <v>956.69325000000003</v>
      </c>
      <c r="AK551" s="60">
        <f t="shared" si="170"/>
        <v>3075.397479452055</v>
      </c>
      <c r="AL551" s="60">
        <f t="shared" si="171"/>
        <v>2260.4171473972606</v>
      </c>
      <c r="AM551" s="41">
        <f t="shared" si="172"/>
        <v>864.78080260273941</v>
      </c>
      <c r="AN551" s="42">
        <f t="shared" si="173"/>
        <v>45715</v>
      </c>
      <c r="AO551" s="43">
        <f t="shared" si="174"/>
        <v>4251.97</v>
      </c>
    </row>
    <row r="552" spans="1:41" s="24" customFormat="1" ht="15.75" customHeight="1" x14ac:dyDescent="0.35">
      <c r="A552" s="36" t="s">
        <v>27</v>
      </c>
      <c r="B552" s="36">
        <v>202506</v>
      </c>
      <c r="C552" s="24" t="s">
        <v>128</v>
      </c>
      <c r="D552" s="24" t="s">
        <v>129</v>
      </c>
      <c r="E552" s="62">
        <v>45818</v>
      </c>
      <c r="F552" s="62">
        <v>46182</v>
      </c>
      <c r="G552" s="37" t="s">
        <v>678</v>
      </c>
      <c r="H552" s="36">
        <v>2311</v>
      </c>
      <c r="I552" s="63">
        <v>30839</v>
      </c>
      <c r="J552" s="24" t="s">
        <v>1328</v>
      </c>
      <c r="K552" s="63">
        <f t="shared" si="158"/>
        <v>45818</v>
      </c>
      <c r="L552" s="55">
        <f t="shared" si="159"/>
        <v>0.04</v>
      </c>
      <c r="M552" s="76">
        <v>0.22500000000000001</v>
      </c>
      <c r="N552" s="62">
        <v>45818</v>
      </c>
      <c r="O552" s="62">
        <v>46182</v>
      </c>
      <c r="P552" s="63"/>
      <c r="Q552" s="63"/>
      <c r="R552" s="82">
        <v>41</v>
      </c>
      <c r="S552" s="63" t="str">
        <f>VLOOKUP(R552,SA!$B$5:$C$11,2,1)</f>
        <v>36-45</v>
      </c>
      <c r="T552" s="38" t="s">
        <v>96</v>
      </c>
      <c r="U552" s="24" t="s">
        <v>115</v>
      </c>
      <c r="V552" s="24">
        <v>300000</v>
      </c>
      <c r="W552" s="39">
        <f t="shared" si="160"/>
        <v>0</v>
      </c>
      <c r="X552" s="29">
        <f t="shared" si="161"/>
        <v>0</v>
      </c>
      <c r="Y552" s="40">
        <f t="shared" si="162"/>
        <v>365</v>
      </c>
      <c r="Z552" s="38">
        <f t="shared" si="157"/>
        <v>46081</v>
      </c>
      <c r="AA552" s="41">
        <f t="shared" si="163"/>
        <v>264</v>
      </c>
      <c r="AB552" s="24" t="s">
        <v>125</v>
      </c>
      <c r="AC552" s="41">
        <f t="shared" si="164"/>
        <v>5017.3245999999999</v>
      </c>
      <c r="AD552" s="41">
        <v>1</v>
      </c>
      <c r="AE552" s="72">
        <f>IFERROR(INDEX(SA!$C$4:$E$11,MATCH(Details!S552,SA!$C$4:$C$11,0),MATCH(Details!V552,SA!$C$4:$E$4,0)),0)*Y552/(F552-E552+1)</f>
        <v>4251.97</v>
      </c>
      <c r="AF552" s="41">
        <f t="shared" si="165"/>
        <v>0</v>
      </c>
      <c r="AG552" s="41">
        <f t="shared" si="166"/>
        <v>0</v>
      </c>
      <c r="AH552" s="41">
        <f t="shared" si="167"/>
        <v>765.3546</v>
      </c>
      <c r="AI552" s="60">
        <f t="shared" si="168"/>
        <v>170.0788</v>
      </c>
      <c r="AJ552" s="60">
        <f t="shared" si="169"/>
        <v>956.69325000000003</v>
      </c>
      <c r="AK552" s="60">
        <f t="shared" si="170"/>
        <v>3075.397479452055</v>
      </c>
      <c r="AL552" s="60">
        <f t="shared" si="171"/>
        <v>2260.4171473972606</v>
      </c>
      <c r="AM552" s="41">
        <f t="shared" si="172"/>
        <v>864.78080260273941</v>
      </c>
      <c r="AN552" s="42">
        <f t="shared" si="173"/>
        <v>45715</v>
      </c>
      <c r="AO552" s="43">
        <f t="shared" si="174"/>
        <v>4251.97</v>
      </c>
    </row>
    <row r="553" spans="1:41" s="24" customFormat="1" ht="15.75" customHeight="1" x14ac:dyDescent="0.35">
      <c r="A553" s="36" t="s">
        <v>27</v>
      </c>
      <c r="B553" s="36">
        <v>202506</v>
      </c>
      <c r="C553" s="24" t="s">
        <v>128</v>
      </c>
      <c r="D553" s="24" t="s">
        <v>129</v>
      </c>
      <c r="E553" s="62">
        <v>45818</v>
      </c>
      <c r="F553" s="62">
        <v>46182</v>
      </c>
      <c r="G553" s="37" t="s">
        <v>679</v>
      </c>
      <c r="H553" s="36">
        <v>2311</v>
      </c>
      <c r="I553" s="63">
        <v>39886</v>
      </c>
      <c r="J553" s="24" t="s">
        <v>1329</v>
      </c>
      <c r="K553" s="63">
        <f t="shared" si="158"/>
        <v>45818</v>
      </c>
      <c r="L553" s="55">
        <f t="shared" si="159"/>
        <v>0.04</v>
      </c>
      <c r="M553" s="76">
        <v>0.22500000000000001</v>
      </c>
      <c r="N553" s="62">
        <v>45818</v>
      </c>
      <c r="O553" s="62">
        <v>46182</v>
      </c>
      <c r="P553" s="63"/>
      <c r="Q553" s="63"/>
      <c r="R553" s="82">
        <v>16</v>
      </c>
      <c r="S553" s="63" t="str">
        <f>VLOOKUP(R553,SA!$B$5:$C$11,2,1)</f>
        <v>0-35</v>
      </c>
      <c r="T553" s="38" t="s">
        <v>97</v>
      </c>
      <c r="U553" s="24" t="s">
        <v>113</v>
      </c>
      <c r="V553" s="24">
        <v>300000</v>
      </c>
      <c r="W553" s="39">
        <f t="shared" si="160"/>
        <v>0</v>
      </c>
      <c r="X553" s="29">
        <f t="shared" si="161"/>
        <v>0</v>
      </c>
      <c r="Y553" s="40">
        <f t="shared" si="162"/>
        <v>365</v>
      </c>
      <c r="Z553" s="38">
        <f t="shared" si="157"/>
        <v>46081</v>
      </c>
      <c r="AA553" s="41">
        <f t="shared" si="163"/>
        <v>264</v>
      </c>
      <c r="AB553" s="24" t="s">
        <v>125</v>
      </c>
      <c r="AC553" s="41">
        <f t="shared" si="164"/>
        <v>3874.2114000000001</v>
      </c>
      <c r="AD553" s="41">
        <v>1</v>
      </c>
      <c r="AE553" s="72">
        <f>IFERROR(INDEX(SA!$C$4:$E$11,MATCH(Details!S553,SA!$C$4:$C$11,0),MATCH(Details!V553,SA!$C$4:$E$4,0)),0)*Y553/(F553-E553+1)</f>
        <v>3283.23</v>
      </c>
      <c r="AF553" s="41">
        <f t="shared" si="165"/>
        <v>0</v>
      </c>
      <c r="AG553" s="41">
        <f t="shared" si="166"/>
        <v>0</v>
      </c>
      <c r="AH553" s="41">
        <f t="shared" si="167"/>
        <v>590.98140000000001</v>
      </c>
      <c r="AI553" s="60">
        <f t="shared" si="168"/>
        <v>131.32920000000001</v>
      </c>
      <c r="AJ553" s="60">
        <f t="shared" si="169"/>
        <v>738.72675000000004</v>
      </c>
      <c r="AK553" s="60">
        <f t="shared" si="170"/>
        <v>2374.7197808219175</v>
      </c>
      <c r="AL553" s="60">
        <f t="shared" si="171"/>
        <v>1745.4190389041094</v>
      </c>
      <c r="AM553" s="41">
        <f t="shared" si="172"/>
        <v>667.7550110958905</v>
      </c>
      <c r="AN553" s="42">
        <f t="shared" si="173"/>
        <v>45715</v>
      </c>
      <c r="AO553" s="43">
        <f t="shared" si="174"/>
        <v>3283.23</v>
      </c>
    </row>
    <row r="554" spans="1:41" s="24" customFormat="1" ht="15.75" customHeight="1" x14ac:dyDescent="0.35">
      <c r="A554" s="36" t="s">
        <v>27</v>
      </c>
      <c r="B554" s="36">
        <v>202506</v>
      </c>
      <c r="C554" s="24" t="s">
        <v>128</v>
      </c>
      <c r="D554" s="24" t="s">
        <v>129</v>
      </c>
      <c r="E554" s="62">
        <v>45818</v>
      </c>
      <c r="F554" s="62">
        <v>46182</v>
      </c>
      <c r="G554" s="37" t="s">
        <v>680</v>
      </c>
      <c r="H554" s="36">
        <v>2312</v>
      </c>
      <c r="I554" s="63">
        <v>33670</v>
      </c>
      <c r="J554" s="24" t="s">
        <v>1330</v>
      </c>
      <c r="K554" s="63">
        <f t="shared" si="158"/>
        <v>45818</v>
      </c>
      <c r="L554" s="55">
        <f t="shared" si="159"/>
        <v>0.04</v>
      </c>
      <c r="M554" s="76">
        <v>0.22500000000000001</v>
      </c>
      <c r="N554" s="62">
        <v>45818</v>
      </c>
      <c r="O554" s="62">
        <v>46182</v>
      </c>
      <c r="P554" s="63"/>
      <c r="Q554" s="63"/>
      <c r="R554" s="82">
        <v>33</v>
      </c>
      <c r="S554" s="63" t="str">
        <f>VLOOKUP(R554,SA!$B$5:$C$11,2,1)</f>
        <v>0-35</v>
      </c>
      <c r="T554" s="38" t="s">
        <v>96</v>
      </c>
      <c r="U554" s="24" t="s">
        <v>56</v>
      </c>
      <c r="V554" s="24">
        <v>300000</v>
      </c>
      <c r="W554" s="39">
        <f t="shared" si="160"/>
        <v>300000</v>
      </c>
      <c r="X554" s="29">
        <f t="shared" si="161"/>
        <v>1</v>
      </c>
      <c r="Y554" s="40">
        <f t="shared" si="162"/>
        <v>365</v>
      </c>
      <c r="Z554" s="38">
        <f t="shared" si="157"/>
        <v>46081</v>
      </c>
      <c r="AA554" s="41">
        <f t="shared" si="163"/>
        <v>264</v>
      </c>
      <c r="AB554" s="24" t="s">
        <v>125</v>
      </c>
      <c r="AC554" s="41">
        <f t="shared" si="164"/>
        <v>3874.2114000000001</v>
      </c>
      <c r="AD554" s="41">
        <v>1</v>
      </c>
      <c r="AE554" s="72">
        <f>IFERROR(INDEX(SA!$C$4:$E$11,MATCH(Details!S554,SA!$C$4:$C$11,0),MATCH(Details!V554,SA!$C$4:$E$4,0)),0)*Y554/(F554-E554+1)</f>
        <v>3283.23</v>
      </c>
      <c r="AF554" s="41">
        <f t="shared" si="165"/>
        <v>0</v>
      </c>
      <c r="AG554" s="41">
        <f t="shared" si="166"/>
        <v>0</v>
      </c>
      <c r="AH554" s="41">
        <f t="shared" si="167"/>
        <v>590.98140000000001</v>
      </c>
      <c r="AI554" s="60">
        <f t="shared" si="168"/>
        <v>131.32920000000001</v>
      </c>
      <c r="AJ554" s="60">
        <f t="shared" si="169"/>
        <v>738.72675000000004</v>
      </c>
      <c r="AK554" s="60">
        <f t="shared" si="170"/>
        <v>2374.7197808219175</v>
      </c>
      <c r="AL554" s="60">
        <f t="shared" si="171"/>
        <v>1745.4190389041094</v>
      </c>
      <c r="AM554" s="41">
        <f t="shared" si="172"/>
        <v>667.7550110958905</v>
      </c>
      <c r="AN554" s="42">
        <f t="shared" si="173"/>
        <v>45715</v>
      </c>
      <c r="AO554" s="43">
        <f t="shared" si="174"/>
        <v>3283.23</v>
      </c>
    </row>
    <row r="555" spans="1:41" s="24" customFormat="1" ht="15.75" customHeight="1" x14ac:dyDescent="0.35">
      <c r="A555" s="36" t="s">
        <v>27</v>
      </c>
      <c r="B555" s="36">
        <v>202506</v>
      </c>
      <c r="C555" s="24" t="s">
        <v>128</v>
      </c>
      <c r="D555" s="24" t="s">
        <v>129</v>
      </c>
      <c r="E555" s="62">
        <v>45818</v>
      </c>
      <c r="F555" s="62">
        <v>46182</v>
      </c>
      <c r="G555" s="37" t="s">
        <v>681</v>
      </c>
      <c r="H555" s="36">
        <v>2312</v>
      </c>
      <c r="I555" s="63">
        <v>33758</v>
      </c>
      <c r="J555" s="24" t="s">
        <v>1331</v>
      </c>
      <c r="K555" s="63">
        <f t="shared" si="158"/>
        <v>45818</v>
      </c>
      <c r="L555" s="55">
        <f t="shared" si="159"/>
        <v>0.04</v>
      </c>
      <c r="M555" s="76">
        <v>0.22500000000000001</v>
      </c>
      <c r="N555" s="62">
        <v>45818</v>
      </c>
      <c r="O555" s="62">
        <v>46182</v>
      </c>
      <c r="P555" s="63"/>
      <c r="Q555" s="63"/>
      <c r="R555" s="82">
        <v>33</v>
      </c>
      <c r="S555" s="63" t="str">
        <f>VLOOKUP(R555,SA!$B$5:$C$11,2,1)</f>
        <v>0-35</v>
      </c>
      <c r="T555" s="38" t="s">
        <v>97</v>
      </c>
      <c r="U555" s="24" t="s">
        <v>115</v>
      </c>
      <c r="V555" s="24">
        <v>300000</v>
      </c>
      <c r="W555" s="39">
        <f t="shared" si="160"/>
        <v>0</v>
      </c>
      <c r="X555" s="29">
        <f t="shared" si="161"/>
        <v>0</v>
      </c>
      <c r="Y555" s="40">
        <f t="shared" si="162"/>
        <v>365</v>
      </c>
      <c r="Z555" s="38">
        <f t="shared" si="157"/>
        <v>46081</v>
      </c>
      <c r="AA555" s="41">
        <f t="shared" si="163"/>
        <v>264</v>
      </c>
      <c r="AB555" s="24" t="s">
        <v>125</v>
      </c>
      <c r="AC555" s="41">
        <f t="shared" si="164"/>
        <v>3874.2114000000001</v>
      </c>
      <c r="AD555" s="41">
        <v>1</v>
      </c>
      <c r="AE555" s="72">
        <f>IFERROR(INDEX(SA!$C$4:$E$11,MATCH(Details!S555,SA!$C$4:$C$11,0),MATCH(Details!V555,SA!$C$4:$E$4,0)),0)*Y555/(F555-E555+1)</f>
        <v>3283.23</v>
      </c>
      <c r="AF555" s="41">
        <f t="shared" si="165"/>
        <v>0</v>
      </c>
      <c r="AG555" s="41">
        <f t="shared" si="166"/>
        <v>0</v>
      </c>
      <c r="AH555" s="41">
        <f t="shared" si="167"/>
        <v>590.98140000000001</v>
      </c>
      <c r="AI555" s="60">
        <f t="shared" si="168"/>
        <v>131.32920000000001</v>
      </c>
      <c r="AJ555" s="60">
        <f t="shared" si="169"/>
        <v>738.72675000000004</v>
      </c>
      <c r="AK555" s="60">
        <f t="shared" si="170"/>
        <v>2374.7197808219175</v>
      </c>
      <c r="AL555" s="60">
        <f t="shared" si="171"/>
        <v>1745.4190389041094</v>
      </c>
      <c r="AM555" s="41">
        <f t="shared" si="172"/>
        <v>667.7550110958905</v>
      </c>
      <c r="AN555" s="42">
        <f t="shared" si="173"/>
        <v>45715</v>
      </c>
      <c r="AO555" s="43">
        <f t="shared" si="174"/>
        <v>3283.23</v>
      </c>
    </row>
    <row r="556" spans="1:41" s="24" customFormat="1" ht="15.75" customHeight="1" x14ac:dyDescent="0.35">
      <c r="A556" s="36" t="s">
        <v>27</v>
      </c>
      <c r="B556" s="36">
        <v>202506</v>
      </c>
      <c r="C556" s="24" t="s">
        <v>128</v>
      </c>
      <c r="D556" s="24" t="s">
        <v>129</v>
      </c>
      <c r="E556" s="62">
        <v>45818</v>
      </c>
      <c r="F556" s="62">
        <v>46182</v>
      </c>
      <c r="G556" s="37" t="s">
        <v>682</v>
      </c>
      <c r="H556" s="36">
        <v>2312</v>
      </c>
      <c r="I556" s="63">
        <v>44436</v>
      </c>
      <c r="J556" s="24" t="s">
        <v>1332</v>
      </c>
      <c r="K556" s="63">
        <f t="shared" si="158"/>
        <v>45818</v>
      </c>
      <c r="L556" s="55">
        <f t="shared" si="159"/>
        <v>0.04</v>
      </c>
      <c r="M556" s="76">
        <v>0.22500000000000001</v>
      </c>
      <c r="N556" s="62">
        <v>45818</v>
      </c>
      <c r="O556" s="62">
        <v>46182</v>
      </c>
      <c r="P556" s="63"/>
      <c r="Q556" s="63"/>
      <c r="R556" s="82">
        <v>3</v>
      </c>
      <c r="S556" s="63" t="str">
        <f>VLOOKUP(R556,SA!$B$5:$C$11,2,1)</f>
        <v>0-35</v>
      </c>
      <c r="T556" s="38" t="s">
        <v>96</v>
      </c>
      <c r="U556" s="24" t="s">
        <v>114</v>
      </c>
      <c r="V556" s="24">
        <v>300000</v>
      </c>
      <c r="W556" s="39">
        <f t="shared" si="160"/>
        <v>0</v>
      </c>
      <c r="X556" s="29">
        <f t="shared" si="161"/>
        <v>0</v>
      </c>
      <c r="Y556" s="40">
        <f t="shared" si="162"/>
        <v>365</v>
      </c>
      <c r="Z556" s="38">
        <f t="shared" si="157"/>
        <v>46081</v>
      </c>
      <c r="AA556" s="41">
        <f t="shared" si="163"/>
        <v>264</v>
      </c>
      <c r="AB556" s="24" t="s">
        <v>125</v>
      </c>
      <c r="AC556" s="41">
        <f t="shared" si="164"/>
        <v>3874.2114000000001</v>
      </c>
      <c r="AD556" s="41">
        <v>1</v>
      </c>
      <c r="AE556" s="72">
        <f>IFERROR(INDEX(SA!$C$4:$E$11,MATCH(Details!S556,SA!$C$4:$C$11,0),MATCH(Details!V556,SA!$C$4:$E$4,0)),0)*Y556/(F556-E556+1)</f>
        <v>3283.23</v>
      </c>
      <c r="AF556" s="41">
        <f t="shared" si="165"/>
        <v>0</v>
      </c>
      <c r="AG556" s="41">
        <f t="shared" si="166"/>
        <v>0</v>
      </c>
      <c r="AH556" s="41">
        <f t="shared" si="167"/>
        <v>590.98140000000001</v>
      </c>
      <c r="AI556" s="60">
        <f t="shared" si="168"/>
        <v>131.32920000000001</v>
      </c>
      <c r="AJ556" s="60">
        <f t="shared" si="169"/>
        <v>738.72675000000004</v>
      </c>
      <c r="AK556" s="60">
        <f t="shared" si="170"/>
        <v>2374.7197808219175</v>
      </c>
      <c r="AL556" s="60">
        <f t="shared" si="171"/>
        <v>1745.4190389041094</v>
      </c>
      <c r="AM556" s="41">
        <f t="shared" si="172"/>
        <v>667.7550110958905</v>
      </c>
      <c r="AN556" s="42">
        <f t="shared" si="173"/>
        <v>45715</v>
      </c>
      <c r="AO556" s="43">
        <f t="shared" si="174"/>
        <v>3283.23</v>
      </c>
    </row>
    <row r="557" spans="1:41" s="24" customFormat="1" ht="15.75" customHeight="1" x14ac:dyDescent="0.35">
      <c r="A557" s="36" t="s">
        <v>27</v>
      </c>
      <c r="B557" s="36">
        <v>202506</v>
      </c>
      <c r="C557" s="24" t="s">
        <v>128</v>
      </c>
      <c r="D557" s="24" t="s">
        <v>129</v>
      </c>
      <c r="E557" s="62">
        <v>45818</v>
      </c>
      <c r="F557" s="62">
        <v>46182</v>
      </c>
      <c r="G557" s="37" t="s">
        <v>683</v>
      </c>
      <c r="H557" s="36">
        <v>2313</v>
      </c>
      <c r="I557" s="63">
        <v>34493</v>
      </c>
      <c r="J557" s="24" t="s">
        <v>1333</v>
      </c>
      <c r="K557" s="63">
        <f t="shared" si="158"/>
        <v>45818</v>
      </c>
      <c r="L557" s="55">
        <f t="shared" si="159"/>
        <v>0.04</v>
      </c>
      <c r="M557" s="76">
        <v>0.22500000000000001</v>
      </c>
      <c r="N557" s="62">
        <v>45818</v>
      </c>
      <c r="O557" s="62">
        <v>46182</v>
      </c>
      <c r="P557" s="63"/>
      <c r="Q557" s="63"/>
      <c r="R557" s="82">
        <v>31</v>
      </c>
      <c r="S557" s="63" t="str">
        <f>VLOOKUP(R557,SA!$B$5:$C$11,2,1)</f>
        <v>0-35</v>
      </c>
      <c r="T557" s="38" t="s">
        <v>96</v>
      </c>
      <c r="U557" s="24" t="s">
        <v>56</v>
      </c>
      <c r="V557" s="24">
        <v>300000</v>
      </c>
      <c r="W557" s="39">
        <f t="shared" si="160"/>
        <v>300000</v>
      </c>
      <c r="X557" s="29">
        <f t="shared" si="161"/>
        <v>1</v>
      </c>
      <c r="Y557" s="40">
        <f t="shared" si="162"/>
        <v>365</v>
      </c>
      <c r="Z557" s="38">
        <f t="shared" si="157"/>
        <v>46081</v>
      </c>
      <c r="AA557" s="41">
        <f t="shared" si="163"/>
        <v>264</v>
      </c>
      <c r="AB557" s="24" t="s">
        <v>125</v>
      </c>
      <c r="AC557" s="41">
        <f t="shared" si="164"/>
        <v>3874.2114000000001</v>
      </c>
      <c r="AD557" s="41">
        <v>1</v>
      </c>
      <c r="AE557" s="72">
        <f>IFERROR(INDEX(SA!$C$4:$E$11,MATCH(Details!S557,SA!$C$4:$C$11,0),MATCH(Details!V557,SA!$C$4:$E$4,0)),0)*Y557/(F557-E557+1)</f>
        <v>3283.23</v>
      </c>
      <c r="AF557" s="41">
        <f t="shared" si="165"/>
        <v>0</v>
      </c>
      <c r="AG557" s="41">
        <f t="shared" si="166"/>
        <v>0</v>
      </c>
      <c r="AH557" s="41">
        <f t="shared" si="167"/>
        <v>590.98140000000001</v>
      </c>
      <c r="AI557" s="60">
        <f t="shared" si="168"/>
        <v>131.32920000000001</v>
      </c>
      <c r="AJ557" s="60">
        <f t="shared" si="169"/>
        <v>738.72675000000004</v>
      </c>
      <c r="AK557" s="60">
        <f t="shared" si="170"/>
        <v>2374.7197808219175</v>
      </c>
      <c r="AL557" s="60">
        <f t="shared" si="171"/>
        <v>1745.4190389041094</v>
      </c>
      <c r="AM557" s="41">
        <f t="shared" si="172"/>
        <v>667.7550110958905</v>
      </c>
      <c r="AN557" s="42">
        <f t="shared" si="173"/>
        <v>45715</v>
      </c>
      <c r="AO557" s="43">
        <f t="shared" si="174"/>
        <v>3283.23</v>
      </c>
    </row>
    <row r="558" spans="1:41" s="24" customFormat="1" ht="15.75" customHeight="1" x14ac:dyDescent="0.35">
      <c r="A558" s="36" t="s">
        <v>27</v>
      </c>
      <c r="B558" s="36">
        <v>202506</v>
      </c>
      <c r="C558" s="24" t="s">
        <v>128</v>
      </c>
      <c r="D558" s="24" t="s">
        <v>129</v>
      </c>
      <c r="E558" s="62">
        <v>45818</v>
      </c>
      <c r="F558" s="62">
        <v>46182</v>
      </c>
      <c r="G558" s="37" t="s">
        <v>684</v>
      </c>
      <c r="H558" s="36">
        <v>2313</v>
      </c>
      <c r="I558" s="63">
        <v>36651</v>
      </c>
      <c r="J558" s="24" t="s">
        <v>1334</v>
      </c>
      <c r="K558" s="63">
        <f t="shared" si="158"/>
        <v>45818</v>
      </c>
      <c r="L558" s="55">
        <f t="shared" si="159"/>
        <v>0.04</v>
      </c>
      <c r="M558" s="76">
        <v>0.22500000000000001</v>
      </c>
      <c r="N558" s="62">
        <v>45818</v>
      </c>
      <c r="O558" s="62">
        <v>46182</v>
      </c>
      <c r="P558" s="63"/>
      <c r="Q558" s="63"/>
      <c r="R558" s="82">
        <v>25</v>
      </c>
      <c r="S558" s="63" t="str">
        <f>VLOOKUP(R558,SA!$B$5:$C$11,2,1)</f>
        <v>0-35</v>
      </c>
      <c r="T558" s="38" t="s">
        <v>97</v>
      </c>
      <c r="U558" s="24" t="s">
        <v>115</v>
      </c>
      <c r="V558" s="24">
        <v>300000</v>
      </c>
      <c r="W558" s="39">
        <f t="shared" si="160"/>
        <v>0</v>
      </c>
      <c r="X558" s="29">
        <f t="shared" si="161"/>
        <v>0</v>
      </c>
      <c r="Y558" s="40">
        <f t="shared" si="162"/>
        <v>365</v>
      </c>
      <c r="Z558" s="38">
        <f t="shared" si="157"/>
        <v>46081</v>
      </c>
      <c r="AA558" s="41">
        <f t="shared" si="163"/>
        <v>264</v>
      </c>
      <c r="AB558" s="24" t="s">
        <v>125</v>
      </c>
      <c r="AC558" s="41">
        <f t="shared" si="164"/>
        <v>3874.2114000000001</v>
      </c>
      <c r="AD558" s="41">
        <v>1</v>
      </c>
      <c r="AE558" s="72">
        <f>IFERROR(INDEX(SA!$C$4:$E$11,MATCH(Details!S558,SA!$C$4:$C$11,0),MATCH(Details!V558,SA!$C$4:$E$4,0)),0)*Y558/(F558-E558+1)</f>
        <v>3283.23</v>
      </c>
      <c r="AF558" s="41">
        <f t="shared" si="165"/>
        <v>0</v>
      </c>
      <c r="AG558" s="41">
        <f t="shared" si="166"/>
        <v>0</v>
      </c>
      <c r="AH558" s="41">
        <f t="shared" si="167"/>
        <v>590.98140000000001</v>
      </c>
      <c r="AI558" s="60">
        <f t="shared" si="168"/>
        <v>131.32920000000001</v>
      </c>
      <c r="AJ558" s="60">
        <f t="shared" si="169"/>
        <v>738.72675000000004</v>
      </c>
      <c r="AK558" s="60">
        <f t="shared" si="170"/>
        <v>2374.7197808219175</v>
      </c>
      <c r="AL558" s="60">
        <f t="shared" si="171"/>
        <v>1745.4190389041094</v>
      </c>
      <c r="AM558" s="41">
        <f t="shared" si="172"/>
        <v>667.7550110958905</v>
      </c>
      <c r="AN558" s="42">
        <f t="shared" si="173"/>
        <v>45715</v>
      </c>
      <c r="AO558" s="43">
        <f t="shared" si="174"/>
        <v>3283.23</v>
      </c>
    </row>
    <row r="559" spans="1:41" s="24" customFormat="1" ht="15.75" customHeight="1" x14ac:dyDescent="0.35">
      <c r="A559" s="36" t="s">
        <v>27</v>
      </c>
      <c r="B559" s="36">
        <v>202506</v>
      </c>
      <c r="C559" s="24" t="s">
        <v>128</v>
      </c>
      <c r="D559" s="24" t="s">
        <v>129</v>
      </c>
      <c r="E559" s="62">
        <v>45818</v>
      </c>
      <c r="F559" s="62">
        <v>46182</v>
      </c>
      <c r="G559" s="37" t="s">
        <v>685</v>
      </c>
      <c r="H559" s="36">
        <v>2313</v>
      </c>
      <c r="I559" s="63">
        <v>44671</v>
      </c>
      <c r="J559" s="24" t="s">
        <v>1335</v>
      </c>
      <c r="K559" s="63">
        <f t="shared" si="158"/>
        <v>45818</v>
      </c>
      <c r="L559" s="55">
        <f t="shared" si="159"/>
        <v>0.04</v>
      </c>
      <c r="M559" s="76">
        <v>0.22500000000000001</v>
      </c>
      <c r="N559" s="62">
        <v>45818</v>
      </c>
      <c r="O559" s="62">
        <v>46182</v>
      </c>
      <c r="P559" s="63"/>
      <c r="Q559" s="63"/>
      <c r="R559" s="82">
        <v>3</v>
      </c>
      <c r="S559" s="63" t="str">
        <f>VLOOKUP(R559,SA!$B$5:$C$11,2,1)</f>
        <v>0-35</v>
      </c>
      <c r="T559" s="38" t="s">
        <v>97</v>
      </c>
      <c r="U559" s="24" t="s">
        <v>113</v>
      </c>
      <c r="V559" s="24">
        <v>300000</v>
      </c>
      <c r="W559" s="39">
        <f t="shared" si="160"/>
        <v>0</v>
      </c>
      <c r="X559" s="29">
        <f t="shared" si="161"/>
        <v>0</v>
      </c>
      <c r="Y559" s="40">
        <f t="shared" si="162"/>
        <v>365</v>
      </c>
      <c r="Z559" s="38">
        <f t="shared" si="157"/>
        <v>46081</v>
      </c>
      <c r="AA559" s="41">
        <f t="shared" si="163"/>
        <v>264</v>
      </c>
      <c r="AB559" s="24" t="s">
        <v>125</v>
      </c>
      <c r="AC559" s="41">
        <f t="shared" si="164"/>
        <v>3874.2114000000001</v>
      </c>
      <c r="AD559" s="41">
        <v>1</v>
      </c>
      <c r="AE559" s="72">
        <f>IFERROR(INDEX(SA!$C$4:$E$11,MATCH(Details!S559,SA!$C$4:$C$11,0),MATCH(Details!V559,SA!$C$4:$E$4,0)),0)*Y559/(F559-E559+1)</f>
        <v>3283.23</v>
      </c>
      <c r="AF559" s="41">
        <f t="shared" si="165"/>
        <v>0</v>
      </c>
      <c r="AG559" s="41">
        <f t="shared" si="166"/>
        <v>0</v>
      </c>
      <c r="AH559" s="41">
        <f t="shared" si="167"/>
        <v>590.98140000000001</v>
      </c>
      <c r="AI559" s="60">
        <f t="shared" si="168"/>
        <v>131.32920000000001</v>
      </c>
      <c r="AJ559" s="60">
        <f t="shared" si="169"/>
        <v>738.72675000000004</v>
      </c>
      <c r="AK559" s="60">
        <f t="shared" si="170"/>
        <v>2374.7197808219175</v>
      </c>
      <c r="AL559" s="60">
        <f t="shared" si="171"/>
        <v>1745.4190389041094</v>
      </c>
      <c r="AM559" s="41">
        <f t="shared" si="172"/>
        <v>667.7550110958905</v>
      </c>
      <c r="AN559" s="42">
        <f t="shared" si="173"/>
        <v>45715</v>
      </c>
      <c r="AO559" s="43">
        <f t="shared" si="174"/>
        <v>3283.23</v>
      </c>
    </row>
    <row r="560" spans="1:41" s="24" customFormat="1" ht="15.75" customHeight="1" x14ac:dyDescent="0.35">
      <c r="A560" s="36" t="s">
        <v>27</v>
      </c>
      <c r="B560" s="36">
        <v>202506</v>
      </c>
      <c r="C560" s="24" t="s">
        <v>128</v>
      </c>
      <c r="D560" s="24" t="s">
        <v>129</v>
      </c>
      <c r="E560" s="62">
        <v>45818</v>
      </c>
      <c r="F560" s="62">
        <v>46182</v>
      </c>
      <c r="G560" s="37" t="s">
        <v>686</v>
      </c>
      <c r="H560" s="36">
        <v>2317</v>
      </c>
      <c r="I560" s="63">
        <v>36052</v>
      </c>
      <c r="J560" s="24" t="s">
        <v>1336</v>
      </c>
      <c r="K560" s="63">
        <f t="shared" si="158"/>
        <v>45818</v>
      </c>
      <c r="L560" s="55">
        <f t="shared" si="159"/>
        <v>0.04</v>
      </c>
      <c r="M560" s="76">
        <v>0.22500000000000001</v>
      </c>
      <c r="N560" s="62">
        <v>45818</v>
      </c>
      <c r="O560" s="62">
        <v>46182</v>
      </c>
      <c r="P560" s="63"/>
      <c r="Q560" s="63"/>
      <c r="R560" s="82">
        <v>26</v>
      </c>
      <c r="S560" s="63" t="str">
        <f>VLOOKUP(R560,SA!$B$5:$C$11,2,1)</f>
        <v>0-35</v>
      </c>
      <c r="T560" s="38" t="s">
        <v>97</v>
      </c>
      <c r="U560" s="24" t="s">
        <v>56</v>
      </c>
      <c r="V560" s="24">
        <v>300000</v>
      </c>
      <c r="W560" s="39">
        <f t="shared" si="160"/>
        <v>300000</v>
      </c>
      <c r="X560" s="29">
        <f t="shared" si="161"/>
        <v>1</v>
      </c>
      <c r="Y560" s="40">
        <f t="shared" si="162"/>
        <v>365</v>
      </c>
      <c r="Z560" s="38">
        <f t="shared" si="157"/>
        <v>46081</v>
      </c>
      <c r="AA560" s="41">
        <f t="shared" si="163"/>
        <v>264</v>
      </c>
      <c r="AB560" s="24" t="s">
        <v>125</v>
      </c>
      <c r="AC560" s="41">
        <f t="shared" si="164"/>
        <v>3874.2114000000001</v>
      </c>
      <c r="AD560" s="41">
        <v>1</v>
      </c>
      <c r="AE560" s="72">
        <f>IFERROR(INDEX(SA!$C$4:$E$11,MATCH(Details!S560,SA!$C$4:$C$11,0),MATCH(Details!V560,SA!$C$4:$E$4,0)),0)*Y560/(F560-E560+1)</f>
        <v>3283.23</v>
      </c>
      <c r="AF560" s="41">
        <f t="shared" si="165"/>
        <v>0</v>
      </c>
      <c r="AG560" s="41">
        <f t="shared" si="166"/>
        <v>0</v>
      </c>
      <c r="AH560" s="41">
        <f t="shared" si="167"/>
        <v>590.98140000000001</v>
      </c>
      <c r="AI560" s="60">
        <f t="shared" si="168"/>
        <v>131.32920000000001</v>
      </c>
      <c r="AJ560" s="60">
        <f t="shared" si="169"/>
        <v>738.72675000000004</v>
      </c>
      <c r="AK560" s="60">
        <f t="shared" si="170"/>
        <v>2374.7197808219175</v>
      </c>
      <c r="AL560" s="60">
        <f t="shared" si="171"/>
        <v>1745.4190389041094</v>
      </c>
      <c r="AM560" s="41">
        <f t="shared" si="172"/>
        <v>667.7550110958905</v>
      </c>
      <c r="AN560" s="42">
        <f t="shared" si="173"/>
        <v>45715</v>
      </c>
      <c r="AO560" s="43">
        <f t="shared" si="174"/>
        <v>3283.23</v>
      </c>
    </row>
    <row r="561" spans="1:41" s="24" customFormat="1" ht="15.75" customHeight="1" x14ac:dyDescent="0.35">
      <c r="A561" s="36" t="s">
        <v>27</v>
      </c>
      <c r="B561" s="36">
        <v>202506</v>
      </c>
      <c r="C561" s="24" t="s">
        <v>128</v>
      </c>
      <c r="D561" s="24" t="s">
        <v>129</v>
      </c>
      <c r="E561" s="62">
        <v>45818</v>
      </c>
      <c r="F561" s="62">
        <v>46182</v>
      </c>
      <c r="G561" s="37" t="s">
        <v>687</v>
      </c>
      <c r="H561" s="36">
        <v>2318</v>
      </c>
      <c r="I561" s="63">
        <v>37162</v>
      </c>
      <c r="J561" s="24" t="s">
        <v>1337</v>
      </c>
      <c r="K561" s="63">
        <f t="shared" si="158"/>
        <v>45818</v>
      </c>
      <c r="L561" s="55">
        <f t="shared" si="159"/>
        <v>0.04</v>
      </c>
      <c r="M561" s="76">
        <v>0.22500000000000001</v>
      </c>
      <c r="N561" s="62">
        <v>45818</v>
      </c>
      <c r="O561" s="62">
        <v>46182</v>
      </c>
      <c r="P561" s="63"/>
      <c r="Q561" s="63"/>
      <c r="R561" s="82">
        <v>23</v>
      </c>
      <c r="S561" s="63" t="str">
        <f>VLOOKUP(R561,SA!$B$5:$C$11,2,1)</f>
        <v>0-35</v>
      </c>
      <c r="T561" s="38" t="s">
        <v>96</v>
      </c>
      <c r="U561" s="24" t="s">
        <v>56</v>
      </c>
      <c r="V561" s="24">
        <v>300000</v>
      </c>
      <c r="W561" s="39">
        <f t="shared" si="160"/>
        <v>300000</v>
      </c>
      <c r="X561" s="29">
        <f t="shared" si="161"/>
        <v>1</v>
      </c>
      <c r="Y561" s="40">
        <f t="shared" si="162"/>
        <v>365</v>
      </c>
      <c r="Z561" s="38">
        <f t="shared" si="157"/>
        <v>46081</v>
      </c>
      <c r="AA561" s="41">
        <f t="shared" si="163"/>
        <v>264</v>
      </c>
      <c r="AB561" s="24" t="s">
        <v>125</v>
      </c>
      <c r="AC561" s="41">
        <f t="shared" si="164"/>
        <v>3874.2114000000001</v>
      </c>
      <c r="AD561" s="41">
        <v>1</v>
      </c>
      <c r="AE561" s="72">
        <f>IFERROR(INDEX(SA!$C$4:$E$11,MATCH(Details!S561,SA!$C$4:$C$11,0),MATCH(Details!V561,SA!$C$4:$E$4,0)),0)*Y561/(F561-E561+1)</f>
        <v>3283.23</v>
      </c>
      <c r="AF561" s="41">
        <f t="shared" si="165"/>
        <v>0</v>
      </c>
      <c r="AG561" s="41">
        <f t="shared" si="166"/>
        <v>0</v>
      </c>
      <c r="AH561" s="41">
        <f t="shared" si="167"/>
        <v>590.98140000000001</v>
      </c>
      <c r="AI561" s="60">
        <f t="shared" si="168"/>
        <v>131.32920000000001</v>
      </c>
      <c r="AJ561" s="60">
        <f t="shared" si="169"/>
        <v>738.72675000000004</v>
      </c>
      <c r="AK561" s="60">
        <f t="shared" si="170"/>
        <v>2374.7197808219175</v>
      </c>
      <c r="AL561" s="60">
        <f t="shared" si="171"/>
        <v>1745.4190389041094</v>
      </c>
      <c r="AM561" s="41">
        <f t="shared" si="172"/>
        <v>667.7550110958905</v>
      </c>
      <c r="AN561" s="42">
        <f t="shared" si="173"/>
        <v>45715</v>
      </c>
      <c r="AO561" s="43">
        <f t="shared" si="174"/>
        <v>3283.23</v>
      </c>
    </row>
    <row r="562" spans="1:41" s="24" customFormat="1" ht="15.75" customHeight="1" x14ac:dyDescent="0.35">
      <c r="A562" s="36" t="s">
        <v>27</v>
      </c>
      <c r="B562" s="36">
        <v>202506</v>
      </c>
      <c r="C562" s="24" t="s">
        <v>128</v>
      </c>
      <c r="D562" s="24" t="s">
        <v>129</v>
      </c>
      <c r="E562" s="62">
        <v>45818</v>
      </c>
      <c r="F562" s="62">
        <v>46182</v>
      </c>
      <c r="G562" s="37" t="s">
        <v>688</v>
      </c>
      <c r="H562" s="36">
        <v>2319</v>
      </c>
      <c r="I562" s="63">
        <v>28578</v>
      </c>
      <c r="J562" s="24" t="s">
        <v>1338</v>
      </c>
      <c r="K562" s="63">
        <f t="shared" si="158"/>
        <v>45818</v>
      </c>
      <c r="L562" s="55">
        <f t="shared" si="159"/>
        <v>0.04</v>
      </c>
      <c r="M562" s="76">
        <v>0.22500000000000001</v>
      </c>
      <c r="N562" s="62">
        <v>45818</v>
      </c>
      <c r="O562" s="62">
        <v>46182</v>
      </c>
      <c r="P562" s="63"/>
      <c r="Q562" s="63"/>
      <c r="R562" s="82">
        <v>47</v>
      </c>
      <c r="S562" s="63" t="str">
        <f>VLOOKUP(R562,SA!$B$5:$C$11,2,1)</f>
        <v>46-55</v>
      </c>
      <c r="T562" s="38" t="s">
        <v>96</v>
      </c>
      <c r="U562" s="24" t="s">
        <v>56</v>
      </c>
      <c r="V562" s="24">
        <v>300000</v>
      </c>
      <c r="W562" s="39">
        <f t="shared" si="160"/>
        <v>300000</v>
      </c>
      <c r="X562" s="29">
        <f t="shared" si="161"/>
        <v>1</v>
      </c>
      <c r="Y562" s="40">
        <f t="shared" si="162"/>
        <v>365</v>
      </c>
      <c r="Z562" s="38">
        <f t="shared" si="157"/>
        <v>46081</v>
      </c>
      <c r="AA562" s="41">
        <f t="shared" si="163"/>
        <v>264</v>
      </c>
      <c r="AB562" s="24" t="s">
        <v>125</v>
      </c>
      <c r="AC562" s="41">
        <f t="shared" si="164"/>
        <v>9586.9925999999996</v>
      </c>
      <c r="AD562" s="41">
        <v>1</v>
      </c>
      <c r="AE562" s="72">
        <f>IFERROR(INDEX(SA!$C$4:$E$11,MATCH(Details!S562,SA!$C$4:$C$11,0),MATCH(Details!V562,SA!$C$4:$E$4,0)),0)*Y562/(F562-E562+1)</f>
        <v>8124.57</v>
      </c>
      <c r="AF562" s="41">
        <f t="shared" si="165"/>
        <v>0</v>
      </c>
      <c r="AG562" s="41">
        <f t="shared" si="166"/>
        <v>0</v>
      </c>
      <c r="AH562" s="41">
        <f t="shared" si="167"/>
        <v>1462.4225999999999</v>
      </c>
      <c r="AI562" s="60">
        <f t="shared" si="168"/>
        <v>324.9828</v>
      </c>
      <c r="AJ562" s="60">
        <f t="shared" si="169"/>
        <v>1828.0282500000001</v>
      </c>
      <c r="AK562" s="60">
        <f t="shared" si="170"/>
        <v>5876.4013150684932</v>
      </c>
      <c r="AL562" s="60">
        <f t="shared" si="171"/>
        <v>4319.1549665753428</v>
      </c>
      <c r="AM562" s="41">
        <f t="shared" si="172"/>
        <v>1652.4039834246571</v>
      </c>
      <c r="AN562" s="42">
        <f t="shared" si="173"/>
        <v>45715</v>
      </c>
      <c r="AO562" s="43">
        <f t="shared" si="174"/>
        <v>8124.57</v>
      </c>
    </row>
    <row r="563" spans="1:41" s="24" customFormat="1" ht="15.75" customHeight="1" x14ac:dyDescent="0.35">
      <c r="A563" s="36" t="s">
        <v>27</v>
      </c>
      <c r="B563" s="36">
        <v>202506</v>
      </c>
      <c r="C563" s="24" t="s">
        <v>128</v>
      </c>
      <c r="D563" s="24" t="s">
        <v>129</v>
      </c>
      <c r="E563" s="62">
        <v>45818</v>
      </c>
      <c r="F563" s="62">
        <v>46182</v>
      </c>
      <c r="G563" s="37" t="s">
        <v>689</v>
      </c>
      <c r="H563" s="36">
        <v>2319</v>
      </c>
      <c r="I563" s="63">
        <v>29578</v>
      </c>
      <c r="J563" s="24" t="s">
        <v>1339</v>
      </c>
      <c r="K563" s="63">
        <f t="shared" si="158"/>
        <v>45818</v>
      </c>
      <c r="L563" s="55">
        <f t="shared" si="159"/>
        <v>0.04</v>
      </c>
      <c r="M563" s="76">
        <v>0.22500000000000001</v>
      </c>
      <c r="N563" s="62">
        <v>45818</v>
      </c>
      <c r="O563" s="62">
        <v>46182</v>
      </c>
      <c r="P563" s="63"/>
      <c r="Q563" s="63"/>
      <c r="R563" s="82">
        <v>44</v>
      </c>
      <c r="S563" s="63" t="str">
        <f>VLOOKUP(R563,SA!$B$5:$C$11,2,1)</f>
        <v>36-45</v>
      </c>
      <c r="T563" s="38" t="s">
        <v>97</v>
      </c>
      <c r="U563" s="24" t="s">
        <v>115</v>
      </c>
      <c r="V563" s="24">
        <v>300000</v>
      </c>
      <c r="W563" s="39">
        <f t="shared" si="160"/>
        <v>0</v>
      </c>
      <c r="X563" s="29">
        <f t="shared" si="161"/>
        <v>0</v>
      </c>
      <c r="Y563" s="40">
        <f t="shared" si="162"/>
        <v>365</v>
      </c>
      <c r="Z563" s="38">
        <f t="shared" si="157"/>
        <v>46081</v>
      </c>
      <c r="AA563" s="41">
        <f t="shared" si="163"/>
        <v>264</v>
      </c>
      <c r="AB563" s="24" t="s">
        <v>125</v>
      </c>
      <c r="AC563" s="41">
        <f t="shared" si="164"/>
        <v>5017.3245999999999</v>
      </c>
      <c r="AD563" s="41">
        <v>1</v>
      </c>
      <c r="AE563" s="72">
        <f>IFERROR(INDEX(SA!$C$4:$E$11,MATCH(Details!S563,SA!$C$4:$C$11,0),MATCH(Details!V563,SA!$C$4:$E$4,0)),0)*Y563/(F563-E563+1)</f>
        <v>4251.97</v>
      </c>
      <c r="AF563" s="41">
        <f t="shared" si="165"/>
        <v>0</v>
      </c>
      <c r="AG563" s="41">
        <f t="shared" si="166"/>
        <v>0</v>
      </c>
      <c r="AH563" s="41">
        <f t="shared" si="167"/>
        <v>765.3546</v>
      </c>
      <c r="AI563" s="60">
        <f t="shared" si="168"/>
        <v>170.0788</v>
      </c>
      <c r="AJ563" s="60">
        <f t="shared" si="169"/>
        <v>956.69325000000003</v>
      </c>
      <c r="AK563" s="60">
        <f t="shared" si="170"/>
        <v>3075.397479452055</v>
      </c>
      <c r="AL563" s="60">
        <f t="shared" si="171"/>
        <v>2260.4171473972606</v>
      </c>
      <c r="AM563" s="41">
        <f t="shared" si="172"/>
        <v>864.78080260273941</v>
      </c>
      <c r="AN563" s="42">
        <f t="shared" si="173"/>
        <v>45715</v>
      </c>
      <c r="AO563" s="43">
        <f t="shared" si="174"/>
        <v>4251.97</v>
      </c>
    </row>
    <row r="564" spans="1:41" s="24" customFormat="1" ht="15.75" customHeight="1" x14ac:dyDescent="0.35">
      <c r="A564" s="36" t="s">
        <v>27</v>
      </c>
      <c r="B564" s="36">
        <v>202506</v>
      </c>
      <c r="C564" s="24" t="s">
        <v>128</v>
      </c>
      <c r="D564" s="24" t="s">
        <v>129</v>
      </c>
      <c r="E564" s="62">
        <v>45818</v>
      </c>
      <c r="F564" s="62">
        <v>46182</v>
      </c>
      <c r="G564" s="37" t="s">
        <v>690</v>
      </c>
      <c r="H564" s="36">
        <v>2319</v>
      </c>
      <c r="I564" s="63">
        <v>41196</v>
      </c>
      <c r="J564" s="24" t="s">
        <v>1340</v>
      </c>
      <c r="K564" s="63">
        <f t="shared" si="158"/>
        <v>45818</v>
      </c>
      <c r="L564" s="55">
        <f t="shared" si="159"/>
        <v>0.04</v>
      </c>
      <c r="M564" s="76">
        <v>0.22500000000000001</v>
      </c>
      <c r="N564" s="62">
        <v>45818</v>
      </c>
      <c r="O564" s="62">
        <v>46182</v>
      </c>
      <c r="P564" s="63"/>
      <c r="Q564" s="63"/>
      <c r="R564" s="82">
        <v>12</v>
      </c>
      <c r="S564" s="63" t="str">
        <f>VLOOKUP(R564,SA!$B$5:$C$11,2,1)</f>
        <v>0-35</v>
      </c>
      <c r="T564" s="38" t="s">
        <v>97</v>
      </c>
      <c r="U564" s="24" t="s">
        <v>113</v>
      </c>
      <c r="V564" s="24">
        <v>300000</v>
      </c>
      <c r="W564" s="39">
        <f t="shared" si="160"/>
        <v>0</v>
      </c>
      <c r="X564" s="29">
        <f t="shared" si="161"/>
        <v>0</v>
      </c>
      <c r="Y564" s="40">
        <f t="shared" si="162"/>
        <v>365</v>
      </c>
      <c r="Z564" s="38">
        <f t="shared" si="157"/>
        <v>46081</v>
      </c>
      <c r="AA564" s="41">
        <f t="shared" si="163"/>
        <v>264</v>
      </c>
      <c r="AB564" s="24" t="s">
        <v>125</v>
      </c>
      <c r="AC564" s="41">
        <f t="shared" si="164"/>
        <v>3874.2114000000001</v>
      </c>
      <c r="AD564" s="41">
        <v>1</v>
      </c>
      <c r="AE564" s="72">
        <f>IFERROR(INDEX(SA!$C$4:$E$11,MATCH(Details!S564,SA!$C$4:$C$11,0),MATCH(Details!V564,SA!$C$4:$E$4,0)),0)*Y564/(F564-E564+1)</f>
        <v>3283.23</v>
      </c>
      <c r="AF564" s="41">
        <f t="shared" si="165"/>
        <v>0</v>
      </c>
      <c r="AG564" s="41">
        <f t="shared" si="166"/>
        <v>0</v>
      </c>
      <c r="AH564" s="41">
        <f t="shared" si="167"/>
        <v>590.98140000000001</v>
      </c>
      <c r="AI564" s="60">
        <f t="shared" si="168"/>
        <v>131.32920000000001</v>
      </c>
      <c r="AJ564" s="60">
        <f t="shared" si="169"/>
        <v>738.72675000000004</v>
      </c>
      <c r="AK564" s="60">
        <f t="shared" si="170"/>
        <v>2374.7197808219175</v>
      </c>
      <c r="AL564" s="60">
        <f t="shared" si="171"/>
        <v>1745.4190389041094</v>
      </c>
      <c r="AM564" s="41">
        <f t="shared" si="172"/>
        <v>667.7550110958905</v>
      </c>
      <c r="AN564" s="42">
        <f t="shared" si="173"/>
        <v>45715</v>
      </c>
      <c r="AO564" s="43">
        <f t="shared" si="174"/>
        <v>3283.23</v>
      </c>
    </row>
    <row r="565" spans="1:41" s="24" customFormat="1" ht="15.75" customHeight="1" x14ac:dyDescent="0.35">
      <c r="A565" s="36" t="s">
        <v>27</v>
      </c>
      <c r="B565" s="36">
        <v>202506</v>
      </c>
      <c r="C565" s="24" t="s">
        <v>128</v>
      </c>
      <c r="D565" s="24" t="s">
        <v>129</v>
      </c>
      <c r="E565" s="62">
        <v>45818</v>
      </c>
      <c r="F565" s="62">
        <v>46182</v>
      </c>
      <c r="G565" s="37" t="s">
        <v>691</v>
      </c>
      <c r="H565" s="36">
        <v>2319</v>
      </c>
      <c r="I565" s="63">
        <v>42207</v>
      </c>
      <c r="J565" s="24" t="s">
        <v>1341</v>
      </c>
      <c r="K565" s="63">
        <f t="shared" si="158"/>
        <v>45818</v>
      </c>
      <c r="L565" s="55">
        <f t="shared" si="159"/>
        <v>0.04</v>
      </c>
      <c r="M565" s="76">
        <v>0.22500000000000001</v>
      </c>
      <c r="N565" s="62">
        <v>45818</v>
      </c>
      <c r="O565" s="62">
        <v>46182</v>
      </c>
      <c r="P565" s="63"/>
      <c r="Q565" s="63"/>
      <c r="R565" s="82">
        <v>9</v>
      </c>
      <c r="S565" s="63" t="str">
        <f>VLOOKUP(R565,SA!$B$5:$C$11,2,1)</f>
        <v>0-35</v>
      </c>
      <c r="T565" s="38" t="s">
        <v>97</v>
      </c>
      <c r="U565" s="24" t="s">
        <v>113</v>
      </c>
      <c r="V565" s="24">
        <v>300000</v>
      </c>
      <c r="W565" s="39">
        <f t="shared" si="160"/>
        <v>0</v>
      </c>
      <c r="X565" s="29">
        <f t="shared" si="161"/>
        <v>0</v>
      </c>
      <c r="Y565" s="40">
        <f t="shared" si="162"/>
        <v>365</v>
      </c>
      <c r="Z565" s="38">
        <f t="shared" si="157"/>
        <v>46081</v>
      </c>
      <c r="AA565" s="41">
        <f t="shared" si="163"/>
        <v>264</v>
      </c>
      <c r="AB565" s="24" t="s">
        <v>125</v>
      </c>
      <c r="AC565" s="41">
        <f t="shared" si="164"/>
        <v>3874.2114000000001</v>
      </c>
      <c r="AD565" s="41">
        <v>1</v>
      </c>
      <c r="AE565" s="72">
        <f>IFERROR(INDEX(SA!$C$4:$E$11,MATCH(Details!S565,SA!$C$4:$C$11,0),MATCH(Details!V565,SA!$C$4:$E$4,0)),0)*Y565/(F565-E565+1)</f>
        <v>3283.23</v>
      </c>
      <c r="AF565" s="41">
        <f t="shared" si="165"/>
        <v>0</v>
      </c>
      <c r="AG565" s="41">
        <f t="shared" si="166"/>
        <v>0</v>
      </c>
      <c r="AH565" s="41">
        <f t="shared" si="167"/>
        <v>590.98140000000001</v>
      </c>
      <c r="AI565" s="60">
        <f t="shared" si="168"/>
        <v>131.32920000000001</v>
      </c>
      <c r="AJ565" s="60">
        <f t="shared" si="169"/>
        <v>738.72675000000004</v>
      </c>
      <c r="AK565" s="60">
        <f t="shared" si="170"/>
        <v>2374.7197808219175</v>
      </c>
      <c r="AL565" s="60">
        <f t="shared" si="171"/>
        <v>1745.4190389041094</v>
      </c>
      <c r="AM565" s="41">
        <f t="shared" si="172"/>
        <v>667.7550110958905</v>
      </c>
      <c r="AN565" s="42">
        <f t="shared" si="173"/>
        <v>45715</v>
      </c>
      <c r="AO565" s="43">
        <f t="shared" si="174"/>
        <v>3283.23</v>
      </c>
    </row>
    <row r="566" spans="1:41" s="24" customFormat="1" ht="15.75" customHeight="1" x14ac:dyDescent="0.35">
      <c r="A566" s="36" t="s">
        <v>27</v>
      </c>
      <c r="B566" s="36">
        <v>202506</v>
      </c>
      <c r="C566" s="24" t="s">
        <v>128</v>
      </c>
      <c r="D566" s="24" t="s">
        <v>129</v>
      </c>
      <c r="E566" s="62">
        <v>45818</v>
      </c>
      <c r="F566" s="62">
        <v>46182</v>
      </c>
      <c r="G566" s="37" t="s">
        <v>692</v>
      </c>
      <c r="H566" s="36">
        <v>2320</v>
      </c>
      <c r="I566" s="63">
        <v>34807</v>
      </c>
      <c r="J566" s="24" t="s">
        <v>1342</v>
      </c>
      <c r="K566" s="63">
        <f t="shared" si="158"/>
        <v>45818</v>
      </c>
      <c r="L566" s="55">
        <f t="shared" si="159"/>
        <v>0.04</v>
      </c>
      <c r="M566" s="76">
        <v>0.22500000000000001</v>
      </c>
      <c r="N566" s="62">
        <v>45818</v>
      </c>
      <c r="O566" s="62">
        <v>46182</v>
      </c>
      <c r="P566" s="63"/>
      <c r="Q566" s="63"/>
      <c r="R566" s="82">
        <v>30</v>
      </c>
      <c r="S566" s="63" t="str">
        <f>VLOOKUP(R566,SA!$B$5:$C$11,2,1)</f>
        <v>0-35</v>
      </c>
      <c r="T566" s="38" t="s">
        <v>96</v>
      </c>
      <c r="U566" s="24" t="s">
        <v>56</v>
      </c>
      <c r="V566" s="24">
        <v>300000</v>
      </c>
      <c r="W566" s="39">
        <f t="shared" si="160"/>
        <v>300000</v>
      </c>
      <c r="X566" s="29">
        <f t="shared" si="161"/>
        <v>1</v>
      </c>
      <c r="Y566" s="40">
        <f t="shared" si="162"/>
        <v>365</v>
      </c>
      <c r="Z566" s="38">
        <f t="shared" si="157"/>
        <v>46081</v>
      </c>
      <c r="AA566" s="41">
        <f t="shared" si="163"/>
        <v>264</v>
      </c>
      <c r="AB566" s="24" t="s">
        <v>125</v>
      </c>
      <c r="AC566" s="41">
        <f t="shared" si="164"/>
        <v>3874.2114000000001</v>
      </c>
      <c r="AD566" s="41">
        <v>1</v>
      </c>
      <c r="AE566" s="72">
        <f>IFERROR(INDEX(SA!$C$4:$E$11,MATCH(Details!S566,SA!$C$4:$C$11,0),MATCH(Details!V566,SA!$C$4:$E$4,0)),0)*Y566/(F566-E566+1)</f>
        <v>3283.23</v>
      </c>
      <c r="AF566" s="41">
        <f t="shared" si="165"/>
        <v>0</v>
      </c>
      <c r="AG566" s="41">
        <f t="shared" si="166"/>
        <v>0</v>
      </c>
      <c r="AH566" s="41">
        <f t="shared" si="167"/>
        <v>590.98140000000001</v>
      </c>
      <c r="AI566" s="60">
        <f t="shared" si="168"/>
        <v>131.32920000000001</v>
      </c>
      <c r="AJ566" s="60">
        <f t="shared" si="169"/>
        <v>738.72675000000004</v>
      </c>
      <c r="AK566" s="60">
        <f t="shared" si="170"/>
        <v>2374.7197808219175</v>
      </c>
      <c r="AL566" s="60">
        <f t="shared" si="171"/>
        <v>1745.4190389041094</v>
      </c>
      <c r="AM566" s="41">
        <f t="shared" si="172"/>
        <v>667.7550110958905</v>
      </c>
      <c r="AN566" s="42">
        <f t="shared" si="173"/>
        <v>45715</v>
      </c>
      <c r="AO566" s="43">
        <f t="shared" si="174"/>
        <v>3283.23</v>
      </c>
    </row>
    <row r="567" spans="1:41" s="24" customFormat="1" ht="15.75" customHeight="1" x14ac:dyDescent="0.35">
      <c r="A567" s="36" t="s">
        <v>27</v>
      </c>
      <c r="B567" s="36">
        <v>202506</v>
      </c>
      <c r="C567" s="24" t="s">
        <v>128</v>
      </c>
      <c r="D567" s="24" t="s">
        <v>129</v>
      </c>
      <c r="E567" s="62">
        <v>45818</v>
      </c>
      <c r="F567" s="62">
        <v>46182</v>
      </c>
      <c r="G567" s="37" t="s">
        <v>693</v>
      </c>
      <c r="H567" s="36">
        <v>2320</v>
      </c>
      <c r="I567" s="63">
        <v>36361</v>
      </c>
      <c r="J567" s="24" t="s">
        <v>1343</v>
      </c>
      <c r="K567" s="63">
        <f t="shared" si="158"/>
        <v>45818</v>
      </c>
      <c r="L567" s="55">
        <f t="shared" si="159"/>
        <v>0.04</v>
      </c>
      <c r="M567" s="76">
        <v>0.22500000000000001</v>
      </c>
      <c r="N567" s="62">
        <v>45818</v>
      </c>
      <c r="O567" s="62">
        <v>46182</v>
      </c>
      <c r="P567" s="63"/>
      <c r="Q567" s="63"/>
      <c r="R567" s="82">
        <v>25</v>
      </c>
      <c r="S567" s="63" t="str">
        <f>VLOOKUP(R567,SA!$B$5:$C$11,2,1)</f>
        <v>0-35</v>
      </c>
      <c r="T567" s="38" t="s">
        <v>97</v>
      </c>
      <c r="U567" s="24" t="s">
        <v>115</v>
      </c>
      <c r="V567" s="24">
        <v>300000</v>
      </c>
      <c r="W567" s="39">
        <f t="shared" si="160"/>
        <v>0</v>
      </c>
      <c r="X567" s="29">
        <f t="shared" si="161"/>
        <v>0</v>
      </c>
      <c r="Y567" s="40">
        <f t="shared" si="162"/>
        <v>365</v>
      </c>
      <c r="Z567" s="38">
        <f t="shared" si="157"/>
        <v>46081</v>
      </c>
      <c r="AA567" s="41">
        <f t="shared" si="163"/>
        <v>264</v>
      </c>
      <c r="AB567" s="24" t="s">
        <v>125</v>
      </c>
      <c r="AC567" s="41">
        <f t="shared" si="164"/>
        <v>3874.2114000000001</v>
      </c>
      <c r="AD567" s="41">
        <v>1</v>
      </c>
      <c r="AE567" s="72">
        <f>IFERROR(INDEX(SA!$C$4:$E$11,MATCH(Details!S567,SA!$C$4:$C$11,0),MATCH(Details!V567,SA!$C$4:$E$4,0)),0)*Y567/(F567-E567+1)</f>
        <v>3283.23</v>
      </c>
      <c r="AF567" s="41">
        <f t="shared" si="165"/>
        <v>0</v>
      </c>
      <c r="AG567" s="41">
        <f t="shared" si="166"/>
        <v>0</v>
      </c>
      <c r="AH567" s="41">
        <f t="shared" si="167"/>
        <v>590.98140000000001</v>
      </c>
      <c r="AI567" s="60">
        <f t="shared" si="168"/>
        <v>131.32920000000001</v>
      </c>
      <c r="AJ567" s="60">
        <f t="shared" si="169"/>
        <v>738.72675000000004</v>
      </c>
      <c r="AK567" s="60">
        <f t="shared" si="170"/>
        <v>2374.7197808219175</v>
      </c>
      <c r="AL567" s="60">
        <f t="shared" si="171"/>
        <v>1745.4190389041094</v>
      </c>
      <c r="AM567" s="41">
        <f t="shared" si="172"/>
        <v>667.7550110958905</v>
      </c>
      <c r="AN567" s="42">
        <f t="shared" si="173"/>
        <v>45715</v>
      </c>
      <c r="AO567" s="43">
        <f t="shared" si="174"/>
        <v>3283.23</v>
      </c>
    </row>
    <row r="568" spans="1:41" s="24" customFormat="1" ht="15.75" customHeight="1" x14ac:dyDescent="0.35">
      <c r="A568" s="36" t="s">
        <v>27</v>
      </c>
      <c r="B568" s="36">
        <v>202506</v>
      </c>
      <c r="C568" s="24" t="s">
        <v>128</v>
      </c>
      <c r="D568" s="24" t="s">
        <v>129</v>
      </c>
      <c r="E568" s="62">
        <v>45818</v>
      </c>
      <c r="F568" s="62">
        <v>46182</v>
      </c>
      <c r="G568" s="37" t="s">
        <v>694</v>
      </c>
      <c r="H568" s="36">
        <v>2320</v>
      </c>
      <c r="I568" s="63">
        <v>43256</v>
      </c>
      <c r="J568" s="24" t="s">
        <v>1344</v>
      </c>
      <c r="K568" s="63">
        <f t="shared" si="158"/>
        <v>45818</v>
      </c>
      <c r="L568" s="55">
        <f t="shared" si="159"/>
        <v>0.04</v>
      </c>
      <c r="M568" s="76">
        <v>0.22500000000000001</v>
      </c>
      <c r="N568" s="62">
        <v>45818</v>
      </c>
      <c r="O568" s="62">
        <v>46182</v>
      </c>
      <c r="P568" s="63"/>
      <c r="Q568" s="63"/>
      <c r="R568" s="82">
        <v>7</v>
      </c>
      <c r="S568" s="63" t="str">
        <f>VLOOKUP(R568,SA!$B$5:$C$11,2,1)</f>
        <v>0-35</v>
      </c>
      <c r="T568" s="38" t="s">
        <v>96</v>
      </c>
      <c r="U568" s="24" t="s">
        <v>114</v>
      </c>
      <c r="V568" s="24">
        <v>300000</v>
      </c>
      <c r="W568" s="39">
        <f t="shared" si="160"/>
        <v>0</v>
      </c>
      <c r="X568" s="29">
        <f t="shared" si="161"/>
        <v>0</v>
      </c>
      <c r="Y568" s="40">
        <f t="shared" si="162"/>
        <v>365</v>
      </c>
      <c r="Z568" s="38">
        <f t="shared" si="157"/>
        <v>46081</v>
      </c>
      <c r="AA568" s="41">
        <f t="shared" si="163"/>
        <v>264</v>
      </c>
      <c r="AB568" s="24" t="s">
        <v>125</v>
      </c>
      <c r="AC568" s="41">
        <f t="shared" si="164"/>
        <v>3874.2114000000001</v>
      </c>
      <c r="AD568" s="41">
        <v>1</v>
      </c>
      <c r="AE568" s="72">
        <f>IFERROR(INDEX(SA!$C$4:$E$11,MATCH(Details!S568,SA!$C$4:$C$11,0),MATCH(Details!V568,SA!$C$4:$E$4,0)),0)*Y568/(F568-E568+1)</f>
        <v>3283.23</v>
      </c>
      <c r="AF568" s="41">
        <f t="shared" si="165"/>
        <v>0</v>
      </c>
      <c r="AG568" s="41">
        <f t="shared" si="166"/>
        <v>0</v>
      </c>
      <c r="AH568" s="41">
        <f t="shared" si="167"/>
        <v>590.98140000000001</v>
      </c>
      <c r="AI568" s="60">
        <f t="shared" si="168"/>
        <v>131.32920000000001</v>
      </c>
      <c r="AJ568" s="60">
        <f t="shared" si="169"/>
        <v>738.72675000000004</v>
      </c>
      <c r="AK568" s="60">
        <f t="shared" si="170"/>
        <v>2374.7197808219175</v>
      </c>
      <c r="AL568" s="60">
        <f t="shared" si="171"/>
        <v>1745.4190389041094</v>
      </c>
      <c r="AM568" s="41">
        <f t="shared" si="172"/>
        <v>667.7550110958905</v>
      </c>
      <c r="AN568" s="42">
        <f t="shared" si="173"/>
        <v>45715</v>
      </c>
      <c r="AO568" s="43">
        <f t="shared" si="174"/>
        <v>3283.23</v>
      </c>
    </row>
    <row r="569" spans="1:41" s="24" customFormat="1" ht="15.75" customHeight="1" x14ac:dyDescent="0.35">
      <c r="A569" s="36" t="s">
        <v>27</v>
      </c>
      <c r="B569" s="36">
        <v>202506</v>
      </c>
      <c r="C569" s="24" t="s">
        <v>128</v>
      </c>
      <c r="D569" s="24" t="s">
        <v>129</v>
      </c>
      <c r="E569" s="62">
        <v>45818</v>
      </c>
      <c r="F569" s="62">
        <v>46182</v>
      </c>
      <c r="G569" s="37" t="s">
        <v>695</v>
      </c>
      <c r="H569" s="36">
        <v>2320</v>
      </c>
      <c r="I569" s="63">
        <v>44450</v>
      </c>
      <c r="J569" s="24" t="s">
        <v>1345</v>
      </c>
      <c r="K569" s="63">
        <f t="shared" si="158"/>
        <v>45818</v>
      </c>
      <c r="L569" s="55">
        <f t="shared" si="159"/>
        <v>0.04</v>
      </c>
      <c r="M569" s="76">
        <v>0.22500000000000001</v>
      </c>
      <c r="N569" s="62">
        <v>45818</v>
      </c>
      <c r="O569" s="62">
        <v>46182</v>
      </c>
      <c r="P569" s="63"/>
      <c r="Q569" s="63"/>
      <c r="R569" s="82">
        <v>3</v>
      </c>
      <c r="S569" s="63" t="str">
        <f>VLOOKUP(R569,SA!$B$5:$C$11,2,1)</f>
        <v>0-35</v>
      </c>
      <c r="T569" s="38" t="s">
        <v>96</v>
      </c>
      <c r="U569" s="24" t="s">
        <v>114</v>
      </c>
      <c r="V569" s="24">
        <v>300000</v>
      </c>
      <c r="W569" s="39">
        <f t="shared" si="160"/>
        <v>0</v>
      </c>
      <c r="X569" s="29">
        <f t="shared" si="161"/>
        <v>0</v>
      </c>
      <c r="Y569" s="40">
        <f t="shared" si="162"/>
        <v>365</v>
      </c>
      <c r="Z569" s="38">
        <f t="shared" si="157"/>
        <v>46081</v>
      </c>
      <c r="AA569" s="41">
        <f t="shared" si="163"/>
        <v>264</v>
      </c>
      <c r="AB569" s="24" t="s">
        <v>125</v>
      </c>
      <c r="AC569" s="41">
        <f t="shared" si="164"/>
        <v>3874.2114000000001</v>
      </c>
      <c r="AD569" s="41">
        <v>1</v>
      </c>
      <c r="AE569" s="72">
        <f>IFERROR(INDEX(SA!$C$4:$E$11,MATCH(Details!S569,SA!$C$4:$C$11,0),MATCH(Details!V569,SA!$C$4:$E$4,0)),0)*Y569/(F569-E569+1)</f>
        <v>3283.23</v>
      </c>
      <c r="AF569" s="41">
        <f t="shared" si="165"/>
        <v>0</v>
      </c>
      <c r="AG569" s="41">
        <f t="shared" si="166"/>
        <v>0</v>
      </c>
      <c r="AH569" s="41">
        <f t="shared" si="167"/>
        <v>590.98140000000001</v>
      </c>
      <c r="AI569" s="60">
        <f t="shared" si="168"/>
        <v>131.32920000000001</v>
      </c>
      <c r="AJ569" s="60">
        <f t="shared" si="169"/>
        <v>738.72675000000004</v>
      </c>
      <c r="AK569" s="60">
        <f t="shared" si="170"/>
        <v>2374.7197808219175</v>
      </c>
      <c r="AL569" s="60">
        <f t="shared" si="171"/>
        <v>1745.4190389041094</v>
      </c>
      <c r="AM569" s="41">
        <f t="shared" si="172"/>
        <v>667.7550110958905</v>
      </c>
      <c r="AN569" s="42">
        <f t="shared" si="173"/>
        <v>45715</v>
      </c>
      <c r="AO569" s="43">
        <f t="shared" si="174"/>
        <v>3283.23</v>
      </c>
    </row>
    <row r="570" spans="1:41" s="24" customFormat="1" ht="15.75" customHeight="1" x14ac:dyDescent="0.35">
      <c r="A570" s="36" t="s">
        <v>27</v>
      </c>
      <c r="B570" s="36">
        <v>202506</v>
      </c>
      <c r="C570" s="24" t="s">
        <v>128</v>
      </c>
      <c r="D570" s="24" t="s">
        <v>129</v>
      </c>
      <c r="E570" s="62">
        <v>45818</v>
      </c>
      <c r="F570" s="62">
        <v>46182</v>
      </c>
      <c r="G570" s="37" t="s">
        <v>696</v>
      </c>
      <c r="H570" s="36">
        <v>2322</v>
      </c>
      <c r="I570" s="63">
        <v>30094</v>
      </c>
      <c r="J570" s="24" t="s">
        <v>1346</v>
      </c>
      <c r="K570" s="63">
        <f t="shared" si="158"/>
        <v>45818</v>
      </c>
      <c r="L570" s="55">
        <f t="shared" si="159"/>
        <v>0.04</v>
      </c>
      <c r="M570" s="76">
        <v>0.22500000000000001</v>
      </c>
      <c r="N570" s="62">
        <v>45818</v>
      </c>
      <c r="O570" s="62">
        <v>46182</v>
      </c>
      <c r="P570" s="63"/>
      <c r="Q570" s="63"/>
      <c r="R570" s="82">
        <v>43</v>
      </c>
      <c r="S570" s="63" t="str">
        <f>VLOOKUP(R570,SA!$B$5:$C$11,2,1)</f>
        <v>36-45</v>
      </c>
      <c r="T570" s="38" t="s">
        <v>96</v>
      </c>
      <c r="U570" s="24" t="s">
        <v>56</v>
      </c>
      <c r="V570" s="24">
        <v>300000</v>
      </c>
      <c r="W570" s="39">
        <f t="shared" si="160"/>
        <v>300000</v>
      </c>
      <c r="X570" s="29">
        <f t="shared" si="161"/>
        <v>1</v>
      </c>
      <c r="Y570" s="40">
        <f t="shared" si="162"/>
        <v>365</v>
      </c>
      <c r="Z570" s="38">
        <f t="shared" si="157"/>
        <v>46081</v>
      </c>
      <c r="AA570" s="41">
        <f t="shared" si="163"/>
        <v>264</v>
      </c>
      <c r="AB570" s="24" t="s">
        <v>125</v>
      </c>
      <c r="AC570" s="41">
        <f t="shared" si="164"/>
        <v>5017.3245999999999</v>
      </c>
      <c r="AD570" s="41">
        <v>1</v>
      </c>
      <c r="AE570" s="72">
        <f>IFERROR(INDEX(SA!$C$4:$E$11,MATCH(Details!S570,SA!$C$4:$C$11,0),MATCH(Details!V570,SA!$C$4:$E$4,0)),0)*Y570/(F570-E570+1)</f>
        <v>4251.97</v>
      </c>
      <c r="AF570" s="41">
        <f t="shared" si="165"/>
        <v>0</v>
      </c>
      <c r="AG570" s="41">
        <f t="shared" si="166"/>
        <v>0</v>
      </c>
      <c r="AH570" s="41">
        <f t="shared" si="167"/>
        <v>765.3546</v>
      </c>
      <c r="AI570" s="60">
        <f t="shared" si="168"/>
        <v>170.0788</v>
      </c>
      <c r="AJ570" s="60">
        <f t="shared" si="169"/>
        <v>956.69325000000003</v>
      </c>
      <c r="AK570" s="60">
        <f t="shared" si="170"/>
        <v>3075.397479452055</v>
      </c>
      <c r="AL570" s="60">
        <f t="shared" si="171"/>
        <v>2260.4171473972606</v>
      </c>
      <c r="AM570" s="41">
        <f t="shared" si="172"/>
        <v>864.78080260273941</v>
      </c>
      <c r="AN570" s="42">
        <f t="shared" si="173"/>
        <v>45715</v>
      </c>
      <c r="AO570" s="43">
        <f t="shared" si="174"/>
        <v>4251.97</v>
      </c>
    </row>
    <row r="571" spans="1:41" s="24" customFormat="1" ht="15.75" customHeight="1" x14ac:dyDescent="0.35">
      <c r="A571" s="36" t="s">
        <v>27</v>
      </c>
      <c r="B571" s="36">
        <v>202506</v>
      </c>
      <c r="C571" s="24" t="s">
        <v>128</v>
      </c>
      <c r="D571" s="24" t="s">
        <v>129</v>
      </c>
      <c r="E571" s="62">
        <v>45818</v>
      </c>
      <c r="F571" s="62">
        <v>46182</v>
      </c>
      <c r="G571" s="37" t="s">
        <v>697</v>
      </c>
      <c r="H571" s="36">
        <v>2322</v>
      </c>
      <c r="I571" s="63">
        <v>31118</v>
      </c>
      <c r="J571" s="24" t="s">
        <v>1347</v>
      </c>
      <c r="K571" s="63">
        <f t="shared" si="158"/>
        <v>45818</v>
      </c>
      <c r="L571" s="55">
        <f t="shared" si="159"/>
        <v>0.04</v>
      </c>
      <c r="M571" s="76">
        <v>0.22500000000000001</v>
      </c>
      <c r="N571" s="62">
        <v>45818</v>
      </c>
      <c r="O571" s="62">
        <v>46182</v>
      </c>
      <c r="P571" s="63"/>
      <c r="Q571" s="63"/>
      <c r="R571" s="82">
        <v>40</v>
      </c>
      <c r="S571" s="63" t="str">
        <f>VLOOKUP(R571,SA!$B$5:$C$11,2,1)</f>
        <v>36-45</v>
      </c>
      <c r="T571" s="38" t="s">
        <v>97</v>
      </c>
      <c r="U571" s="24" t="s">
        <v>115</v>
      </c>
      <c r="V571" s="24">
        <v>300000</v>
      </c>
      <c r="W571" s="39">
        <f t="shared" si="160"/>
        <v>0</v>
      </c>
      <c r="X571" s="29">
        <f t="shared" si="161"/>
        <v>0</v>
      </c>
      <c r="Y571" s="40">
        <f t="shared" si="162"/>
        <v>365</v>
      </c>
      <c r="Z571" s="38">
        <f t="shared" si="157"/>
        <v>46081</v>
      </c>
      <c r="AA571" s="41">
        <f t="shared" si="163"/>
        <v>264</v>
      </c>
      <c r="AB571" s="24" t="s">
        <v>125</v>
      </c>
      <c r="AC571" s="41">
        <f t="shared" si="164"/>
        <v>5017.3245999999999</v>
      </c>
      <c r="AD571" s="41">
        <v>1</v>
      </c>
      <c r="AE571" s="72">
        <f>IFERROR(INDEX(SA!$C$4:$E$11,MATCH(Details!S571,SA!$C$4:$C$11,0),MATCH(Details!V571,SA!$C$4:$E$4,0)),0)*Y571/(F571-E571+1)</f>
        <v>4251.97</v>
      </c>
      <c r="AF571" s="41">
        <f t="shared" si="165"/>
        <v>0</v>
      </c>
      <c r="AG571" s="41">
        <f t="shared" si="166"/>
        <v>0</v>
      </c>
      <c r="AH571" s="41">
        <f t="shared" si="167"/>
        <v>765.3546</v>
      </c>
      <c r="AI571" s="60">
        <f t="shared" si="168"/>
        <v>170.0788</v>
      </c>
      <c r="AJ571" s="60">
        <f t="shared" si="169"/>
        <v>956.69325000000003</v>
      </c>
      <c r="AK571" s="60">
        <f t="shared" si="170"/>
        <v>3075.397479452055</v>
      </c>
      <c r="AL571" s="60">
        <f t="shared" si="171"/>
        <v>2260.4171473972606</v>
      </c>
      <c r="AM571" s="41">
        <f t="shared" si="172"/>
        <v>864.78080260273941</v>
      </c>
      <c r="AN571" s="42">
        <f t="shared" si="173"/>
        <v>45715</v>
      </c>
      <c r="AO571" s="43">
        <f t="shared" si="174"/>
        <v>4251.97</v>
      </c>
    </row>
    <row r="572" spans="1:41" s="24" customFormat="1" ht="15.75" customHeight="1" x14ac:dyDescent="0.35">
      <c r="A572" s="36" t="s">
        <v>27</v>
      </c>
      <c r="B572" s="36">
        <v>202506</v>
      </c>
      <c r="C572" s="24" t="s">
        <v>128</v>
      </c>
      <c r="D572" s="24" t="s">
        <v>129</v>
      </c>
      <c r="E572" s="62">
        <v>45818</v>
      </c>
      <c r="F572" s="62">
        <v>46182</v>
      </c>
      <c r="G572" s="37" t="s">
        <v>698</v>
      </c>
      <c r="H572" s="36">
        <v>2322</v>
      </c>
      <c r="I572" s="63">
        <v>41119</v>
      </c>
      <c r="J572" s="24" t="s">
        <v>1348</v>
      </c>
      <c r="K572" s="63">
        <f t="shared" si="158"/>
        <v>45818</v>
      </c>
      <c r="L572" s="55">
        <f t="shared" si="159"/>
        <v>0.04</v>
      </c>
      <c r="M572" s="76">
        <v>0.22500000000000001</v>
      </c>
      <c r="N572" s="62">
        <v>45818</v>
      </c>
      <c r="O572" s="62">
        <v>46182</v>
      </c>
      <c r="P572" s="63"/>
      <c r="Q572" s="63"/>
      <c r="R572" s="82">
        <v>12</v>
      </c>
      <c r="S572" s="63" t="str">
        <f>VLOOKUP(R572,SA!$B$5:$C$11,2,1)</f>
        <v>0-35</v>
      </c>
      <c r="T572" s="38" t="s">
        <v>97</v>
      </c>
      <c r="U572" s="24" t="s">
        <v>113</v>
      </c>
      <c r="V572" s="24">
        <v>300000</v>
      </c>
      <c r="W572" s="39">
        <f t="shared" si="160"/>
        <v>0</v>
      </c>
      <c r="X572" s="29">
        <f t="shared" si="161"/>
        <v>0</v>
      </c>
      <c r="Y572" s="40">
        <f t="shared" si="162"/>
        <v>365</v>
      </c>
      <c r="Z572" s="38">
        <f t="shared" si="157"/>
        <v>46081</v>
      </c>
      <c r="AA572" s="41">
        <f t="shared" si="163"/>
        <v>264</v>
      </c>
      <c r="AB572" s="24" t="s">
        <v>125</v>
      </c>
      <c r="AC572" s="41">
        <f t="shared" si="164"/>
        <v>3874.2114000000001</v>
      </c>
      <c r="AD572" s="41">
        <v>1</v>
      </c>
      <c r="AE572" s="72">
        <f>IFERROR(INDEX(SA!$C$4:$E$11,MATCH(Details!S572,SA!$C$4:$C$11,0),MATCH(Details!V572,SA!$C$4:$E$4,0)),0)*Y572/(F572-E572+1)</f>
        <v>3283.23</v>
      </c>
      <c r="AF572" s="41">
        <f t="shared" si="165"/>
        <v>0</v>
      </c>
      <c r="AG572" s="41">
        <f t="shared" si="166"/>
        <v>0</v>
      </c>
      <c r="AH572" s="41">
        <f t="shared" si="167"/>
        <v>590.98140000000001</v>
      </c>
      <c r="AI572" s="60">
        <f t="shared" si="168"/>
        <v>131.32920000000001</v>
      </c>
      <c r="AJ572" s="60">
        <f t="shared" si="169"/>
        <v>738.72675000000004</v>
      </c>
      <c r="AK572" s="60">
        <f t="shared" si="170"/>
        <v>2374.7197808219175</v>
      </c>
      <c r="AL572" s="60">
        <f t="shared" si="171"/>
        <v>1745.4190389041094</v>
      </c>
      <c r="AM572" s="41">
        <f t="shared" si="172"/>
        <v>667.7550110958905</v>
      </c>
      <c r="AN572" s="42">
        <f t="shared" si="173"/>
        <v>45715</v>
      </c>
      <c r="AO572" s="43">
        <f t="shared" si="174"/>
        <v>3283.23</v>
      </c>
    </row>
    <row r="573" spans="1:41" s="24" customFormat="1" ht="15.75" customHeight="1" x14ac:dyDescent="0.35">
      <c r="A573" s="36" t="s">
        <v>27</v>
      </c>
      <c r="B573" s="36">
        <v>202506</v>
      </c>
      <c r="C573" s="24" t="s">
        <v>128</v>
      </c>
      <c r="D573" s="24" t="s">
        <v>129</v>
      </c>
      <c r="E573" s="62">
        <v>45818</v>
      </c>
      <c r="F573" s="62">
        <v>46182</v>
      </c>
      <c r="G573" s="37" t="s">
        <v>699</v>
      </c>
      <c r="H573" s="36">
        <v>2322</v>
      </c>
      <c r="I573" s="63">
        <v>42358</v>
      </c>
      <c r="J573" s="24" t="s">
        <v>1349</v>
      </c>
      <c r="K573" s="63">
        <f t="shared" si="158"/>
        <v>45818</v>
      </c>
      <c r="L573" s="55">
        <f t="shared" si="159"/>
        <v>0.04</v>
      </c>
      <c r="M573" s="76">
        <v>0.22500000000000001</v>
      </c>
      <c r="N573" s="62">
        <v>45818</v>
      </c>
      <c r="O573" s="62">
        <v>46182</v>
      </c>
      <c r="P573" s="63"/>
      <c r="Q573" s="63"/>
      <c r="R573" s="82">
        <v>9</v>
      </c>
      <c r="S573" s="63" t="str">
        <f>VLOOKUP(R573,SA!$B$5:$C$11,2,1)</f>
        <v>0-35</v>
      </c>
      <c r="T573" s="38" t="s">
        <v>96</v>
      </c>
      <c r="U573" s="24" t="s">
        <v>114</v>
      </c>
      <c r="V573" s="24">
        <v>300000</v>
      </c>
      <c r="W573" s="39">
        <f t="shared" si="160"/>
        <v>0</v>
      </c>
      <c r="X573" s="29">
        <f t="shared" si="161"/>
        <v>0</v>
      </c>
      <c r="Y573" s="40">
        <f t="shared" si="162"/>
        <v>365</v>
      </c>
      <c r="Z573" s="38">
        <f t="shared" si="157"/>
        <v>46081</v>
      </c>
      <c r="AA573" s="41">
        <f t="shared" si="163"/>
        <v>264</v>
      </c>
      <c r="AB573" s="24" t="s">
        <v>125</v>
      </c>
      <c r="AC573" s="41">
        <f t="shared" si="164"/>
        <v>3874.2114000000001</v>
      </c>
      <c r="AD573" s="41">
        <v>1</v>
      </c>
      <c r="AE573" s="72">
        <f>IFERROR(INDEX(SA!$C$4:$E$11,MATCH(Details!S573,SA!$C$4:$C$11,0),MATCH(Details!V573,SA!$C$4:$E$4,0)),0)*Y573/(F573-E573+1)</f>
        <v>3283.23</v>
      </c>
      <c r="AF573" s="41">
        <f t="shared" si="165"/>
        <v>0</v>
      </c>
      <c r="AG573" s="41">
        <f t="shared" si="166"/>
        <v>0</v>
      </c>
      <c r="AH573" s="41">
        <f t="shared" si="167"/>
        <v>590.98140000000001</v>
      </c>
      <c r="AI573" s="60">
        <f t="shared" si="168"/>
        <v>131.32920000000001</v>
      </c>
      <c r="AJ573" s="60">
        <f t="shared" si="169"/>
        <v>738.72675000000004</v>
      </c>
      <c r="AK573" s="60">
        <f t="shared" si="170"/>
        <v>2374.7197808219175</v>
      </c>
      <c r="AL573" s="60">
        <f t="shared" si="171"/>
        <v>1745.4190389041094</v>
      </c>
      <c r="AM573" s="41">
        <f t="shared" si="172"/>
        <v>667.7550110958905</v>
      </c>
      <c r="AN573" s="42">
        <f t="shared" si="173"/>
        <v>45715</v>
      </c>
      <c r="AO573" s="43">
        <f t="shared" si="174"/>
        <v>3283.23</v>
      </c>
    </row>
    <row r="574" spans="1:41" s="24" customFormat="1" ht="15.75" customHeight="1" x14ac:dyDescent="0.35">
      <c r="A574" s="36" t="s">
        <v>27</v>
      </c>
      <c r="B574" s="36">
        <v>202506</v>
      </c>
      <c r="C574" s="24" t="s">
        <v>128</v>
      </c>
      <c r="D574" s="24" t="s">
        <v>129</v>
      </c>
      <c r="E574" s="62">
        <v>45818</v>
      </c>
      <c r="F574" s="62">
        <v>46182</v>
      </c>
      <c r="G574" s="37" t="s">
        <v>700</v>
      </c>
      <c r="H574" s="36">
        <v>2323</v>
      </c>
      <c r="I574" s="63">
        <v>32648</v>
      </c>
      <c r="J574" s="24" t="s">
        <v>1350</v>
      </c>
      <c r="K574" s="63">
        <f t="shared" si="158"/>
        <v>45818</v>
      </c>
      <c r="L574" s="55">
        <f t="shared" si="159"/>
        <v>0.04</v>
      </c>
      <c r="M574" s="76">
        <v>0.22500000000000001</v>
      </c>
      <c r="N574" s="62">
        <v>45818</v>
      </c>
      <c r="O574" s="62">
        <v>46182</v>
      </c>
      <c r="P574" s="63"/>
      <c r="Q574" s="63"/>
      <c r="R574" s="82">
        <v>36</v>
      </c>
      <c r="S574" s="63" t="str">
        <f>VLOOKUP(R574,SA!$B$5:$C$11,2,1)</f>
        <v>36-45</v>
      </c>
      <c r="T574" s="38" t="s">
        <v>96</v>
      </c>
      <c r="U574" s="24" t="s">
        <v>56</v>
      </c>
      <c r="V574" s="24">
        <v>300000</v>
      </c>
      <c r="W574" s="39">
        <f t="shared" si="160"/>
        <v>300000</v>
      </c>
      <c r="X574" s="29">
        <f t="shared" si="161"/>
        <v>1</v>
      </c>
      <c r="Y574" s="40">
        <f t="shared" si="162"/>
        <v>365</v>
      </c>
      <c r="Z574" s="38">
        <f t="shared" si="157"/>
        <v>46081</v>
      </c>
      <c r="AA574" s="41">
        <f t="shared" si="163"/>
        <v>264</v>
      </c>
      <c r="AB574" s="24" t="s">
        <v>125</v>
      </c>
      <c r="AC574" s="41">
        <f t="shared" si="164"/>
        <v>5017.3245999999999</v>
      </c>
      <c r="AD574" s="41">
        <v>1</v>
      </c>
      <c r="AE574" s="72">
        <f>IFERROR(INDEX(SA!$C$4:$E$11,MATCH(Details!S574,SA!$C$4:$C$11,0),MATCH(Details!V574,SA!$C$4:$E$4,0)),0)*Y574/(F574-E574+1)</f>
        <v>4251.97</v>
      </c>
      <c r="AF574" s="41">
        <f t="shared" si="165"/>
        <v>0</v>
      </c>
      <c r="AG574" s="41">
        <f t="shared" si="166"/>
        <v>0</v>
      </c>
      <c r="AH574" s="41">
        <f t="shared" si="167"/>
        <v>765.3546</v>
      </c>
      <c r="AI574" s="60">
        <f t="shared" si="168"/>
        <v>170.0788</v>
      </c>
      <c r="AJ574" s="60">
        <f t="shared" si="169"/>
        <v>956.69325000000003</v>
      </c>
      <c r="AK574" s="60">
        <f t="shared" si="170"/>
        <v>3075.397479452055</v>
      </c>
      <c r="AL574" s="60">
        <f t="shared" si="171"/>
        <v>2260.4171473972606</v>
      </c>
      <c r="AM574" s="41">
        <f t="shared" si="172"/>
        <v>864.78080260273941</v>
      </c>
      <c r="AN574" s="42">
        <f t="shared" si="173"/>
        <v>45715</v>
      </c>
      <c r="AO574" s="43">
        <f t="shared" si="174"/>
        <v>4251.97</v>
      </c>
    </row>
    <row r="575" spans="1:41" s="24" customFormat="1" ht="15.75" customHeight="1" x14ac:dyDescent="0.35">
      <c r="A575" s="36" t="s">
        <v>27</v>
      </c>
      <c r="B575" s="36">
        <v>202506</v>
      </c>
      <c r="C575" s="24" t="s">
        <v>128</v>
      </c>
      <c r="D575" s="24" t="s">
        <v>129</v>
      </c>
      <c r="E575" s="62">
        <v>45818</v>
      </c>
      <c r="F575" s="62">
        <v>46182</v>
      </c>
      <c r="G575" s="37" t="s">
        <v>701</v>
      </c>
      <c r="H575" s="36">
        <v>4010</v>
      </c>
      <c r="I575" s="63">
        <v>26387</v>
      </c>
      <c r="J575" s="24" t="s">
        <v>1351</v>
      </c>
      <c r="K575" s="63">
        <f t="shared" si="158"/>
        <v>45818</v>
      </c>
      <c r="L575" s="55">
        <f t="shared" si="159"/>
        <v>0.04</v>
      </c>
      <c r="M575" s="76">
        <v>0.22500000000000001</v>
      </c>
      <c r="N575" s="62">
        <v>45818</v>
      </c>
      <c r="O575" s="62">
        <v>46182</v>
      </c>
      <c r="P575" s="63"/>
      <c r="Q575" s="63"/>
      <c r="R575" s="82">
        <v>53</v>
      </c>
      <c r="S575" s="63" t="str">
        <f>VLOOKUP(R575,SA!$B$5:$C$11,2,1)</f>
        <v>46-55</v>
      </c>
      <c r="T575" s="38" t="s">
        <v>96</v>
      </c>
      <c r="U575" s="24" t="s">
        <v>56</v>
      </c>
      <c r="V575" s="24">
        <v>300000</v>
      </c>
      <c r="W575" s="39">
        <f t="shared" si="160"/>
        <v>300000</v>
      </c>
      <c r="X575" s="29">
        <f t="shared" si="161"/>
        <v>1</v>
      </c>
      <c r="Y575" s="40">
        <f t="shared" si="162"/>
        <v>365</v>
      </c>
      <c r="Z575" s="38">
        <f t="shared" si="157"/>
        <v>46081</v>
      </c>
      <c r="AA575" s="41">
        <f t="shared" si="163"/>
        <v>264</v>
      </c>
      <c r="AB575" s="24" t="s">
        <v>125</v>
      </c>
      <c r="AC575" s="41">
        <f t="shared" si="164"/>
        <v>9586.9925999999996</v>
      </c>
      <c r="AD575" s="41">
        <v>1</v>
      </c>
      <c r="AE575" s="72">
        <f>IFERROR(INDEX(SA!$C$4:$E$11,MATCH(Details!S575,SA!$C$4:$C$11,0),MATCH(Details!V575,SA!$C$4:$E$4,0)),0)*Y575/(F575-E575+1)</f>
        <v>8124.57</v>
      </c>
      <c r="AF575" s="41">
        <f t="shared" si="165"/>
        <v>0</v>
      </c>
      <c r="AG575" s="41">
        <f t="shared" si="166"/>
        <v>0</v>
      </c>
      <c r="AH575" s="41">
        <f t="shared" si="167"/>
        <v>1462.4225999999999</v>
      </c>
      <c r="AI575" s="60">
        <f t="shared" si="168"/>
        <v>324.9828</v>
      </c>
      <c r="AJ575" s="60">
        <f t="shared" si="169"/>
        <v>1828.0282500000001</v>
      </c>
      <c r="AK575" s="60">
        <f t="shared" si="170"/>
        <v>5876.4013150684932</v>
      </c>
      <c r="AL575" s="60">
        <f t="shared" si="171"/>
        <v>4319.1549665753428</v>
      </c>
      <c r="AM575" s="41">
        <f t="shared" si="172"/>
        <v>1652.4039834246571</v>
      </c>
      <c r="AN575" s="42">
        <f t="shared" si="173"/>
        <v>45715</v>
      </c>
      <c r="AO575" s="43">
        <f t="shared" si="174"/>
        <v>8124.57</v>
      </c>
    </row>
    <row r="576" spans="1:41" s="24" customFormat="1" ht="15.75" customHeight="1" x14ac:dyDescent="0.35">
      <c r="A576" s="36" t="s">
        <v>27</v>
      </c>
      <c r="B576" s="36">
        <v>202506</v>
      </c>
      <c r="C576" s="24" t="s">
        <v>128</v>
      </c>
      <c r="D576" s="24" t="s">
        <v>129</v>
      </c>
      <c r="E576" s="62">
        <v>45818</v>
      </c>
      <c r="F576" s="62">
        <v>46182</v>
      </c>
      <c r="G576" s="37" t="s">
        <v>702</v>
      </c>
      <c r="H576" s="36">
        <v>4010</v>
      </c>
      <c r="I576" s="63">
        <v>38225</v>
      </c>
      <c r="J576" s="24" t="s">
        <v>1352</v>
      </c>
      <c r="K576" s="63">
        <f t="shared" si="158"/>
        <v>45818</v>
      </c>
      <c r="L576" s="55">
        <f t="shared" si="159"/>
        <v>0.04</v>
      </c>
      <c r="M576" s="76">
        <v>0.22500000000000001</v>
      </c>
      <c r="N576" s="62">
        <v>45818</v>
      </c>
      <c r="O576" s="62">
        <v>46182</v>
      </c>
      <c r="P576" s="63"/>
      <c r="Q576" s="63"/>
      <c r="R576" s="82">
        <v>20</v>
      </c>
      <c r="S576" s="63" t="str">
        <f>VLOOKUP(R576,SA!$B$5:$C$11,2,1)</f>
        <v>0-35</v>
      </c>
      <c r="T576" s="38" t="s">
        <v>96</v>
      </c>
      <c r="U576" s="24" t="s">
        <v>114</v>
      </c>
      <c r="V576" s="24">
        <v>300000</v>
      </c>
      <c r="W576" s="39">
        <f t="shared" si="160"/>
        <v>0</v>
      </c>
      <c r="X576" s="29">
        <f t="shared" si="161"/>
        <v>0</v>
      </c>
      <c r="Y576" s="40">
        <f t="shared" si="162"/>
        <v>365</v>
      </c>
      <c r="Z576" s="38">
        <f t="shared" si="157"/>
        <v>46081</v>
      </c>
      <c r="AA576" s="41">
        <f t="shared" si="163"/>
        <v>264</v>
      </c>
      <c r="AB576" s="24" t="s">
        <v>125</v>
      </c>
      <c r="AC576" s="41">
        <f t="shared" si="164"/>
        <v>3874.2114000000001</v>
      </c>
      <c r="AD576" s="41">
        <v>1</v>
      </c>
      <c r="AE576" s="72">
        <f>IFERROR(INDEX(SA!$C$4:$E$11,MATCH(Details!S576,SA!$C$4:$C$11,0),MATCH(Details!V576,SA!$C$4:$E$4,0)),0)*Y576/(F576-E576+1)</f>
        <v>3283.23</v>
      </c>
      <c r="AF576" s="41">
        <f t="shared" si="165"/>
        <v>0</v>
      </c>
      <c r="AG576" s="41">
        <f t="shared" si="166"/>
        <v>0</v>
      </c>
      <c r="AH576" s="41">
        <f t="shared" si="167"/>
        <v>590.98140000000001</v>
      </c>
      <c r="AI576" s="60">
        <f t="shared" si="168"/>
        <v>131.32920000000001</v>
      </c>
      <c r="AJ576" s="60">
        <f t="shared" si="169"/>
        <v>738.72675000000004</v>
      </c>
      <c r="AK576" s="60">
        <f t="shared" si="170"/>
        <v>2374.7197808219175</v>
      </c>
      <c r="AL576" s="60">
        <f t="shared" si="171"/>
        <v>1745.4190389041094</v>
      </c>
      <c r="AM576" s="41">
        <f t="shared" si="172"/>
        <v>667.7550110958905</v>
      </c>
      <c r="AN576" s="42">
        <f t="shared" si="173"/>
        <v>45715</v>
      </c>
      <c r="AO576" s="43">
        <f t="shared" si="174"/>
        <v>3283.23</v>
      </c>
    </row>
    <row r="577" spans="1:41" s="24" customFormat="1" ht="15.75" customHeight="1" x14ac:dyDescent="0.35">
      <c r="A577" s="36" t="s">
        <v>27</v>
      </c>
      <c r="B577" s="36">
        <v>202506</v>
      </c>
      <c r="C577" s="24" t="s">
        <v>128</v>
      </c>
      <c r="D577" s="24" t="s">
        <v>129</v>
      </c>
      <c r="E577" s="62">
        <v>45818</v>
      </c>
      <c r="F577" s="62">
        <v>46182</v>
      </c>
      <c r="G577" s="37" t="s">
        <v>703</v>
      </c>
      <c r="H577" s="36">
        <v>4010</v>
      </c>
      <c r="I577" s="63">
        <v>39242</v>
      </c>
      <c r="J577" s="24" t="s">
        <v>1353</v>
      </c>
      <c r="K577" s="63">
        <f t="shared" si="158"/>
        <v>45818</v>
      </c>
      <c r="L577" s="55">
        <f t="shared" si="159"/>
        <v>0.04</v>
      </c>
      <c r="M577" s="76">
        <v>0.22500000000000001</v>
      </c>
      <c r="N577" s="62">
        <v>45818</v>
      </c>
      <c r="O577" s="62">
        <v>46182</v>
      </c>
      <c r="P577" s="63"/>
      <c r="Q577" s="63"/>
      <c r="R577" s="82">
        <v>18</v>
      </c>
      <c r="S577" s="63" t="str">
        <f>VLOOKUP(R577,SA!$B$5:$C$11,2,1)</f>
        <v>0-35</v>
      </c>
      <c r="T577" s="38" t="s">
        <v>96</v>
      </c>
      <c r="U577" s="24" t="s">
        <v>114</v>
      </c>
      <c r="V577" s="24">
        <v>300000</v>
      </c>
      <c r="W577" s="39">
        <f t="shared" si="160"/>
        <v>0</v>
      </c>
      <c r="X577" s="29">
        <f t="shared" si="161"/>
        <v>0</v>
      </c>
      <c r="Y577" s="40">
        <f t="shared" si="162"/>
        <v>365</v>
      </c>
      <c r="Z577" s="38">
        <f t="shared" si="157"/>
        <v>46081</v>
      </c>
      <c r="AA577" s="41">
        <f t="shared" si="163"/>
        <v>264</v>
      </c>
      <c r="AB577" s="24" t="s">
        <v>125</v>
      </c>
      <c r="AC577" s="41">
        <f t="shared" si="164"/>
        <v>3874.2114000000001</v>
      </c>
      <c r="AD577" s="41">
        <v>1</v>
      </c>
      <c r="AE577" s="72">
        <f>IFERROR(INDEX(SA!$C$4:$E$11,MATCH(Details!S577,SA!$C$4:$C$11,0),MATCH(Details!V577,SA!$C$4:$E$4,0)),0)*Y577/(F577-E577+1)</f>
        <v>3283.23</v>
      </c>
      <c r="AF577" s="41">
        <f t="shared" si="165"/>
        <v>0</v>
      </c>
      <c r="AG577" s="41">
        <f t="shared" si="166"/>
        <v>0</v>
      </c>
      <c r="AH577" s="41">
        <f t="shared" si="167"/>
        <v>590.98140000000001</v>
      </c>
      <c r="AI577" s="60">
        <f t="shared" si="168"/>
        <v>131.32920000000001</v>
      </c>
      <c r="AJ577" s="60">
        <f t="shared" si="169"/>
        <v>738.72675000000004</v>
      </c>
      <c r="AK577" s="60">
        <f t="shared" si="170"/>
        <v>2374.7197808219175</v>
      </c>
      <c r="AL577" s="60">
        <f t="shared" si="171"/>
        <v>1745.4190389041094</v>
      </c>
      <c r="AM577" s="41">
        <f t="shared" si="172"/>
        <v>667.7550110958905</v>
      </c>
      <c r="AN577" s="42">
        <f t="shared" si="173"/>
        <v>45715</v>
      </c>
      <c r="AO577" s="43">
        <f t="shared" si="174"/>
        <v>3283.23</v>
      </c>
    </row>
    <row r="578" spans="1:41" s="24" customFormat="1" ht="15.75" customHeight="1" x14ac:dyDescent="0.35">
      <c r="A578" s="36" t="s">
        <v>27</v>
      </c>
      <c r="B578" s="36">
        <v>202506</v>
      </c>
      <c r="C578" s="24" t="s">
        <v>128</v>
      </c>
      <c r="D578" s="24" t="s">
        <v>129</v>
      </c>
      <c r="E578" s="62">
        <v>45818</v>
      </c>
      <c r="F578" s="62">
        <v>46182</v>
      </c>
      <c r="G578" s="37" t="s">
        <v>704</v>
      </c>
      <c r="H578" s="36">
        <v>4010</v>
      </c>
      <c r="I578" s="63">
        <v>30682</v>
      </c>
      <c r="J578" s="24" t="s">
        <v>1354</v>
      </c>
      <c r="K578" s="63">
        <f t="shared" si="158"/>
        <v>45818</v>
      </c>
      <c r="L578" s="55">
        <f t="shared" si="159"/>
        <v>0.04</v>
      </c>
      <c r="M578" s="76">
        <v>0.22500000000000001</v>
      </c>
      <c r="N578" s="62">
        <v>45818</v>
      </c>
      <c r="O578" s="62">
        <v>46182</v>
      </c>
      <c r="P578" s="63"/>
      <c r="Q578" s="63"/>
      <c r="R578" s="82">
        <v>41</v>
      </c>
      <c r="S578" s="63" t="str">
        <f>VLOOKUP(R578,SA!$B$5:$C$11,2,1)</f>
        <v>36-45</v>
      </c>
      <c r="T578" s="38" t="s">
        <v>97</v>
      </c>
      <c r="U578" s="24" t="s">
        <v>115</v>
      </c>
      <c r="V578" s="24">
        <v>300000</v>
      </c>
      <c r="W578" s="39">
        <f t="shared" si="160"/>
        <v>0</v>
      </c>
      <c r="X578" s="29">
        <f t="shared" si="161"/>
        <v>0</v>
      </c>
      <c r="Y578" s="40">
        <f t="shared" si="162"/>
        <v>365</v>
      </c>
      <c r="Z578" s="38">
        <f t="shared" si="157"/>
        <v>46081</v>
      </c>
      <c r="AA578" s="41">
        <f t="shared" si="163"/>
        <v>264</v>
      </c>
      <c r="AB578" s="24" t="s">
        <v>125</v>
      </c>
      <c r="AC578" s="41">
        <f t="shared" si="164"/>
        <v>5017.3245999999999</v>
      </c>
      <c r="AD578" s="41">
        <v>1</v>
      </c>
      <c r="AE578" s="72">
        <f>IFERROR(INDEX(SA!$C$4:$E$11,MATCH(Details!S578,SA!$C$4:$C$11,0),MATCH(Details!V578,SA!$C$4:$E$4,0)),0)*Y578/(F578-E578+1)</f>
        <v>4251.97</v>
      </c>
      <c r="AF578" s="41">
        <f t="shared" si="165"/>
        <v>0</v>
      </c>
      <c r="AG578" s="41">
        <f t="shared" si="166"/>
        <v>0</v>
      </c>
      <c r="AH578" s="41">
        <f t="shared" si="167"/>
        <v>765.3546</v>
      </c>
      <c r="AI578" s="60">
        <f t="shared" si="168"/>
        <v>170.0788</v>
      </c>
      <c r="AJ578" s="60">
        <f t="shared" si="169"/>
        <v>956.69325000000003</v>
      </c>
      <c r="AK578" s="60">
        <f t="shared" si="170"/>
        <v>3075.397479452055</v>
      </c>
      <c r="AL578" s="60">
        <f t="shared" si="171"/>
        <v>2260.4171473972606</v>
      </c>
      <c r="AM578" s="41">
        <f t="shared" si="172"/>
        <v>864.78080260273941</v>
      </c>
      <c r="AN578" s="42">
        <f t="shared" si="173"/>
        <v>45715</v>
      </c>
      <c r="AO578" s="43">
        <f t="shared" si="174"/>
        <v>4251.97</v>
      </c>
    </row>
    <row r="579" spans="1:41" s="24" customFormat="1" ht="15.75" customHeight="1" x14ac:dyDescent="0.35">
      <c r="A579" s="36" t="s">
        <v>27</v>
      </c>
      <c r="B579" s="36">
        <v>202506</v>
      </c>
      <c r="C579" s="24" t="s">
        <v>128</v>
      </c>
      <c r="D579" s="24" t="s">
        <v>129</v>
      </c>
      <c r="E579" s="62">
        <v>45818</v>
      </c>
      <c r="F579" s="62">
        <v>46182</v>
      </c>
      <c r="G579" s="37" t="s">
        <v>705</v>
      </c>
      <c r="H579" s="36">
        <v>4019</v>
      </c>
      <c r="I579" s="63">
        <v>30656</v>
      </c>
      <c r="J579" s="24" t="s">
        <v>1355</v>
      </c>
      <c r="K579" s="63">
        <f t="shared" si="158"/>
        <v>45818</v>
      </c>
      <c r="L579" s="55">
        <f t="shared" si="159"/>
        <v>0.04</v>
      </c>
      <c r="M579" s="76">
        <v>0.22500000000000001</v>
      </c>
      <c r="N579" s="62">
        <v>45818</v>
      </c>
      <c r="O579" s="62">
        <v>46182</v>
      </c>
      <c r="P579" s="63"/>
      <c r="Q579" s="63"/>
      <c r="R579" s="82">
        <v>41</v>
      </c>
      <c r="S579" s="63" t="str">
        <f>VLOOKUP(R579,SA!$B$5:$C$11,2,1)</f>
        <v>36-45</v>
      </c>
      <c r="T579" s="38" t="s">
        <v>96</v>
      </c>
      <c r="U579" s="24" t="s">
        <v>56</v>
      </c>
      <c r="V579" s="24">
        <v>300000</v>
      </c>
      <c r="W579" s="39">
        <f t="shared" si="160"/>
        <v>300000</v>
      </c>
      <c r="X579" s="29">
        <f t="shared" si="161"/>
        <v>1</v>
      </c>
      <c r="Y579" s="40">
        <f t="shared" si="162"/>
        <v>365</v>
      </c>
      <c r="Z579" s="38">
        <f t="shared" ref="Z579:Z642" si="175">$Z$1</f>
        <v>46081</v>
      </c>
      <c r="AA579" s="41">
        <f t="shared" si="163"/>
        <v>264</v>
      </c>
      <c r="AB579" s="24" t="s">
        <v>125</v>
      </c>
      <c r="AC579" s="41">
        <f t="shared" si="164"/>
        <v>5017.3245999999999</v>
      </c>
      <c r="AD579" s="41">
        <v>1</v>
      </c>
      <c r="AE579" s="72">
        <f>IFERROR(INDEX(SA!$C$4:$E$11,MATCH(Details!S579,SA!$C$4:$C$11,0),MATCH(Details!V579,SA!$C$4:$E$4,0)),0)*Y579/(F579-E579+1)</f>
        <v>4251.97</v>
      </c>
      <c r="AF579" s="41">
        <f t="shared" si="165"/>
        <v>0</v>
      </c>
      <c r="AG579" s="41">
        <f t="shared" si="166"/>
        <v>0</v>
      </c>
      <c r="AH579" s="41">
        <f t="shared" si="167"/>
        <v>765.3546</v>
      </c>
      <c r="AI579" s="60">
        <f t="shared" si="168"/>
        <v>170.0788</v>
      </c>
      <c r="AJ579" s="60">
        <f t="shared" si="169"/>
        <v>956.69325000000003</v>
      </c>
      <c r="AK579" s="60">
        <f t="shared" si="170"/>
        <v>3075.397479452055</v>
      </c>
      <c r="AL579" s="60">
        <f t="shared" si="171"/>
        <v>2260.4171473972606</v>
      </c>
      <c r="AM579" s="41">
        <f t="shared" si="172"/>
        <v>864.78080260273941</v>
      </c>
      <c r="AN579" s="42">
        <f t="shared" si="173"/>
        <v>45715</v>
      </c>
      <c r="AO579" s="43">
        <f t="shared" si="174"/>
        <v>4251.97</v>
      </c>
    </row>
    <row r="580" spans="1:41" s="24" customFormat="1" ht="15.75" customHeight="1" x14ac:dyDescent="0.35">
      <c r="A580" s="36" t="s">
        <v>27</v>
      </c>
      <c r="B580" s="36">
        <v>202506</v>
      </c>
      <c r="C580" s="24" t="s">
        <v>128</v>
      </c>
      <c r="D580" s="24" t="s">
        <v>129</v>
      </c>
      <c r="E580" s="62">
        <v>45818</v>
      </c>
      <c r="F580" s="62">
        <v>46182</v>
      </c>
      <c r="G580" s="37" t="s">
        <v>706</v>
      </c>
      <c r="H580" s="36">
        <v>4019</v>
      </c>
      <c r="I580" s="63">
        <v>31152</v>
      </c>
      <c r="J580" s="24" t="s">
        <v>1356</v>
      </c>
      <c r="K580" s="63">
        <f t="shared" ref="K580:K643" si="176">N580</f>
        <v>45818</v>
      </c>
      <c r="L580" s="55">
        <f t="shared" ref="L580:L643" si="177">IF(K580&gt;=DATE(2022,4,1),4%,5%)</f>
        <v>0.04</v>
      </c>
      <c r="M580" s="76">
        <v>0.22500000000000001</v>
      </c>
      <c r="N580" s="62">
        <v>45818</v>
      </c>
      <c r="O580" s="62">
        <v>46182</v>
      </c>
      <c r="P580" s="63"/>
      <c r="Q580" s="63"/>
      <c r="R580" s="82">
        <v>40</v>
      </c>
      <c r="S580" s="63" t="str">
        <f>VLOOKUP(R580,SA!$B$5:$C$11,2,1)</f>
        <v>36-45</v>
      </c>
      <c r="T580" s="38" t="s">
        <v>97</v>
      </c>
      <c r="U580" s="24" t="s">
        <v>115</v>
      </c>
      <c r="V580" s="24">
        <v>300000</v>
      </c>
      <c r="W580" s="39">
        <f t="shared" ref="W580:W643" si="178">IF(U580="self",V580,0)</f>
        <v>0</v>
      </c>
      <c r="X580" s="29">
        <f t="shared" ref="X580:X643" si="179">IF(U580="self",1,0)</f>
        <v>0</v>
      </c>
      <c r="Y580" s="40">
        <f t="shared" ref="Y580:Y643" si="180">O580-N580+1</f>
        <v>365</v>
      </c>
      <c r="Z580" s="38">
        <f t="shared" si="175"/>
        <v>46081</v>
      </c>
      <c r="AA580" s="41">
        <f t="shared" ref="AA580:AA643" si="181">IF(MIN((Z580-N580)+1,Y580)&lt;0,0,MIN((Z580-N580)+1,Y580))</f>
        <v>264</v>
      </c>
      <c r="AB580" s="24" t="s">
        <v>125</v>
      </c>
      <c r="AC580" s="41">
        <f t="shared" ref="AC580:AC643" si="182">AE580+AF580+AG580+AH580</f>
        <v>5017.3245999999999</v>
      </c>
      <c r="AD580" s="41">
        <v>1</v>
      </c>
      <c r="AE580" s="72">
        <f>IFERROR(INDEX(SA!$C$4:$E$11,MATCH(Details!S580,SA!$C$4:$C$11,0),MATCH(Details!V580,SA!$C$4:$E$4,0)),0)*Y580/(F580-E580+1)</f>
        <v>4251.97</v>
      </c>
      <c r="AF580" s="41">
        <f t="shared" ref="AF580:AF643" si="183">IF(AB580="Karnataka",AE580*9%,0)</f>
        <v>0</v>
      </c>
      <c r="AG580" s="41">
        <f t="shared" ref="AG580:AG643" si="184">IF(AB580="Karnataka",AE580*9%,0)</f>
        <v>0</v>
      </c>
      <c r="AH580" s="41">
        <f t="shared" ref="AH580:AH643" si="185">IF(AF580+AG580&gt;0,0,AE580*18%)</f>
        <v>765.3546</v>
      </c>
      <c r="AI580" s="60">
        <f t="shared" ref="AI580:AI643" si="186">AE580*L580</f>
        <v>170.0788</v>
      </c>
      <c r="AJ580" s="60">
        <f t="shared" ref="AJ580:AJ643" si="187">$AE580*M580</f>
        <v>956.69325000000003</v>
      </c>
      <c r="AK580" s="60">
        <f t="shared" ref="AK580:AK643" si="188">(AE580)*AA580/Y580</f>
        <v>3075.397479452055</v>
      </c>
      <c r="AL580" s="60">
        <f t="shared" ref="AL580:AL643" si="189">AK580*(1-L580-M580)</f>
        <v>2260.4171473972606</v>
      </c>
      <c r="AM580" s="41">
        <f t="shared" ref="AM580:AM643" si="190">AE580-AI580-AL580-AJ580</f>
        <v>864.78080260273941</v>
      </c>
      <c r="AN580" s="42">
        <f t="shared" ref="AN580:AN643" si="191">Z580-366</f>
        <v>45715</v>
      </c>
      <c r="AO580" s="43">
        <f t="shared" ref="AO580:AO643" si="192">IF(AND(O580&gt;Z580,N580&gt;AN580),AE580,0)</f>
        <v>4251.97</v>
      </c>
    </row>
    <row r="581" spans="1:41" s="24" customFormat="1" ht="15.75" customHeight="1" x14ac:dyDescent="0.35">
      <c r="A581" s="36" t="s">
        <v>27</v>
      </c>
      <c r="B581" s="36">
        <v>202506</v>
      </c>
      <c r="C581" s="24" t="s">
        <v>128</v>
      </c>
      <c r="D581" s="24" t="s">
        <v>129</v>
      </c>
      <c r="E581" s="62">
        <v>45818</v>
      </c>
      <c r="F581" s="62">
        <v>46182</v>
      </c>
      <c r="G581" s="37" t="s">
        <v>707</v>
      </c>
      <c r="H581" s="36">
        <v>4019</v>
      </c>
      <c r="I581" s="63">
        <v>43602</v>
      </c>
      <c r="J581" s="24" t="s">
        <v>1357</v>
      </c>
      <c r="K581" s="63">
        <f t="shared" si="176"/>
        <v>45818</v>
      </c>
      <c r="L581" s="55">
        <f t="shared" si="177"/>
        <v>0.04</v>
      </c>
      <c r="M581" s="76">
        <v>0.22500000000000001</v>
      </c>
      <c r="N581" s="62">
        <v>45818</v>
      </c>
      <c r="O581" s="62">
        <v>46182</v>
      </c>
      <c r="P581" s="63"/>
      <c r="Q581" s="63"/>
      <c r="R581" s="82">
        <v>6</v>
      </c>
      <c r="S581" s="63" t="str">
        <f>VLOOKUP(R581,SA!$B$5:$C$11,2,1)</f>
        <v>0-35</v>
      </c>
      <c r="T581" s="38" t="s">
        <v>96</v>
      </c>
      <c r="U581" s="24" t="s">
        <v>114</v>
      </c>
      <c r="V581" s="24">
        <v>300000</v>
      </c>
      <c r="W581" s="39">
        <f t="shared" si="178"/>
        <v>0</v>
      </c>
      <c r="X581" s="29">
        <f t="shared" si="179"/>
        <v>0</v>
      </c>
      <c r="Y581" s="40">
        <f t="shared" si="180"/>
        <v>365</v>
      </c>
      <c r="Z581" s="38">
        <f t="shared" si="175"/>
        <v>46081</v>
      </c>
      <c r="AA581" s="41">
        <f t="shared" si="181"/>
        <v>264</v>
      </c>
      <c r="AB581" s="24" t="s">
        <v>125</v>
      </c>
      <c r="AC581" s="41">
        <f t="shared" si="182"/>
        <v>3874.2114000000001</v>
      </c>
      <c r="AD581" s="41">
        <v>1</v>
      </c>
      <c r="AE581" s="72">
        <f>IFERROR(INDEX(SA!$C$4:$E$11,MATCH(Details!S581,SA!$C$4:$C$11,0),MATCH(Details!V581,SA!$C$4:$E$4,0)),0)*Y581/(F581-E581+1)</f>
        <v>3283.23</v>
      </c>
      <c r="AF581" s="41">
        <f t="shared" si="183"/>
        <v>0</v>
      </c>
      <c r="AG581" s="41">
        <f t="shared" si="184"/>
        <v>0</v>
      </c>
      <c r="AH581" s="41">
        <f t="shared" si="185"/>
        <v>590.98140000000001</v>
      </c>
      <c r="AI581" s="60">
        <f t="shared" si="186"/>
        <v>131.32920000000001</v>
      </c>
      <c r="AJ581" s="60">
        <f t="shared" si="187"/>
        <v>738.72675000000004</v>
      </c>
      <c r="AK581" s="60">
        <f t="shared" si="188"/>
        <v>2374.7197808219175</v>
      </c>
      <c r="AL581" s="60">
        <f t="shared" si="189"/>
        <v>1745.4190389041094</v>
      </c>
      <c r="AM581" s="41">
        <f t="shared" si="190"/>
        <v>667.7550110958905</v>
      </c>
      <c r="AN581" s="42">
        <f t="shared" si="191"/>
        <v>45715</v>
      </c>
      <c r="AO581" s="43">
        <f t="shared" si="192"/>
        <v>3283.23</v>
      </c>
    </row>
    <row r="582" spans="1:41" s="24" customFormat="1" ht="15.75" customHeight="1" x14ac:dyDescent="0.35">
      <c r="A582" s="36" t="s">
        <v>27</v>
      </c>
      <c r="B582" s="36">
        <v>202506</v>
      </c>
      <c r="C582" s="24" t="s">
        <v>128</v>
      </c>
      <c r="D582" s="24" t="s">
        <v>129</v>
      </c>
      <c r="E582" s="62">
        <v>45818</v>
      </c>
      <c r="F582" s="62">
        <v>46182</v>
      </c>
      <c r="G582" s="37" t="s">
        <v>708</v>
      </c>
      <c r="H582" s="36">
        <v>4019</v>
      </c>
      <c r="I582" s="63">
        <v>44815</v>
      </c>
      <c r="J582" s="24" t="s">
        <v>1358</v>
      </c>
      <c r="K582" s="63">
        <f t="shared" si="176"/>
        <v>45818</v>
      </c>
      <c r="L582" s="55">
        <f t="shared" si="177"/>
        <v>0.04</v>
      </c>
      <c r="M582" s="76">
        <v>0.22500000000000001</v>
      </c>
      <c r="N582" s="62">
        <v>45818</v>
      </c>
      <c r="O582" s="62">
        <v>46182</v>
      </c>
      <c r="P582" s="63"/>
      <c r="Q582" s="63"/>
      <c r="R582" s="82">
        <v>2</v>
      </c>
      <c r="S582" s="63" t="str">
        <f>VLOOKUP(R582,SA!$B$5:$C$11,2,1)</f>
        <v>0-35</v>
      </c>
      <c r="T582" s="38" t="s">
        <v>97</v>
      </c>
      <c r="U582" s="24" t="s">
        <v>113</v>
      </c>
      <c r="V582" s="24">
        <v>300000</v>
      </c>
      <c r="W582" s="39">
        <f t="shared" si="178"/>
        <v>0</v>
      </c>
      <c r="X582" s="29">
        <f t="shared" si="179"/>
        <v>0</v>
      </c>
      <c r="Y582" s="40">
        <f t="shared" si="180"/>
        <v>365</v>
      </c>
      <c r="Z582" s="38">
        <f t="shared" si="175"/>
        <v>46081</v>
      </c>
      <c r="AA582" s="41">
        <f t="shared" si="181"/>
        <v>264</v>
      </c>
      <c r="AB582" s="24" t="s">
        <v>125</v>
      </c>
      <c r="AC582" s="41">
        <f t="shared" si="182"/>
        <v>3874.2114000000001</v>
      </c>
      <c r="AD582" s="41">
        <v>1</v>
      </c>
      <c r="AE582" s="72">
        <f>IFERROR(INDEX(SA!$C$4:$E$11,MATCH(Details!S582,SA!$C$4:$C$11,0),MATCH(Details!V582,SA!$C$4:$E$4,0)),0)*Y582/(F582-E582+1)</f>
        <v>3283.23</v>
      </c>
      <c r="AF582" s="41">
        <f t="shared" si="183"/>
        <v>0</v>
      </c>
      <c r="AG582" s="41">
        <f t="shared" si="184"/>
        <v>0</v>
      </c>
      <c r="AH582" s="41">
        <f t="shared" si="185"/>
        <v>590.98140000000001</v>
      </c>
      <c r="AI582" s="60">
        <f t="shared" si="186"/>
        <v>131.32920000000001</v>
      </c>
      <c r="AJ582" s="60">
        <f t="shared" si="187"/>
        <v>738.72675000000004</v>
      </c>
      <c r="AK582" s="60">
        <f t="shared" si="188"/>
        <v>2374.7197808219175</v>
      </c>
      <c r="AL582" s="60">
        <f t="shared" si="189"/>
        <v>1745.4190389041094</v>
      </c>
      <c r="AM582" s="41">
        <f t="shared" si="190"/>
        <v>667.7550110958905</v>
      </c>
      <c r="AN582" s="42">
        <f t="shared" si="191"/>
        <v>45715</v>
      </c>
      <c r="AO582" s="43">
        <f t="shared" si="192"/>
        <v>3283.23</v>
      </c>
    </row>
    <row r="583" spans="1:41" s="24" customFormat="1" ht="15.75" customHeight="1" x14ac:dyDescent="0.35">
      <c r="A583" s="36" t="s">
        <v>27</v>
      </c>
      <c r="B583" s="36">
        <v>202506</v>
      </c>
      <c r="C583" s="24" t="s">
        <v>128</v>
      </c>
      <c r="D583" s="24" t="s">
        <v>129</v>
      </c>
      <c r="E583" s="62">
        <v>45818</v>
      </c>
      <c r="F583" s="62">
        <v>46182</v>
      </c>
      <c r="G583" s="37" t="s">
        <v>709</v>
      </c>
      <c r="H583" s="36" t="s">
        <v>773</v>
      </c>
      <c r="I583" s="63">
        <v>34395</v>
      </c>
      <c r="J583" s="24" t="s">
        <v>1359</v>
      </c>
      <c r="K583" s="63">
        <f t="shared" si="176"/>
        <v>45818</v>
      </c>
      <c r="L583" s="55">
        <f t="shared" si="177"/>
        <v>0.04</v>
      </c>
      <c r="M583" s="76">
        <v>0.22500000000000001</v>
      </c>
      <c r="N583" s="62">
        <v>45818</v>
      </c>
      <c r="O583" s="62">
        <v>46182</v>
      </c>
      <c r="P583" s="63"/>
      <c r="Q583" s="63"/>
      <c r="R583" s="82">
        <v>31</v>
      </c>
      <c r="S583" s="63" t="str">
        <f>VLOOKUP(R583,SA!$B$5:$C$11,2,1)</f>
        <v>0-35</v>
      </c>
      <c r="T583" s="38" t="s">
        <v>96</v>
      </c>
      <c r="U583" s="24" t="s">
        <v>56</v>
      </c>
      <c r="V583" s="24">
        <v>300000</v>
      </c>
      <c r="W583" s="39">
        <f t="shared" si="178"/>
        <v>300000</v>
      </c>
      <c r="X583" s="29">
        <f t="shared" si="179"/>
        <v>1</v>
      </c>
      <c r="Y583" s="40">
        <f t="shared" si="180"/>
        <v>365</v>
      </c>
      <c r="Z583" s="38">
        <f t="shared" si="175"/>
        <v>46081</v>
      </c>
      <c r="AA583" s="41">
        <f t="shared" si="181"/>
        <v>264</v>
      </c>
      <c r="AB583" s="24" t="s">
        <v>125</v>
      </c>
      <c r="AC583" s="41">
        <f t="shared" si="182"/>
        <v>3874.2114000000001</v>
      </c>
      <c r="AD583" s="41">
        <v>1</v>
      </c>
      <c r="AE583" s="72">
        <f>IFERROR(INDEX(SA!$C$4:$E$11,MATCH(Details!S583,SA!$C$4:$C$11,0),MATCH(Details!V583,SA!$C$4:$E$4,0)),0)*Y583/(F583-E583+1)</f>
        <v>3283.23</v>
      </c>
      <c r="AF583" s="41">
        <f t="shared" si="183"/>
        <v>0</v>
      </c>
      <c r="AG583" s="41">
        <f t="shared" si="184"/>
        <v>0</v>
      </c>
      <c r="AH583" s="41">
        <f t="shared" si="185"/>
        <v>590.98140000000001</v>
      </c>
      <c r="AI583" s="60">
        <f t="shared" si="186"/>
        <v>131.32920000000001</v>
      </c>
      <c r="AJ583" s="60">
        <f t="shared" si="187"/>
        <v>738.72675000000004</v>
      </c>
      <c r="AK583" s="60">
        <f t="shared" si="188"/>
        <v>2374.7197808219175</v>
      </c>
      <c r="AL583" s="60">
        <f t="shared" si="189"/>
        <v>1745.4190389041094</v>
      </c>
      <c r="AM583" s="41">
        <f t="shared" si="190"/>
        <v>667.7550110958905</v>
      </c>
      <c r="AN583" s="42">
        <f t="shared" si="191"/>
        <v>45715</v>
      </c>
      <c r="AO583" s="43">
        <f t="shared" si="192"/>
        <v>3283.23</v>
      </c>
    </row>
    <row r="584" spans="1:41" s="24" customFormat="1" ht="15.75" customHeight="1" x14ac:dyDescent="0.35">
      <c r="A584" s="36" t="s">
        <v>27</v>
      </c>
      <c r="B584" s="36">
        <v>202506</v>
      </c>
      <c r="C584" s="24" t="s">
        <v>128</v>
      </c>
      <c r="D584" s="24" t="s">
        <v>129</v>
      </c>
      <c r="E584" s="62">
        <v>45818</v>
      </c>
      <c r="F584" s="62">
        <v>46182</v>
      </c>
      <c r="G584" s="37" t="s">
        <v>710</v>
      </c>
      <c r="H584" s="36" t="s">
        <v>773</v>
      </c>
      <c r="I584" s="63">
        <v>35124</v>
      </c>
      <c r="J584" s="24" t="s">
        <v>1360</v>
      </c>
      <c r="K584" s="63">
        <f t="shared" si="176"/>
        <v>45818</v>
      </c>
      <c r="L584" s="55">
        <f t="shared" si="177"/>
        <v>0.04</v>
      </c>
      <c r="M584" s="76">
        <v>0.22500000000000001</v>
      </c>
      <c r="N584" s="62">
        <v>45818</v>
      </c>
      <c r="O584" s="62">
        <v>46182</v>
      </c>
      <c r="P584" s="63"/>
      <c r="Q584" s="63"/>
      <c r="R584" s="82">
        <v>29</v>
      </c>
      <c r="S584" s="63" t="str">
        <f>VLOOKUP(R584,SA!$B$5:$C$11,2,1)</f>
        <v>0-35</v>
      </c>
      <c r="T584" s="38" t="s">
        <v>97</v>
      </c>
      <c r="U584" s="24" t="s">
        <v>115</v>
      </c>
      <c r="V584" s="24">
        <v>300000</v>
      </c>
      <c r="W584" s="39">
        <f t="shared" si="178"/>
        <v>0</v>
      </c>
      <c r="X584" s="29">
        <f t="shared" si="179"/>
        <v>0</v>
      </c>
      <c r="Y584" s="40">
        <f t="shared" si="180"/>
        <v>365</v>
      </c>
      <c r="Z584" s="38">
        <f t="shared" si="175"/>
        <v>46081</v>
      </c>
      <c r="AA584" s="41">
        <f t="shared" si="181"/>
        <v>264</v>
      </c>
      <c r="AB584" s="24" t="s">
        <v>125</v>
      </c>
      <c r="AC584" s="41">
        <f t="shared" si="182"/>
        <v>3874.2114000000001</v>
      </c>
      <c r="AD584" s="41">
        <v>1</v>
      </c>
      <c r="AE584" s="72">
        <f>IFERROR(INDEX(SA!$C$4:$E$11,MATCH(Details!S584,SA!$C$4:$C$11,0),MATCH(Details!V584,SA!$C$4:$E$4,0)),0)*Y584/(F584-E584+1)</f>
        <v>3283.23</v>
      </c>
      <c r="AF584" s="41">
        <f t="shared" si="183"/>
        <v>0</v>
      </c>
      <c r="AG584" s="41">
        <f t="shared" si="184"/>
        <v>0</v>
      </c>
      <c r="AH584" s="41">
        <f t="shared" si="185"/>
        <v>590.98140000000001</v>
      </c>
      <c r="AI584" s="60">
        <f t="shared" si="186"/>
        <v>131.32920000000001</v>
      </c>
      <c r="AJ584" s="60">
        <f t="shared" si="187"/>
        <v>738.72675000000004</v>
      </c>
      <c r="AK584" s="60">
        <f t="shared" si="188"/>
        <v>2374.7197808219175</v>
      </c>
      <c r="AL584" s="60">
        <f t="shared" si="189"/>
        <v>1745.4190389041094</v>
      </c>
      <c r="AM584" s="41">
        <f t="shared" si="190"/>
        <v>667.7550110958905</v>
      </c>
      <c r="AN584" s="42">
        <f t="shared" si="191"/>
        <v>45715</v>
      </c>
      <c r="AO584" s="43">
        <f t="shared" si="192"/>
        <v>3283.23</v>
      </c>
    </row>
    <row r="585" spans="1:41" s="24" customFormat="1" ht="15.75" customHeight="1" x14ac:dyDescent="0.35">
      <c r="A585" s="36" t="s">
        <v>27</v>
      </c>
      <c r="B585" s="36">
        <v>202506</v>
      </c>
      <c r="C585" s="24" t="s">
        <v>128</v>
      </c>
      <c r="D585" s="24" t="s">
        <v>129</v>
      </c>
      <c r="E585" s="62">
        <v>45818</v>
      </c>
      <c r="F585" s="62">
        <v>46182</v>
      </c>
      <c r="G585" s="37" t="s">
        <v>711</v>
      </c>
      <c r="H585" s="36" t="s">
        <v>773</v>
      </c>
      <c r="I585" s="63">
        <v>44581</v>
      </c>
      <c r="J585" s="24" t="s">
        <v>1361</v>
      </c>
      <c r="K585" s="63">
        <f t="shared" si="176"/>
        <v>45818</v>
      </c>
      <c r="L585" s="55">
        <f t="shared" si="177"/>
        <v>0.04</v>
      </c>
      <c r="M585" s="76">
        <v>0.22500000000000001</v>
      </c>
      <c r="N585" s="62">
        <v>45818</v>
      </c>
      <c r="O585" s="62">
        <v>46182</v>
      </c>
      <c r="P585" s="63"/>
      <c r="Q585" s="63"/>
      <c r="R585" s="82">
        <v>3</v>
      </c>
      <c r="S585" s="63" t="str">
        <f>VLOOKUP(R585,SA!$B$5:$C$11,2,1)</f>
        <v>0-35</v>
      </c>
      <c r="T585" s="38" t="s">
        <v>97</v>
      </c>
      <c r="U585" s="24" t="s">
        <v>113</v>
      </c>
      <c r="V585" s="24">
        <v>300000</v>
      </c>
      <c r="W585" s="39">
        <f t="shared" si="178"/>
        <v>0</v>
      </c>
      <c r="X585" s="29">
        <f t="shared" si="179"/>
        <v>0</v>
      </c>
      <c r="Y585" s="40">
        <f t="shared" si="180"/>
        <v>365</v>
      </c>
      <c r="Z585" s="38">
        <f t="shared" si="175"/>
        <v>46081</v>
      </c>
      <c r="AA585" s="41">
        <f t="shared" si="181"/>
        <v>264</v>
      </c>
      <c r="AB585" s="24" t="s">
        <v>125</v>
      </c>
      <c r="AC585" s="41">
        <f t="shared" si="182"/>
        <v>3874.2114000000001</v>
      </c>
      <c r="AD585" s="41">
        <v>1</v>
      </c>
      <c r="AE585" s="72">
        <f>IFERROR(INDEX(SA!$C$4:$E$11,MATCH(Details!S585,SA!$C$4:$C$11,0),MATCH(Details!V585,SA!$C$4:$E$4,0)),0)*Y585/(F585-E585+1)</f>
        <v>3283.23</v>
      </c>
      <c r="AF585" s="41">
        <f t="shared" si="183"/>
        <v>0</v>
      </c>
      <c r="AG585" s="41">
        <f t="shared" si="184"/>
        <v>0</v>
      </c>
      <c r="AH585" s="41">
        <f t="shared" si="185"/>
        <v>590.98140000000001</v>
      </c>
      <c r="AI585" s="60">
        <f t="shared" si="186"/>
        <v>131.32920000000001</v>
      </c>
      <c r="AJ585" s="60">
        <f t="shared" si="187"/>
        <v>738.72675000000004</v>
      </c>
      <c r="AK585" s="60">
        <f t="shared" si="188"/>
        <v>2374.7197808219175</v>
      </c>
      <c r="AL585" s="60">
        <f t="shared" si="189"/>
        <v>1745.4190389041094</v>
      </c>
      <c r="AM585" s="41">
        <f t="shared" si="190"/>
        <v>667.7550110958905</v>
      </c>
      <c r="AN585" s="42">
        <f t="shared" si="191"/>
        <v>45715</v>
      </c>
      <c r="AO585" s="43">
        <f t="shared" si="192"/>
        <v>3283.23</v>
      </c>
    </row>
    <row r="586" spans="1:41" s="24" customFormat="1" ht="15.75" customHeight="1" x14ac:dyDescent="0.35">
      <c r="A586" s="36" t="s">
        <v>27</v>
      </c>
      <c r="B586" s="36">
        <v>202506</v>
      </c>
      <c r="C586" s="24" t="s">
        <v>128</v>
      </c>
      <c r="D586" s="24" t="s">
        <v>129</v>
      </c>
      <c r="E586" s="62">
        <v>45818</v>
      </c>
      <c r="F586" s="62">
        <v>46182</v>
      </c>
      <c r="G586" s="37" t="s">
        <v>712</v>
      </c>
      <c r="H586" s="36" t="s">
        <v>774</v>
      </c>
      <c r="I586" s="63">
        <v>29952</v>
      </c>
      <c r="J586" s="24" t="s">
        <v>1362</v>
      </c>
      <c r="K586" s="63">
        <f t="shared" si="176"/>
        <v>45818</v>
      </c>
      <c r="L586" s="55">
        <f t="shared" si="177"/>
        <v>0.04</v>
      </c>
      <c r="M586" s="76">
        <v>0.22500000000000001</v>
      </c>
      <c r="N586" s="62">
        <v>45818</v>
      </c>
      <c r="O586" s="62">
        <v>46182</v>
      </c>
      <c r="P586" s="63"/>
      <c r="Q586" s="63"/>
      <c r="R586" s="82">
        <v>43</v>
      </c>
      <c r="S586" s="63" t="str">
        <f>VLOOKUP(R586,SA!$B$5:$C$11,2,1)</f>
        <v>36-45</v>
      </c>
      <c r="T586" s="38" t="s">
        <v>96</v>
      </c>
      <c r="U586" s="24" t="s">
        <v>56</v>
      </c>
      <c r="V586" s="24">
        <v>300000</v>
      </c>
      <c r="W586" s="39">
        <f t="shared" si="178"/>
        <v>300000</v>
      </c>
      <c r="X586" s="29">
        <f t="shared" si="179"/>
        <v>1</v>
      </c>
      <c r="Y586" s="40">
        <f t="shared" si="180"/>
        <v>365</v>
      </c>
      <c r="Z586" s="38">
        <f t="shared" si="175"/>
        <v>46081</v>
      </c>
      <c r="AA586" s="41">
        <f t="shared" si="181"/>
        <v>264</v>
      </c>
      <c r="AB586" s="24" t="s">
        <v>125</v>
      </c>
      <c r="AC586" s="41">
        <f t="shared" si="182"/>
        <v>5017.3245999999999</v>
      </c>
      <c r="AD586" s="41">
        <v>1</v>
      </c>
      <c r="AE586" s="72">
        <f>IFERROR(INDEX(SA!$C$4:$E$11,MATCH(Details!S586,SA!$C$4:$C$11,0),MATCH(Details!V586,SA!$C$4:$E$4,0)),0)*Y586/(F586-E586+1)</f>
        <v>4251.97</v>
      </c>
      <c r="AF586" s="41">
        <f t="shared" si="183"/>
        <v>0</v>
      </c>
      <c r="AG586" s="41">
        <f t="shared" si="184"/>
        <v>0</v>
      </c>
      <c r="AH586" s="41">
        <f t="shared" si="185"/>
        <v>765.3546</v>
      </c>
      <c r="AI586" s="60">
        <f t="shared" si="186"/>
        <v>170.0788</v>
      </c>
      <c r="AJ586" s="60">
        <f t="shared" si="187"/>
        <v>956.69325000000003</v>
      </c>
      <c r="AK586" s="60">
        <f t="shared" si="188"/>
        <v>3075.397479452055</v>
      </c>
      <c r="AL586" s="60">
        <f t="shared" si="189"/>
        <v>2260.4171473972606</v>
      </c>
      <c r="AM586" s="41">
        <f t="shared" si="190"/>
        <v>864.78080260273941</v>
      </c>
      <c r="AN586" s="42">
        <f t="shared" si="191"/>
        <v>45715</v>
      </c>
      <c r="AO586" s="43">
        <f t="shared" si="192"/>
        <v>4251.97</v>
      </c>
    </row>
    <row r="587" spans="1:41" s="24" customFormat="1" ht="15.75" customHeight="1" x14ac:dyDescent="0.35">
      <c r="A587" s="36" t="s">
        <v>27</v>
      </c>
      <c r="B587" s="36">
        <v>202506</v>
      </c>
      <c r="C587" s="24" t="s">
        <v>128</v>
      </c>
      <c r="D587" s="24" t="s">
        <v>129</v>
      </c>
      <c r="E587" s="62">
        <v>45818</v>
      </c>
      <c r="F587" s="62">
        <v>46182</v>
      </c>
      <c r="G587" s="37" t="s">
        <v>713</v>
      </c>
      <c r="H587" s="36" t="s">
        <v>774</v>
      </c>
      <c r="I587" s="63">
        <v>28950</v>
      </c>
      <c r="J587" s="24" t="s">
        <v>1363</v>
      </c>
      <c r="K587" s="63">
        <f t="shared" si="176"/>
        <v>45818</v>
      </c>
      <c r="L587" s="55">
        <f t="shared" si="177"/>
        <v>0.04</v>
      </c>
      <c r="M587" s="76">
        <v>0.22500000000000001</v>
      </c>
      <c r="N587" s="62">
        <v>45818</v>
      </c>
      <c r="O587" s="62">
        <v>46182</v>
      </c>
      <c r="P587" s="63"/>
      <c r="Q587" s="63"/>
      <c r="R587" s="82">
        <v>46</v>
      </c>
      <c r="S587" s="63" t="str">
        <f>VLOOKUP(R587,SA!$B$5:$C$11,2,1)</f>
        <v>46-55</v>
      </c>
      <c r="T587" s="38" t="s">
        <v>97</v>
      </c>
      <c r="U587" s="24" t="s">
        <v>115</v>
      </c>
      <c r="V587" s="24">
        <v>300000</v>
      </c>
      <c r="W587" s="39">
        <f t="shared" si="178"/>
        <v>0</v>
      </c>
      <c r="X587" s="29">
        <f t="shared" si="179"/>
        <v>0</v>
      </c>
      <c r="Y587" s="40">
        <f t="shared" si="180"/>
        <v>365</v>
      </c>
      <c r="Z587" s="38">
        <f t="shared" si="175"/>
        <v>46081</v>
      </c>
      <c r="AA587" s="41">
        <f t="shared" si="181"/>
        <v>264</v>
      </c>
      <c r="AB587" s="24" t="s">
        <v>125</v>
      </c>
      <c r="AC587" s="41">
        <f t="shared" si="182"/>
        <v>9586.9925999999996</v>
      </c>
      <c r="AD587" s="41">
        <v>1</v>
      </c>
      <c r="AE587" s="72">
        <f>IFERROR(INDEX(SA!$C$4:$E$11,MATCH(Details!S587,SA!$C$4:$C$11,0),MATCH(Details!V587,SA!$C$4:$E$4,0)),0)*Y587/(F587-E587+1)</f>
        <v>8124.57</v>
      </c>
      <c r="AF587" s="41">
        <f t="shared" si="183"/>
        <v>0</v>
      </c>
      <c r="AG587" s="41">
        <f t="shared" si="184"/>
        <v>0</v>
      </c>
      <c r="AH587" s="41">
        <f t="shared" si="185"/>
        <v>1462.4225999999999</v>
      </c>
      <c r="AI587" s="60">
        <f t="shared" si="186"/>
        <v>324.9828</v>
      </c>
      <c r="AJ587" s="60">
        <f t="shared" si="187"/>
        <v>1828.0282500000001</v>
      </c>
      <c r="AK587" s="60">
        <f t="shared" si="188"/>
        <v>5876.4013150684932</v>
      </c>
      <c r="AL587" s="60">
        <f t="shared" si="189"/>
        <v>4319.1549665753428</v>
      </c>
      <c r="AM587" s="41">
        <f t="shared" si="190"/>
        <v>1652.4039834246571</v>
      </c>
      <c r="AN587" s="42">
        <f t="shared" si="191"/>
        <v>45715</v>
      </c>
      <c r="AO587" s="43">
        <f t="shared" si="192"/>
        <v>8124.57</v>
      </c>
    </row>
    <row r="588" spans="1:41" s="24" customFormat="1" ht="15.75" customHeight="1" x14ac:dyDescent="0.35">
      <c r="A588" s="36" t="s">
        <v>27</v>
      </c>
      <c r="B588" s="36">
        <v>202506</v>
      </c>
      <c r="C588" s="24" t="s">
        <v>128</v>
      </c>
      <c r="D588" s="24" t="s">
        <v>129</v>
      </c>
      <c r="E588" s="62">
        <v>45818</v>
      </c>
      <c r="F588" s="62">
        <v>46182</v>
      </c>
      <c r="G588" s="37" t="s">
        <v>714</v>
      </c>
      <c r="H588" s="36" t="s">
        <v>774</v>
      </c>
      <c r="I588" s="63">
        <v>36797</v>
      </c>
      <c r="J588" s="24" t="s">
        <v>1364</v>
      </c>
      <c r="K588" s="63">
        <f t="shared" si="176"/>
        <v>45818</v>
      </c>
      <c r="L588" s="55">
        <f t="shared" si="177"/>
        <v>0.04</v>
      </c>
      <c r="M588" s="76">
        <v>0.22500000000000001</v>
      </c>
      <c r="N588" s="62">
        <v>45818</v>
      </c>
      <c r="O588" s="62">
        <v>46182</v>
      </c>
      <c r="P588" s="63"/>
      <c r="Q588" s="63"/>
      <c r="R588" s="82">
        <v>24</v>
      </c>
      <c r="S588" s="63" t="str">
        <f>VLOOKUP(R588,SA!$B$5:$C$11,2,1)</f>
        <v>0-35</v>
      </c>
      <c r="T588" s="38" t="s">
        <v>96</v>
      </c>
      <c r="U588" s="24" t="s">
        <v>114</v>
      </c>
      <c r="V588" s="24">
        <v>300000</v>
      </c>
      <c r="W588" s="39">
        <f t="shared" si="178"/>
        <v>0</v>
      </c>
      <c r="X588" s="29">
        <f t="shared" si="179"/>
        <v>0</v>
      </c>
      <c r="Y588" s="40">
        <f t="shared" si="180"/>
        <v>365</v>
      </c>
      <c r="Z588" s="38">
        <f t="shared" si="175"/>
        <v>46081</v>
      </c>
      <c r="AA588" s="41">
        <f t="shared" si="181"/>
        <v>264</v>
      </c>
      <c r="AB588" s="24" t="s">
        <v>125</v>
      </c>
      <c r="AC588" s="41">
        <f t="shared" si="182"/>
        <v>3874.2114000000001</v>
      </c>
      <c r="AD588" s="41">
        <v>1</v>
      </c>
      <c r="AE588" s="72">
        <f>IFERROR(INDEX(SA!$C$4:$E$11,MATCH(Details!S588,SA!$C$4:$C$11,0),MATCH(Details!V588,SA!$C$4:$E$4,0)),0)*Y588/(F588-E588+1)</f>
        <v>3283.23</v>
      </c>
      <c r="AF588" s="41">
        <f t="shared" si="183"/>
        <v>0</v>
      </c>
      <c r="AG588" s="41">
        <f t="shared" si="184"/>
        <v>0</v>
      </c>
      <c r="AH588" s="41">
        <f t="shared" si="185"/>
        <v>590.98140000000001</v>
      </c>
      <c r="AI588" s="60">
        <f t="shared" si="186"/>
        <v>131.32920000000001</v>
      </c>
      <c r="AJ588" s="60">
        <f t="shared" si="187"/>
        <v>738.72675000000004</v>
      </c>
      <c r="AK588" s="60">
        <f t="shared" si="188"/>
        <v>2374.7197808219175</v>
      </c>
      <c r="AL588" s="60">
        <f t="shared" si="189"/>
        <v>1745.4190389041094</v>
      </c>
      <c r="AM588" s="41">
        <f t="shared" si="190"/>
        <v>667.7550110958905</v>
      </c>
      <c r="AN588" s="42">
        <f t="shared" si="191"/>
        <v>45715</v>
      </c>
      <c r="AO588" s="43">
        <f t="shared" si="192"/>
        <v>3283.23</v>
      </c>
    </row>
    <row r="589" spans="1:41" s="24" customFormat="1" ht="15.75" customHeight="1" x14ac:dyDescent="0.35">
      <c r="A589" s="36" t="s">
        <v>27</v>
      </c>
      <c r="B589" s="36">
        <v>202506</v>
      </c>
      <c r="C589" s="24" t="s">
        <v>128</v>
      </c>
      <c r="D589" s="24" t="s">
        <v>129</v>
      </c>
      <c r="E589" s="62">
        <v>45818</v>
      </c>
      <c r="F589" s="62">
        <v>46182</v>
      </c>
      <c r="G589" s="37" t="s">
        <v>715</v>
      </c>
      <c r="H589" s="36" t="s">
        <v>774</v>
      </c>
      <c r="I589" s="63">
        <v>39861</v>
      </c>
      <c r="J589" s="24" t="s">
        <v>1365</v>
      </c>
      <c r="K589" s="63">
        <f t="shared" si="176"/>
        <v>45818</v>
      </c>
      <c r="L589" s="55">
        <f t="shared" si="177"/>
        <v>0.04</v>
      </c>
      <c r="M589" s="76">
        <v>0.22500000000000001</v>
      </c>
      <c r="N589" s="62">
        <v>45818</v>
      </c>
      <c r="O589" s="62">
        <v>46182</v>
      </c>
      <c r="P589" s="63"/>
      <c r="Q589" s="63"/>
      <c r="R589" s="82">
        <v>16</v>
      </c>
      <c r="S589" s="63" t="str">
        <f>VLOOKUP(R589,SA!$B$5:$C$11,2,1)</f>
        <v>0-35</v>
      </c>
      <c r="T589" s="38" t="s">
        <v>96</v>
      </c>
      <c r="U589" s="24" t="s">
        <v>114</v>
      </c>
      <c r="V589" s="24">
        <v>300000</v>
      </c>
      <c r="W589" s="39">
        <f t="shared" si="178"/>
        <v>0</v>
      </c>
      <c r="X589" s="29">
        <f t="shared" si="179"/>
        <v>0</v>
      </c>
      <c r="Y589" s="40">
        <f t="shared" si="180"/>
        <v>365</v>
      </c>
      <c r="Z589" s="38">
        <f t="shared" si="175"/>
        <v>46081</v>
      </c>
      <c r="AA589" s="41">
        <f t="shared" si="181"/>
        <v>264</v>
      </c>
      <c r="AB589" s="24" t="s">
        <v>125</v>
      </c>
      <c r="AC589" s="41">
        <f t="shared" si="182"/>
        <v>3874.2114000000001</v>
      </c>
      <c r="AD589" s="41">
        <v>1</v>
      </c>
      <c r="AE589" s="72">
        <f>IFERROR(INDEX(SA!$C$4:$E$11,MATCH(Details!S589,SA!$C$4:$C$11,0),MATCH(Details!V589,SA!$C$4:$E$4,0)),0)*Y589/(F589-E589+1)</f>
        <v>3283.23</v>
      </c>
      <c r="AF589" s="41">
        <f t="shared" si="183"/>
        <v>0</v>
      </c>
      <c r="AG589" s="41">
        <f t="shared" si="184"/>
        <v>0</v>
      </c>
      <c r="AH589" s="41">
        <f t="shared" si="185"/>
        <v>590.98140000000001</v>
      </c>
      <c r="AI589" s="60">
        <f t="shared" si="186"/>
        <v>131.32920000000001</v>
      </c>
      <c r="AJ589" s="60">
        <f t="shared" si="187"/>
        <v>738.72675000000004</v>
      </c>
      <c r="AK589" s="60">
        <f t="shared" si="188"/>
        <v>2374.7197808219175</v>
      </c>
      <c r="AL589" s="60">
        <f t="shared" si="189"/>
        <v>1745.4190389041094</v>
      </c>
      <c r="AM589" s="41">
        <f t="shared" si="190"/>
        <v>667.7550110958905</v>
      </c>
      <c r="AN589" s="42">
        <f t="shared" si="191"/>
        <v>45715</v>
      </c>
      <c r="AO589" s="43">
        <f t="shared" si="192"/>
        <v>3283.23</v>
      </c>
    </row>
    <row r="590" spans="1:41" s="24" customFormat="1" ht="15.75" customHeight="1" x14ac:dyDescent="0.35">
      <c r="A590" s="36" t="s">
        <v>27</v>
      </c>
      <c r="B590" s="36">
        <v>202506</v>
      </c>
      <c r="C590" s="24" t="s">
        <v>128</v>
      </c>
      <c r="D590" s="24" t="s">
        <v>129</v>
      </c>
      <c r="E590" s="62">
        <v>45818</v>
      </c>
      <c r="F590" s="62">
        <v>46182</v>
      </c>
      <c r="G590" s="37" t="s">
        <v>716</v>
      </c>
      <c r="H590" s="36" t="s">
        <v>775</v>
      </c>
      <c r="I590" s="63">
        <v>34053</v>
      </c>
      <c r="J590" s="24" t="s">
        <v>1366</v>
      </c>
      <c r="K590" s="63">
        <f t="shared" si="176"/>
        <v>45818</v>
      </c>
      <c r="L590" s="55">
        <f t="shared" si="177"/>
        <v>0.04</v>
      </c>
      <c r="M590" s="76">
        <v>0.22500000000000001</v>
      </c>
      <c r="N590" s="62">
        <v>45818</v>
      </c>
      <c r="O590" s="62">
        <v>46182</v>
      </c>
      <c r="P590" s="63"/>
      <c r="Q590" s="63"/>
      <c r="R590" s="82">
        <v>32</v>
      </c>
      <c r="S590" s="63" t="str">
        <f>VLOOKUP(R590,SA!$B$5:$C$11,2,1)</f>
        <v>0-35</v>
      </c>
      <c r="T590" s="38" t="s">
        <v>97</v>
      </c>
      <c r="U590" s="24" t="s">
        <v>56</v>
      </c>
      <c r="V590" s="24">
        <v>300000</v>
      </c>
      <c r="W590" s="39">
        <f t="shared" si="178"/>
        <v>300000</v>
      </c>
      <c r="X590" s="29">
        <f t="shared" si="179"/>
        <v>1</v>
      </c>
      <c r="Y590" s="40">
        <f t="shared" si="180"/>
        <v>365</v>
      </c>
      <c r="Z590" s="38">
        <f t="shared" si="175"/>
        <v>46081</v>
      </c>
      <c r="AA590" s="41">
        <f t="shared" si="181"/>
        <v>264</v>
      </c>
      <c r="AB590" s="24" t="s">
        <v>125</v>
      </c>
      <c r="AC590" s="41">
        <f t="shared" si="182"/>
        <v>3874.2114000000001</v>
      </c>
      <c r="AD590" s="41">
        <v>1</v>
      </c>
      <c r="AE590" s="72">
        <f>IFERROR(INDEX(SA!$C$4:$E$11,MATCH(Details!S590,SA!$C$4:$C$11,0),MATCH(Details!V590,SA!$C$4:$E$4,0)),0)*Y590/(F590-E590+1)</f>
        <v>3283.23</v>
      </c>
      <c r="AF590" s="41">
        <f t="shared" si="183"/>
        <v>0</v>
      </c>
      <c r="AG590" s="41">
        <f t="shared" si="184"/>
        <v>0</v>
      </c>
      <c r="AH590" s="41">
        <f t="shared" si="185"/>
        <v>590.98140000000001</v>
      </c>
      <c r="AI590" s="60">
        <f t="shared" si="186"/>
        <v>131.32920000000001</v>
      </c>
      <c r="AJ590" s="60">
        <f t="shared" si="187"/>
        <v>738.72675000000004</v>
      </c>
      <c r="AK590" s="60">
        <f t="shared" si="188"/>
        <v>2374.7197808219175</v>
      </c>
      <c r="AL590" s="60">
        <f t="shared" si="189"/>
        <v>1745.4190389041094</v>
      </c>
      <c r="AM590" s="41">
        <f t="shared" si="190"/>
        <v>667.7550110958905</v>
      </c>
      <c r="AN590" s="42">
        <f t="shared" si="191"/>
        <v>45715</v>
      </c>
      <c r="AO590" s="43">
        <f t="shared" si="192"/>
        <v>3283.23</v>
      </c>
    </row>
    <row r="591" spans="1:41" s="24" customFormat="1" ht="15.75" customHeight="1" x14ac:dyDescent="0.35">
      <c r="A591" s="36" t="s">
        <v>27</v>
      </c>
      <c r="B591" s="36">
        <v>202506</v>
      </c>
      <c r="C591" s="24" t="s">
        <v>128</v>
      </c>
      <c r="D591" s="24" t="s">
        <v>129</v>
      </c>
      <c r="E591" s="62">
        <v>45818</v>
      </c>
      <c r="F591" s="62">
        <v>46182</v>
      </c>
      <c r="G591" s="37" t="s">
        <v>717</v>
      </c>
      <c r="H591" s="36" t="s">
        <v>776</v>
      </c>
      <c r="I591" s="63">
        <v>34302</v>
      </c>
      <c r="J591" s="24" t="s">
        <v>1367</v>
      </c>
      <c r="K591" s="63">
        <f t="shared" si="176"/>
        <v>45818</v>
      </c>
      <c r="L591" s="55">
        <f t="shared" si="177"/>
        <v>0.04</v>
      </c>
      <c r="M591" s="76">
        <v>0.22500000000000001</v>
      </c>
      <c r="N591" s="62">
        <v>45818</v>
      </c>
      <c r="O591" s="62">
        <v>46182</v>
      </c>
      <c r="P591" s="63"/>
      <c r="Q591" s="63"/>
      <c r="R591" s="82">
        <v>31</v>
      </c>
      <c r="S591" s="63" t="str">
        <f>VLOOKUP(R591,SA!$B$5:$C$11,2,1)</f>
        <v>0-35</v>
      </c>
      <c r="T591" s="38" t="s">
        <v>96</v>
      </c>
      <c r="U591" s="24" t="s">
        <v>56</v>
      </c>
      <c r="V591" s="24">
        <v>300000</v>
      </c>
      <c r="W591" s="39">
        <f t="shared" si="178"/>
        <v>300000</v>
      </c>
      <c r="X591" s="29">
        <f t="shared" si="179"/>
        <v>1</v>
      </c>
      <c r="Y591" s="40">
        <f t="shared" si="180"/>
        <v>365</v>
      </c>
      <c r="Z591" s="38">
        <f t="shared" si="175"/>
        <v>46081</v>
      </c>
      <c r="AA591" s="41">
        <f t="shared" si="181"/>
        <v>264</v>
      </c>
      <c r="AB591" s="24" t="s">
        <v>125</v>
      </c>
      <c r="AC591" s="41">
        <f t="shared" si="182"/>
        <v>3874.2114000000001</v>
      </c>
      <c r="AD591" s="41">
        <v>1</v>
      </c>
      <c r="AE591" s="72">
        <f>IFERROR(INDEX(SA!$C$4:$E$11,MATCH(Details!S591,SA!$C$4:$C$11,0),MATCH(Details!V591,SA!$C$4:$E$4,0)),0)*Y591/(F591-E591+1)</f>
        <v>3283.23</v>
      </c>
      <c r="AF591" s="41">
        <f t="shared" si="183"/>
        <v>0</v>
      </c>
      <c r="AG591" s="41">
        <f t="shared" si="184"/>
        <v>0</v>
      </c>
      <c r="AH591" s="41">
        <f t="shared" si="185"/>
        <v>590.98140000000001</v>
      </c>
      <c r="AI591" s="60">
        <f t="shared" si="186"/>
        <v>131.32920000000001</v>
      </c>
      <c r="AJ591" s="60">
        <f t="shared" si="187"/>
        <v>738.72675000000004</v>
      </c>
      <c r="AK591" s="60">
        <f t="shared" si="188"/>
        <v>2374.7197808219175</v>
      </c>
      <c r="AL591" s="60">
        <f t="shared" si="189"/>
        <v>1745.4190389041094</v>
      </c>
      <c r="AM591" s="41">
        <f t="shared" si="190"/>
        <v>667.7550110958905</v>
      </c>
      <c r="AN591" s="42">
        <f t="shared" si="191"/>
        <v>45715</v>
      </c>
      <c r="AO591" s="43">
        <f t="shared" si="192"/>
        <v>3283.23</v>
      </c>
    </row>
    <row r="592" spans="1:41" s="24" customFormat="1" ht="15.75" customHeight="1" x14ac:dyDescent="0.35">
      <c r="A592" s="36" t="s">
        <v>27</v>
      </c>
      <c r="B592" s="36">
        <v>202506</v>
      </c>
      <c r="C592" s="24" t="s">
        <v>128</v>
      </c>
      <c r="D592" s="24" t="s">
        <v>129</v>
      </c>
      <c r="E592" s="62">
        <v>45818</v>
      </c>
      <c r="F592" s="62">
        <v>46182</v>
      </c>
      <c r="G592" s="37" t="s">
        <v>718</v>
      </c>
      <c r="H592" s="36" t="s">
        <v>776</v>
      </c>
      <c r="I592" s="63">
        <v>33240</v>
      </c>
      <c r="J592" s="24" t="s">
        <v>1368</v>
      </c>
      <c r="K592" s="63">
        <f t="shared" si="176"/>
        <v>45818</v>
      </c>
      <c r="L592" s="55">
        <f t="shared" si="177"/>
        <v>0.04</v>
      </c>
      <c r="M592" s="76">
        <v>0.22500000000000001</v>
      </c>
      <c r="N592" s="62">
        <v>45818</v>
      </c>
      <c r="O592" s="62">
        <v>46182</v>
      </c>
      <c r="P592" s="63"/>
      <c r="Q592" s="63"/>
      <c r="R592" s="82">
        <v>34</v>
      </c>
      <c r="S592" s="63" t="str">
        <f>VLOOKUP(R592,SA!$B$5:$C$11,2,1)</f>
        <v>0-35</v>
      </c>
      <c r="T592" s="38" t="s">
        <v>97</v>
      </c>
      <c r="U592" s="24" t="s">
        <v>115</v>
      </c>
      <c r="V592" s="24">
        <v>300000</v>
      </c>
      <c r="W592" s="39">
        <f t="shared" si="178"/>
        <v>0</v>
      </c>
      <c r="X592" s="29">
        <f t="shared" si="179"/>
        <v>0</v>
      </c>
      <c r="Y592" s="40">
        <f t="shared" si="180"/>
        <v>365</v>
      </c>
      <c r="Z592" s="38">
        <f t="shared" si="175"/>
        <v>46081</v>
      </c>
      <c r="AA592" s="41">
        <f t="shared" si="181"/>
        <v>264</v>
      </c>
      <c r="AB592" s="24" t="s">
        <v>125</v>
      </c>
      <c r="AC592" s="41">
        <f t="shared" si="182"/>
        <v>3874.2114000000001</v>
      </c>
      <c r="AD592" s="41">
        <v>1</v>
      </c>
      <c r="AE592" s="72">
        <f>IFERROR(INDEX(SA!$C$4:$E$11,MATCH(Details!S592,SA!$C$4:$C$11,0),MATCH(Details!V592,SA!$C$4:$E$4,0)),0)*Y592/(F592-E592+1)</f>
        <v>3283.23</v>
      </c>
      <c r="AF592" s="41">
        <f t="shared" si="183"/>
        <v>0</v>
      </c>
      <c r="AG592" s="41">
        <f t="shared" si="184"/>
        <v>0</v>
      </c>
      <c r="AH592" s="41">
        <f t="shared" si="185"/>
        <v>590.98140000000001</v>
      </c>
      <c r="AI592" s="60">
        <f t="shared" si="186"/>
        <v>131.32920000000001</v>
      </c>
      <c r="AJ592" s="60">
        <f t="shared" si="187"/>
        <v>738.72675000000004</v>
      </c>
      <c r="AK592" s="60">
        <f t="shared" si="188"/>
        <v>2374.7197808219175</v>
      </c>
      <c r="AL592" s="60">
        <f t="shared" si="189"/>
        <v>1745.4190389041094</v>
      </c>
      <c r="AM592" s="41">
        <f t="shared" si="190"/>
        <v>667.7550110958905</v>
      </c>
      <c r="AN592" s="42">
        <f t="shared" si="191"/>
        <v>45715</v>
      </c>
      <c r="AO592" s="43">
        <f t="shared" si="192"/>
        <v>3283.23</v>
      </c>
    </row>
    <row r="593" spans="1:41" s="24" customFormat="1" ht="15.75" customHeight="1" x14ac:dyDescent="0.35">
      <c r="A593" s="36" t="s">
        <v>27</v>
      </c>
      <c r="B593" s="36">
        <v>202506</v>
      </c>
      <c r="C593" s="24" t="s">
        <v>128</v>
      </c>
      <c r="D593" s="24" t="s">
        <v>129</v>
      </c>
      <c r="E593" s="62">
        <v>45818</v>
      </c>
      <c r="F593" s="62">
        <v>46182</v>
      </c>
      <c r="G593" s="37" t="s">
        <v>719</v>
      </c>
      <c r="H593" s="36" t="s">
        <v>777</v>
      </c>
      <c r="I593" s="63">
        <v>31693</v>
      </c>
      <c r="J593" s="24" t="s">
        <v>1369</v>
      </c>
      <c r="K593" s="63">
        <f t="shared" si="176"/>
        <v>45818</v>
      </c>
      <c r="L593" s="55">
        <f t="shared" si="177"/>
        <v>0.04</v>
      </c>
      <c r="M593" s="76">
        <v>0.22500000000000001</v>
      </c>
      <c r="N593" s="62">
        <v>45818</v>
      </c>
      <c r="O593" s="62">
        <v>46182</v>
      </c>
      <c r="P593" s="63"/>
      <c r="Q593" s="63"/>
      <c r="R593" s="82">
        <v>38</v>
      </c>
      <c r="S593" s="63" t="str">
        <f>VLOOKUP(R593,SA!$B$5:$C$11,2,1)</f>
        <v>36-45</v>
      </c>
      <c r="T593" s="38" t="s">
        <v>96</v>
      </c>
      <c r="U593" s="24" t="s">
        <v>56</v>
      </c>
      <c r="V593" s="24">
        <v>300000</v>
      </c>
      <c r="W593" s="39">
        <f t="shared" si="178"/>
        <v>300000</v>
      </c>
      <c r="X593" s="29">
        <f t="shared" si="179"/>
        <v>1</v>
      </c>
      <c r="Y593" s="40">
        <f t="shared" si="180"/>
        <v>365</v>
      </c>
      <c r="Z593" s="38">
        <f t="shared" si="175"/>
        <v>46081</v>
      </c>
      <c r="AA593" s="41">
        <f t="shared" si="181"/>
        <v>264</v>
      </c>
      <c r="AB593" s="24" t="s">
        <v>125</v>
      </c>
      <c r="AC593" s="41">
        <f t="shared" si="182"/>
        <v>5017.3245999999999</v>
      </c>
      <c r="AD593" s="41">
        <v>1</v>
      </c>
      <c r="AE593" s="72">
        <f>IFERROR(INDEX(SA!$C$4:$E$11,MATCH(Details!S593,SA!$C$4:$C$11,0),MATCH(Details!V593,SA!$C$4:$E$4,0)),0)*Y593/(F593-E593+1)</f>
        <v>4251.97</v>
      </c>
      <c r="AF593" s="41">
        <f t="shared" si="183"/>
        <v>0</v>
      </c>
      <c r="AG593" s="41">
        <f t="shared" si="184"/>
        <v>0</v>
      </c>
      <c r="AH593" s="41">
        <f t="shared" si="185"/>
        <v>765.3546</v>
      </c>
      <c r="AI593" s="60">
        <f t="shared" si="186"/>
        <v>170.0788</v>
      </c>
      <c r="AJ593" s="60">
        <f t="shared" si="187"/>
        <v>956.69325000000003</v>
      </c>
      <c r="AK593" s="60">
        <f t="shared" si="188"/>
        <v>3075.397479452055</v>
      </c>
      <c r="AL593" s="60">
        <f t="shared" si="189"/>
        <v>2260.4171473972606</v>
      </c>
      <c r="AM593" s="41">
        <f t="shared" si="190"/>
        <v>864.78080260273941</v>
      </c>
      <c r="AN593" s="42">
        <f t="shared" si="191"/>
        <v>45715</v>
      </c>
      <c r="AO593" s="43">
        <f t="shared" si="192"/>
        <v>4251.97</v>
      </c>
    </row>
    <row r="594" spans="1:41" s="24" customFormat="1" ht="15.75" customHeight="1" x14ac:dyDescent="0.35">
      <c r="A594" s="36" t="s">
        <v>27</v>
      </c>
      <c r="B594" s="36">
        <v>202506</v>
      </c>
      <c r="C594" s="24" t="s">
        <v>128</v>
      </c>
      <c r="D594" s="24" t="s">
        <v>129</v>
      </c>
      <c r="E594" s="62">
        <v>45818</v>
      </c>
      <c r="F594" s="62">
        <v>46182</v>
      </c>
      <c r="G594" s="37" t="s">
        <v>720</v>
      </c>
      <c r="H594" s="36" t="s">
        <v>778</v>
      </c>
      <c r="I594" s="63">
        <v>33785</v>
      </c>
      <c r="J594" s="24" t="s">
        <v>1370</v>
      </c>
      <c r="K594" s="63">
        <f t="shared" si="176"/>
        <v>45818</v>
      </c>
      <c r="L594" s="55">
        <f t="shared" si="177"/>
        <v>0.04</v>
      </c>
      <c r="M594" s="76">
        <v>0.22500000000000001</v>
      </c>
      <c r="N594" s="62">
        <v>45818</v>
      </c>
      <c r="O594" s="62">
        <v>46182</v>
      </c>
      <c r="P594" s="63"/>
      <c r="Q594" s="63"/>
      <c r="R594" s="82">
        <v>32</v>
      </c>
      <c r="S594" s="63" t="str">
        <f>VLOOKUP(R594,SA!$B$5:$C$11,2,1)</f>
        <v>0-35</v>
      </c>
      <c r="T594" s="38" t="s">
        <v>96</v>
      </c>
      <c r="U594" s="24" t="s">
        <v>56</v>
      </c>
      <c r="V594" s="24">
        <v>300000</v>
      </c>
      <c r="W594" s="39">
        <f t="shared" si="178"/>
        <v>300000</v>
      </c>
      <c r="X594" s="29">
        <f t="shared" si="179"/>
        <v>1</v>
      </c>
      <c r="Y594" s="40">
        <f t="shared" si="180"/>
        <v>365</v>
      </c>
      <c r="Z594" s="38">
        <f t="shared" si="175"/>
        <v>46081</v>
      </c>
      <c r="AA594" s="41">
        <f t="shared" si="181"/>
        <v>264</v>
      </c>
      <c r="AB594" s="24" t="s">
        <v>125</v>
      </c>
      <c r="AC594" s="41">
        <f t="shared" si="182"/>
        <v>3874.2114000000001</v>
      </c>
      <c r="AD594" s="41">
        <v>1</v>
      </c>
      <c r="AE594" s="72">
        <f>IFERROR(INDEX(SA!$C$4:$E$11,MATCH(Details!S594,SA!$C$4:$C$11,0),MATCH(Details!V594,SA!$C$4:$E$4,0)),0)*Y594/(F594-E594+1)</f>
        <v>3283.23</v>
      </c>
      <c r="AF594" s="41">
        <f t="shared" si="183"/>
        <v>0</v>
      </c>
      <c r="AG594" s="41">
        <f t="shared" si="184"/>
        <v>0</v>
      </c>
      <c r="AH594" s="41">
        <f t="shared" si="185"/>
        <v>590.98140000000001</v>
      </c>
      <c r="AI594" s="60">
        <f t="shared" si="186"/>
        <v>131.32920000000001</v>
      </c>
      <c r="AJ594" s="60">
        <f t="shared" si="187"/>
        <v>738.72675000000004</v>
      </c>
      <c r="AK594" s="60">
        <f t="shared" si="188"/>
        <v>2374.7197808219175</v>
      </c>
      <c r="AL594" s="60">
        <f t="shared" si="189"/>
        <v>1745.4190389041094</v>
      </c>
      <c r="AM594" s="41">
        <f t="shared" si="190"/>
        <v>667.7550110958905</v>
      </c>
      <c r="AN594" s="42">
        <f t="shared" si="191"/>
        <v>45715</v>
      </c>
      <c r="AO594" s="43">
        <f t="shared" si="192"/>
        <v>3283.23</v>
      </c>
    </row>
    <row r="595" spans="1:41" s="24" customFormat="1" ht="15.75" customHeight="1" x14ac:dyDescent="0.35">
      <c r="A595" s="36" t="s">
        <v>27</v>
      </c>
      <c r="B595" s="36">
        <v>202506</v>
      </c>
      <c r="C595" s="24" t="s">
        <v>128</v>
      </c>
      <c r="D595" s="24" t="s">
        <v>129</v>
      </c>
      <c r="E595" s="62">
        <v>45818</v>
      </c>
      <c r="F595" s="62">
        <v>46182</v>
      </c>
      <c r="G595" s="37" t="s">
        <v>721</v>
      </c>
      <c r="H595" s="36" t="s">
        <v>778</v>
      </c>
      <c r="I595" s="63">
        <v>36161</v>
      </c>
      <c r="J595" s="24" t="s">
        <v>1371</v>
      </c>
      <c r="K595" s="63">
        <f t="shared" si="176"/>
        <v>45818</v>
      </c>
      <c r="L595" s="55">
        <f t="shared" si="177"/>
        <v>0.04</v>
      </c>
      <c r="M595" s="76">
        <v>0.22500000000000001</v>
      </c>
      <c r="N595" s="62">
        <v>45818</v>
      </c>
      <c r="O595" s="62">
        <v>46182</v>
      </c>
      <c r="P595" s="63"/>
      <c r="Q595" s="63"/>
      <c r="R595" s="82">
        <v>26</v>
      </c>
      <c r="S595" s="63" t="str">
        <f>VLOOKUP(R595,SA!$B$5:$C$11,2,1)</f>
        <v>0-35</v>
      </c>
      <c r="T595" s="38" t="s">
        <v>97</v>
      </c>
      <c r="U595" s="24" t="s">
        <v>115</v>
      </c>
      <c r="V595" s="24">
        <v>300000</v>
      </c>
      <c r="W595" s="39">
        <f t="shared" si="178"/>
        <v>0</v>
      </c>
      <c r="X595" s="29">
        <f t="shared" si="179"/>
        <v>0</v>
      </c>
      <c r="Y595" s="40">
        <f t="shared" si="180"/>
        <v>365</v>
      </c>
      <c r="Z595" s="38">
        <f t="shared" si="175"/>
        <v>46081</v>
      </c>
      <c r="AA595" s="41">
        <f t="shared" si="181"/>
        <v>264</v>
      </c>
      <c r="AB595" s="24" t="s">
        <v>125</v>
      </c>
      <c r="AC595" s="41">
        <f t="shared" si="182"/>
        <v>3874.2114000000001</v>
      </c>
      <c r="AD595" s="41">
        <v>1</v>
      </c>
      <c r="AE595" s="72">
        <f>IFERROR(INDEX(SA!$C$4:$E$11,MATCH(Details!S595,SA!$C$4:$C$11,0),MATCH(Details!V595,SA!$C$4:$E$4,0)),0)*Y595/(F595-E595+1)</f>
        <v>3283.23</v>
      </c>
      <c r="AF595" s="41">
        <f t="shared" si="183"/>
        <v>0</v>
      </c>
      <c r="AG595" s="41">
        <f t="shared" si="184"/>
        <v>0</v>
      </c>
      <c r="AH595" s="41">
        <f t="shared" si="185"/>
        <v>590.98140000000001</v>
      </c>
      <c r="AI595" s="60">
        <f t="shared" si="186"/>
        <v>131.32920000000001</v>
      </c>
      <c r="AJ595" s="60">
        <f t="shared" si="187"/>
        <v>738.72675000000004</v>
      </c>
      <c r="AK595" s="60">
        <f t="shared" si="188"/>
        <v>2374.7197808219175</v>
      </c>
      <c r="AL595" s="60">
        <f t="shared" si="189"/>
        <v>1745.4190389041094</v>
      </c>
      <c r="AM595" s="41">
        <f t="shared" si="190"/>
        <v>667.7550110958905</v>
      </c>
      <c r="AN595" s="42">
        <f t="shared" si="191"/>
        <v>45715</v>
      </c>
      <c r="AO595" s="43">
        <f t="shared" si="192"/>
        <v>3283.23</v>
      </c>
    </row>
    <row r="596" spans="1:41" s="24" customFormat="1" ht="15.75" customHeight="1" x14ac:dyDescent="0.35">
      <c r="A596" s="36" t="s">
        <v>27</v>
      </c>
      <c r="B596" s="36">
        <v>202506</v>
      </c>
      <c r="C596" s="24" t="s">
        <v>128</v>
      </c>
      <c r="D596" s="24" t="s">
        <v>129</v>
      </c>
      <c r="E596" s="62">
        <v>45818</v>
      </c>
      <c r="F596" s="62">
        <v>46182</v>
      </c>
      <c r="G596" s="37" t="s">
        <v>722</v>
      </c>
      <c r="H596" s="36" t="s">
        <v>778</v>
      </c>
      <c r="I596" s="63">
        <v>45036</v>
      </c>
      <c r="J596" s="24" t="s">
        <v>1372</v>
      </c>
      <c r="K596" s="63">
        <f t="shared" si="176"/>
        <v>45818</v>
      </c>
      <c r="L596" s="55">
        <f t="shared" si="177"/>
        <v>0.04</v>
      </c>
      <c r="M596" s="76">
        <v>0.22500000000000001</v>
      </c>
      <c r="N596" s="62">
        <v>45818</v>
      </c>
      <c r="O596" s="62">
        <v>46182</v>
      </c>
      <c r="P596" s="63"/>
      <c r="Q596" s="63"/>
      <c r="R596" s="82">
        <v>2</v>
      </c>
      <c r="S596" s="63" t="str">
        <f>VLOOKUP(R596,SA!$B$5:$C$11,2,1)</f>
        <v>0-35</v>
      </c>
      <c r="T596" s="38" t="s">
        <v>96</v>
      </c>
      <c r="U596" s="24" t="s">
        <v>114</v>
      </c>
      <c r="V596" s="24">
        <v>300000</v>
      </c>
      <c r="W596" s="39">
        <f t="shared" si="178"/>
        <v>0</v>
      </c>
      <c r="X596" s="29">
        <f t="shared" si="179"/>
        <v>0</v>
      </c>
      <c r="Y596" s="40">
        <f t="shared" si="180"/>
        <v>365</v>
      </c>
      <c r="Z596" s="38">
        <f t="shared" si="175"/>
        <v>46081</v>
      </c>
      <c r="AA596" s="41">
        <f t="shared" si="181"/>
        <v>264</v>
      </c>
      <c r="AB596" s="24" t="s">
        <v>125</v>
      </c>
      <c r="AC596" s="41">
        <f t="shared" si="182"/>
        <v>3874.2114000000001</v>
      </c>
      <c r="AD596" s="41">
        <v>1</v>
      </c>
      <c r="AE596" s="72">
        <f>IFERROR(INDEX(SA!$C$4:$E$11,MATCH(Details!S596,SA!$C$4:$C$11,0),MATCH(Details!V596,SA!$C$4:$E$4,0)),0)*Y596/(F596-E596+1)</f>
        <v>3283.23</v>
      </c>
      <c r="AF596" s="41">
        <f t="shared" si="183"/>
        <v>0</v>
      </c>
      <c r="AG596" s="41">
        <f t="shared" si="184"/>
        <v>0</v>
      </c>
      <c r="AH596" s="41">
        <f t="shared" si="185"/>
        <v>590.98140000000001</v>
      </c>
      <c r="AI596" s="60">
        <f t="shared" si="186"/>
        <v>131.32920000000001</v>
      </c>
      <c r="AJ596" s="60">
        <f t="shared" si="187"/>
        <v>738.72675000000004</v>
      </c>
      <c r="AK596" s="60">
        <f t="shared" si="188"/>
        <v>2374.7197808219175</v>
      </c>
      <c r="AL596" s="60">
        <f t="shared" si="189"/>
        <v>1745.4190389041094</v>
      </c>
      <c r="AM596" s="41">
        <f t="shared" si="190"/>
        <v>667.7550110958905</v>
      </c>
      <c r="AN596" s="42">
        <f t="shared" si="191"/>
        <v>45715</v>
      </c>
      <c r="AO596" s="43">
        <f t="shared" si="192"/>
        <v>3283.23</v>
      </c>
    </row>
    <row r="597" spans="1:41" s="24" customFormat="1" ht="15.75" customHeight="1" x14ac:dyDescent="0.35">
      <c r="A597" s="36" t="s">
        <v>27</v>
      </c>
      <c r="B597" s="36">
        <v>202506</v>
      </c>
      <c r="C597" s="24" t="s">
        <v>128</v>
      </c>
      <c r="D597" s="24" t="s">
        <v>129</v>
      </c>
      <c r="E597" s="62">
        <v>45818</v>
      </c>
      <c r="F597" s="62">
        <v>46182</v>
      </c>
      <c r="G597" s="37" t="s">
        <v>723</v>
      </c>
      <c r="H597" s="36">
        <v>2327</v>
      </c>
      <c r="I597" s="63">
        <v>35603</v>
      </c>
      <c r="J597" s="24" t="s">
        <v>1373</v>
      </c>
      <c r="K597" s="63">
        <f t="shared" si="176"/>
        <v>45818</v>
      </c>
      <c r="L597" s="55">
        <f t="shared" si="177"/>
        <v>0.04</v>
      </c>
      <c r="M597" s="76">
        <v>0.22500000000000001</v>
      </c>
      <c r="N597" s="62">
        <v>45818</v>
      </c>
      <c r="O597" s="62">
        <v>46182</v>
      </c>
      <c r="P597" s="63"/>
      <c r="Q597" s="63"/>
      <c r="R597" s="82">
        <v>27</v>
      </c>
      <c r="S597" s="63" t="str">
        <f>VLOOKUP(R597,SA!$B$5:$C$11,2,1)</f>
        <v>0-35</v>
      </c>
      <c r="T597" s="38" t="s">
        <v>96</v>
      </c>
      <c r="U597" s="24" t="s">
        <v>56</v>
      </c>
      <c r="V597" s="24">
        <v>300000</v>
      </c>
      <c r="W597" s="39">
        <f t="shared" si="178"/>
        <v>300000</v>
      </c>
      <c r="X597" s="29">
        <f t="shared" si="179"/>
        <v>1</v>
      </c>
      <c r="Y597" s="40">
        <f t="shared" si="180"/>
        <v>365</v>
      </c>
      <c r="Z597" s="38">
        <f t="shared" si="175"/>
        <v>46081</v>
      </c>
      <c r="AA597" s="41">
        <f t="shared" si="181"/>
        <v>264</v>
      </c>
      <c r="AB597" s="24" t="s">
        <v>125</v>
      </c>
      <c r="AC597" s="41">
        <f t="shared" si="182"/>
        <v>3874.2114000000001</v>
      </c>
      <c r="AD597" s="41">
        <v>1</v>
      </c>
      <c r="AE597" s="72">
        <f>IFERROR(INDEX(SA!$C$4:$E$11,MATCH(Details!S597,SA!$C$4:$C$11,0),MATCH(Details!V597,SA!$C$4:$E$4,0)),0)*Y597/(F597-E597+1)</f>
        <v>3283.23</v>
      </c>
      <c r="AF597" s="41">
        <f t="shared" si="183"/>
        <v>0</v>
      </c>
      <c r="AG597" s="41">
        <f t="shared" si="184"/>
        <v>0</v>
      </c>
      <c r="AH597" s="41">
        <f t="shared" si="185"/>
        <v>590.98140000000001</v>
      </c>
      <c r="AI597" s="60">
        <f t="shared" si="186"/>
        <v>131.32920000000001</v>
      </c>
      <c r="AJ597" s="60">
        <f t="shared" si="187"/>
        <v>738.72675000000004</v>
      </c>
      <c r="AK597" s="60">
        <f t="shared" si="188"/>
        <v>2374.7197808219175</v>
      </c>
      <c r="AL597" s="60">
        <f t="shared" si="189"/>
        <v>1745.4190389041094</v>
      </c>
      <c r="AM597" s="41">
        <f t="shared" si="190"/>
        <v>667.7550110958905</v>
      </c>
      <c r="AN597" s="42">
        <f t="shared" si="191"/>
        <v>45715</v>
      </c>
      <c r="AO597" s="43">
        <f t="shared" si="192"/>
        <v>3283.23</v>
      </c>
    </row>
    <row r="598" spans="1:41" s="24" customFormat="1" ht="15.75" customHeight="1" x14ac:dyDescent="0.35">
      <c r="A598" s="36" t="s">
        <v>27</v>
      </c>
      <c r="B598" s="36">
        <v>202506</v>
      </c>
      <c r="C598" s="24" t="s">
        <v>128</v>
      </c>
      <c r="D598" s="24" t="s">
        <v>129</v>
      </c>
      <c r="E598" s="62">
        <v>45818</v>
      </c>
      <c r="F598" s="62">
        <v>46182</v>
      </c>
      <c r="G598" s="37" t="s">
        <v>724</v>
      </c>
      <c r="H598" s="36">
        <v>2327</v>
      </c>
      <c r="I598" s="63">
        <v>38129</v>
      </c>
      <c r="J598" s="24" t="s">
        <v>1374</v>
      </c>
      <c r="K598" s="63">
        <f t="shared" si="176"/>
        <v>45818</v>
      </c>
      <c r="L598" s="55">
        <f t="shared" si="177"/>
        <v>0.04</v>
      </c>
      <c r="M598" s="76">
        <v>0.22500000000000001</v>
      </c>
      <c r="N598" s="62">
        <v>45818</v>
      </c>
      <c r="O598" s="62">
        <v>46182</v>
      </c>
      <c r="P598" s="63"/>
      <c r="Q598" s="63"/>
      <c r="R598" s="82">
        <v>21</v>
      </c>
      <c r="S598" s="63" t="str">
        <f>VLOOKUP(R598,SA!$B$5:$C$11,2,1)</f>
        <v>0-35</v>
      </c>
      <c r="T598" s="38" t="s">
        <v>97</v>
      </c>
      <c r="U598" s="24" t="s">
        <v>115</v>
      </c>
      <c r="V598" s="24">
        <v>300000</v>
      </c>
      <c r="W598" s="39">
        <f t="shared" si="178"/>
        <v>0</v>
      </c>
      <c r="X598" s="29">
        <f t="shared" si="179"/>
        <v>0</v>
      </c>
      <c r="Y598" s="40">
        <f t="shared" si="180"/>
        <v>365</v>
      </c>
      <c r="Z598" s="38">
        <f t="shared" si="175"/>
        <v>46081</v>
      </c>
      <c r="AA598" s="41">
        <f t="shared" si="181"/>
        <v>264</v>
      </c>
      <c r="AB598" s="24" t="s">
        <v>125</v>
      </c>
      <c r="AC598" s="41">
        <f t="shared" si="182"/>
        <v>3874.2114000000001</v>
      </c>
      <c r="AD598" s="41">
        <v>1</v>
      </c>
      <c r="AE598" s="72">
        <f>IFERROR(INDEX(SA!$C$4:$E$11,MATCH(Details!S598,SA!$C$4:$C$11,0),MATCH(Details!V598,SA!$C$4:$E$4,0)),0)*Y598/(F598-E598+1)</f>
        <v>3283.23</v>
      </c>
      <c r="AF598" s="41">
        <f t="shared" si="183"/>
        <v>0</v>
      </c>
      <c r="AG598" s="41">
        <f t="shared" si="184"/>
        <v>0</v>
      </c>
      <c r="AH598" s="41">
        <f t="shared" si="185"/>
        <v>590.98140000000001</v>
      </c>
      <c r="AI598" s="60">
        <f t="shared" si="186"/>
        <v>131.32920000000001</v>
      </c>
      <c r="AJ598" s="60">
        <f t="shared" si="187"/>
        <v>738.72675000000004</v>
      </c>
      <c r="AK598" s="60">
        <f t="shared" si="188"/>
        <v>2374.7197808219175</v>
      </c>
      <c r="AL598" s="60">
        <f t="shared" si="189"/>
        <v>1745.4190389041094</v>
      </c>
      <c r="AM598" s="41">
        <f t="shared" si="190"/>
        <v>667.7550110958905</v>
      </c>
      <c r="AN598" s="42">
        <f t="shared" si="191"/>
        <v>45715</v>
      </c>
      <c r="AO598" s="43">
        <f t="shared" si="192"/>
        <v>3283.23</v>
      </c>
    </row>
    <row r="599" spans="1:41" s="24" customFormat="1" ht="15.75" customHeight="1" x14ac:dyDescent="0.35">
      <c r="A599" s="36" t="s">
        <v>27</v>
      </c>
      <c r="B599" s="36">
        <v>202506</v>
      </c>
      <c r="C599" s="24" t="s">
        <v>128</v>
      </c>
      <c r="D599" s="24" t="s">
        <v>129</v>
      </c>
      <c r="E599" s="62">
        <v>45818</v>
      </c>
      <c r="F599" s="62">
        <v>46182</v>
      </c>
      <c r="G599" s="37" t="s">
        <v>725</v>
      </c>
      <c r="H599" s="36">
        <v>2324</v>
      </c>
      <c r="I599" s="63">
        <v>35189</v>
      </c>
      <c r="J599" s="24" t="s">
        <v>1375</v>
      </c>
      <c r="K599" s="63">
        <f t="shared" si="176"/>
        <v>45818</v>
      </c>
      <c r="L599" s="55">
        <f t="shared" si="177"/>
        <v>0.04</v>
      </c>
      <c r="M599" s="76">
        <v>0.22500000000000001</v>
      </c>
      <c r="N599" s="62">
        <v>45818</v>
      </c>
      <c r="O599" s="62">
        <v>46182</v>
      </c>
      <c r="P599" s="63"/>
      <c r="Q599" s="63"/>
      <c r="R599" s="82">
        <v>29</v>
      </c>
      <c r="S599" s="63" t="str">
        <f>VLOOKUP(R599,SA!$B$5:$C$11,2,1)</f>
        <v>0-35</v>
      </c>
      <c r="T599" s="38" t="s">
        <v>96</v>
      </c>
      <c r="U599" s="24" t="s">
        <v>56</v>
      </c>
      <c r="V599" s="24">
        <v>300000</v>
      </c>
      <c r="W599" s="39">
        <f t="shared" si="178"/>
        <v>300000</v>
      </c>
      <c r="X599" s="29">
        <f t="shared" si="179"/>
        <v>1</v>
      </c>
      <c r="Y599" s="40">
        <f t="shared" si="180"/>
        <v>365</v>
      </c>
      <c r="Z599" s="38">
        <f t="shared" si="175"/>
        <v>46081</v>
      </c>
      <c r="AA599" s="41">
        <f t="shared" si="181"/>
        <v>264</v>
      </c>
      <c r="AB599" s="24" t="s">
        <v>125</v>
      </c>
      <c r="AC599" s="41">
        <f t="shared" si="182"/>
        <v>3874.2114000000001</v>
      </c>
      <c r="AD599" s="41">
        <v>1</v>
      </c>
      <c r="AE599" s="72">
        <f>IFERROR(INDEX(SA!$C$4:$E$11,MATCH(Details!S599,SA!$C$4:$C$11,0),MATCH(Details!V599,SA!$C$4:$E$4,0)),0)*Y599/(F599-E599+1)</f>
        <v>3283.23</v>
      </c>
      <c r="AF599" s="41">
        <f t="shared" si="183"/>
        <v>0</v>
      </c>
      <c r="AG599" s="41">
        <f t="shared" si="184"/>
        <v>0</v>
      </c>
      <c r="AH599" s="41">
        <f t="shared" si="185"/>
        <v>590.98140000000001</v>
      </c>
      <c r="AI599" s="60">
        <f t="shared" si="186"/>
        <v>131.32920000000001</v>
      </c>
      <c r="AJ599" s="60">
        <f t="shared" si="187"/>
        <v>738.72675000000004</v>
      </c>
      <c r="AK599" s="60">
        <f t="shared" si="188"/>
        <v>2374.7197808219175</v>
      </c>
      <c r="AL599" s="60">
        <f t="shared" si="189"/>
        <v>1745.4190389041094</v>
      </c>
      <c r="AM599" s="41">
        <f t="shared" si="190"/>
        <v>667.7550110958905</v>
      </c>
      <c r="AN599" s="42">
        <f t="shared" si="191"/>
        <v>45715</v>
      </c>
      <c r="AO599" s="43">
        <f t="shared" si="192"/>
        <v>3283.23</v>
      </c>
    </row>
    <row r="600" spans="1:41" s="24" customFormat="1" ht="15.75" customHeight="1" x14ac:dyDescent="0.35">
      <c r="A600" s="36" t="s">
        <v>27</v>
      </c>
      <c r="B600" s="36">
        <v>202506</v>
      </c>
      <c r="C600" s="24" t="s">
        <v>128</v>
      </c>
      <c r="D600" s="24" t="s">
        <v>129</v>
      </c>
      <c r="E600" s="62">
        <v>45818</v>
      </c>
      <c r="F600" s="62">
        <v>46182</v>
      </c>
      <c r="G600" s="37" t="s">
        <v>726</v>
      </c>
      <c r="H600" s="36">
        <v>2324</v>
      </c>
      <c r="I600" s="63">
        <v>36222</v>
      </c>
      <c r="J600" s="24" t="s">
        <v>1376</v>
      </c>
      <c r="K600" s="63">
        <f t="shared" si="176"/>
        <v>45818</v>
      </c>
      <c r="L600" s="55">
        <f t="shared" si="177"/>
        <v>0.04</v>
      </c>
      <c r="M600" s="76">
        <v>0.22500000000000001</v>
      </c>
      <c r="N600" s="62">
        <v>45818</v>
      </c>
      <c r="O600" s="62">
        <v>46182</v>
      </c>
      <c r="P600" s="63"/>
      <c r="Q600" s="63"/>
      <c r="R600" s="82">
        <v>26</v>
      </c>
      <c r="S600" s="63" t="str">
        <f>VLOOKUP(R600,SA!$B$5:$C$11,2,1)</f>
        <v>0-35</v>
      </c>
      <c r="T600" s="38" t="s">
        <v>97</v>
      </c>
      <c r="U600" s="24" t="s">
        <v>115</v>
      </c>
      <c r="V600" s="24">
        <v>300000</v>
      </c>
      <c r="W600" s="39">
        <f t="shared" si="178"/>
        <v>0</v>
      </c>
      <c r="X600" s="29">
        <f t="shared" si="179"/>
        <v>0</v>
      </c>
      <c r="Y600" s="40">
        <f t="shared" si="180"/>
        <v>365</v>
      </c>
      <c r="Z600" s="38">
        <f t="shared" si="175"/>
        <v>46081</v>
      </c>
      <c r="AA600" s="41">
        <f t="shared" si="181"/>
        <v>264</v>
      </c>
      <c r="AB600" s="24" t="s">
        <v>125</v>
      </c>
      <c r="AC600" s="41">
        <f t="shared" si="182"/>
        <v>3874.2114000000001</v>
      </c>
      <c r="AD600" s="41">
        <v>1</v>
      </c>
      <c r="AE600" s="72">
        <f>IFERROR(INDEX(SA!$C$4:$E$11,MATCH(Details!S600,SA!$C$4:$C$11,0),MATCH(Details!V600,SA!$C$4:$E$4,0)),0)*Y600/(F600-E600+1)</f>
        <v>3283.23</v>
      </c>
      <c r="AF600" s="41">
        <f t="shared" si="183"/>
        <v>0</v>
      </c>
      <c r="AG600" s="41">
        <f t="shared" si="184"/>
        <v>0</v>
      </c>
      <c r="AH600" s="41">
        <f t="shared" si="185"/>
        <v>590.98140000000001</v>
      </c>
      <c r="AI600" s="60">
        <f t="shared" si="186"/>
        <v>131.32920000000001</v>
      </c>
      <c r="AJ600" s="60">
        <f t="shared" si="187"/>
        <v>738.72675000000004</v>
      </c>
      <c r="AK600" s="60">
        <f t="shared" si="188"/>
        <v>2374.7197808219175</v>
      </c>
      <c r="AL600" s="60">
        <f t="shared" si="189"/>
        <v>1745.4190389041094</v>
      </c>
      <c r="AM600" s="41">
        <f t="shared" si="190"/>
        <v>667.7550110958905</v>
      </c>
      <c r="AN600" s="42">
        <f t="shared" si="191"/>
        <v>45715</v>
      </c>
      <c r="AO600" s="43">
        <f t="shared" si="192"/>
        <v>3283.23</v>
      </c>
    </row>
    <row r="601" spans="1:41" s="24" customFormat="1" ht="15.75" customHeight="1" x14ac:dyDescent="0.35">
      <c r="A601" s="36" t="s">
        <v>27</v>
      </c>
      <c r="B601" s="36">
        <v>202506</v>
      </c>
      <c r="C601" s="24" t="s">
        <v>128</v>
      </c>
      <c r="D601" s="24" t="s">
        <v>129</v>
      </c>
      <c r="E601" s="62">
        <v>45818</v>
      </c>
      <c r="F601" s="62">
        <v>46182</v>
      </c>
      <c r="G601" s="37" t="s">
        <v>727</v>
      </c>
      <c r="H601" s="36">
        <v>2324</v>
      </c>
      <c r="I601" s="63">
        <v>43084</v>
      </c>
      <c r="J601" s="24" t="s">
        <v>1377</v>
      </c>
      <c r="K601" s="63">
        <f t="shared" si="176"/>
        <v>45818</v>
      </c>
      <c r="L601" s="55">
        <f t="shared" si="177"/>
        <v>0.04</v>
      </c>
      <c r="M601" s="76">
        <v>0.22500000000000001</v>
      </c>
      <c r="N601" s="62">
        <v>45818</v>
      </c>
      <c r="O601" s="62">
        <v>46182</v>
      </c>
      <c r="P601" s="63"/>
      <c r="Q601" s="63"/>
      <c r="R601" s="82">
        <v>7</v>
      </c>
      <c r="S601" s="63" t="str">
        <f>VLOOKUP(R601,SA!$B$5:$C$11,2,1)</f>
        <v>0-35</v>
      </c>
      <c r="T601" s="38" t="s">
        <v>97</v>
      </c>
      <c r="U601" s="24" t="s">
        <v>113</v>
      </c>
      <c r="V601" s="24">
        <v>300000</v>
      </c>
      <c r="W601" s="39">
        <f t="shared" si="178"/>
        <v>0</v>
      </c>
      <c r="X601" s="29">
        <f t="shared" si="179"/>
        <v>0</v>
      </c>
      <c r="Y601" s="40">
        <f t="shared" si="180"/>
        <v>365</v>
      </c>
      <c r="Z601" s="38">
        <f t="shared" si="175"/>
        <v>46081</v>
      </c>
      <c r="AA601" s="41">
        <f t="shared" si="181"/>
        <v>264</v>
      </c>
      <c r="AB601" s="24" t="s">
        <v>125</v>
      </c>
      <c r="AC601" s="41">
        <f t="shared" si="182"/>
        <v>3874.2114000000001</v>
      </c>
      <c r="AD601" s="41">
        <v>1</v>
      </c>
      <c r="AE601" s="72">
        <f>IFERROR(INDEX(SA!$C$4:$E$11,MATCH(Details!S601,SA!$C$4:$C$11,0),MATCH(Details!V601,SA!$C$4:$E$4,0)),0)*Y601/(F601-E601+1)</f>
        <v>3283.23</v>
      </c>
      <c r="AF601" s="41">
        <f t="shared" si="183"/>
        <v>0</v>
      </c>
      <c r="AG601" s="41">
        <f t="shared" si="184"/>
        <v>0</v>
      </c>
      <c r="AH601" s="41">
        <f t="shared" si="185"/>
        <v>590.98140000000001</v>
      </c>
      <c r="AI601" s="60">
        <f t="shared" si="186"/>
        <v>131.32920000000001</v>
      </c>
      <c r="AJ601" s="60">
        <f t="shared" si="187"/>
        <v>738.72675000000004</v>
      </c>
      <c r="AK601" s="60">
        <f t="shared" si="188"/>
        <v>2374.7197808219175</v>
      </c>
      <c r="AL601" s="60">
        <f t="shared" si="189"/>
        <v>1745.4190389041094</v>
      </c>
      <c r="AM601" s="41">
        <f t="shared" si="190"/>
        <v>667.7550110958905</v>
      </c>
      <c r="AN601" s="42">
        <f t="shared" si="191"/>
        <v>45715</v>
      </c>
      <c r="AO601" s="43">
        <f t="shared" si="192"/>
        <v>3283.23</v>
      </c>
    </row>
    <row r="602" spans="1:41" s="24" customFormat="1" ht="15.75" customHeight="1" x14ac:dyDescent="0.35">
      <c r="A602" s="36" t="s">
        <v>27</v>
      </c>
      <c r="B602" s="36">
        <v>202506</v>
      </c>
      <c r="C602" s="24" t="s">
        <v>128</v>
      </c>
      <c r="D602" s="24" t="s">
        <v>129</v>
      </c>
      <c r="E602" s="62">
        <v>45818</v>
      </c>
      <c r="F602" s="62">
        <v>46182</v>
      </c>
      <c r="G602" s="37" t="s">
        <v>728</v>
      </c>
      <c r="H602" s="36">
        <v>2324</v>
      </c>
      <c r="I602" s="63">
        <v>43860</v>
      </c>
      <c r="J602" s="24" t="s">
        <v>1378</v>
      </c>
      <c r="K602" s="63">
        <f t="shared" si="176"/>
        <v>45818</v>
      </c>
      <c r="L602" s="55">
        <f t="shared" si="177"/>
        <v>0.04</v>
      </c>
      <c r="M602" s="76">
        <v>0.22500000000000001</v>
      </c>
      <c r="N602" s="62">
        <v>45818</v>
      </c>
      <c r="O602" s="62">
        <v>46182</v>
      </c>
      <c r="P602" s="63"/>
      <c r="Q602" s="63"/>
      <c r="R602" s="82">
        <v>5</v>
      </c>
      <c r="S602" s="63" t="str">
        <f>VLOOKUP(R602,SA!$B$5:$C$11,2,1)</f>
        <v>0-35</v>
      </c>
      <c r="T602" s="38" t="s">
        <v>96</v>
      </c>
      <c r="U602" s="24" t="s">
        <v>114</v>
      </c>
      <c r="V602" s="24">
        <v>300000</v>
      </c>
      <c r="W602" s="39">
        <f t="shared" si="178"/>
        <v>0</v>
      </c>
      <c r="X602" s="29">
        <f t="shared" si="179"/>
        <v>0</v>
      </c>
      <c r="Y602" s="40">
        <f t="shared" si="180"/>
        <v>365</v>
      </c>
      <c r="Z602" s="38">
        <f t="shared" si="175"/>
        <v>46081</v>
      </c>
      <c r="AA602" s="41">
        <f t="shared" si="181"/>
        <v>264</v>
      </c>
      <c r="AB602" s="24" t="s">
        <v>125</v>
      </c>
      <c r="AC602" s="41">
        <f t="shared" si="182"/>
        <v>3874.2114000000001</v>
      </c>
      <c r="AD602" s="41">
        <v>1</v>
      </c>
      <c r="AE602" s="72">
        <f>IFERROR(INDEX(SA!$C$4:$E$11,MATCH(Details!S602,SA!$C$4:$C$11,0),MATCH(Details!V602,SA!$C$4:$E$4,0)),0)*Y602/(F602-E602+1)</f>
        <v>3283.23</v>
      </c>
      <c r="AF602" s="41">
        <f t="shared" si="183"/>
        <v>0</v>
      </c>
      <c r="AG602" s="41">
        <f t="shared" si="184"/>
        <v>0</v>
      </c>
      <c r="AH602" s="41">
        <f t="shared" si="185"/>
        <v>590.98140000000001</v>
      </c>
      <c r="AI602" s="60">
        <f t="shared" si="186"/>
        <v>131.32920000000001</v>
      </c>
      <c r="AJ602" s="60">
        <f t="shared" si="187"/>
        <v>738.72675000000004</v>
      </c>
      <c r="AK602" s="60">
        <f t="shared" si="188"/>
        <v>2374.7197808219175</v>
      </c>
      <c r="AL602" s="60">
        <f t="shared" si="189"/>
        <v>1745.4190389041094</v>
      </c>
      <c r="AM602" s="41">
        <f t="shared" si="190"/>
        <v>667.7550110958905</v>
      </c>
      <c r="AN602" s="42">
        <f t="shared" si="191"/>
        <v>45715</v>
      </c>
      <c r="AO602" s="43">
        <f t="shared" si="192"/>
        <v>3283.23</v>
      </c>
    </row>
    <row r="603" spans="1:41" s="24" customFormat="1" ht="15.75" customHeight="1" x14ac:dyDescent="0.35">
      <c r="A603" s="36" t="s">
        <v>27</v>
      </c>
      <c r="B603" s="36">
        <v>202506</v>
      </c>
      <c r="C603" s="24" t="s">
        <v>128</v>
      </c>
      <c r="D603" s="24" t="s">
        <v>129</v>
      </c>
      <c r="E603" s="62">
        <v>45818</v>
      </c>
      <c r="F603" s="62">
        <v>46182</v>
      </c>
      <c r="G603" s="37" t="s">
        <v>729</v>
      </c>
      <c r="H603" s="36">
        <v>2215</v>
      </c>
      <c r="I603" s="63">
        <v>33150</v>
      </c>
      <c r="J603" s="24" t="s">
        <v>1379</v>
      </c>
      <c r="K603" s="63">
        <f t="shared" si="176"/>
        <v>45818</v>
      </c>
      <c r="L603" s="55">
        <f t="shared" si="177"/>
        <v>0.04</v>
      </c>
      <c r="M603" s="76">
        <v>0.22500000000000001</v>
      </c>
      <c r="N603" s="62">
        <v>45818</v>
      </c>
      <c r="O603" s="62">
        <v>46182</v>
      </c>
      <c r="P603" s="63"/>
      <c r="Q603" s="63"/>
      <c r="R603" s="82">
        <v>34</v>
      </c>
      <c r="S603" s="63" t="str">
        <f>VLOOKUP(R603,SA!$B$5:$C$11,2,1)</f>
        <v>0-35</v>
      </c>
      <c r="T603" s="38" t="s">
        <v>96</v>
      </c>
      <c r="U603" s="24" t="s">
        <v>56</v>
      </c>
      <c r="V603" s="24">
        <v>300000</v>
      </c>
      <c r="W603" s="39">
        <f t="shared" si="178"/>
        <v>300000</v>
      </c>
      <c r="X603" s="29">
        <f t="shared" si="179"/>
        <v>1</v>
      </c>
      <c r="Y603" s="40">
        <f t="shared" si="180"/>
        <v>365</v>
      </c>
      <c r="Z603" s="38">
        <f t="shared" si="175"/>
        <v>46081</v>
      </c>
      <c r="AA603" s="41">
        <f t="shared" si="181"/>
        <v>264</v>
      </c>
      <c r="AB603" s="24" t="s">
        <v>125</v>
      </c>
      <c r="AC603" s="41">
        <f t="shared" si="182"/>
        <v>3874.2114000000001</v>
      </c>
      <c r="AD603" s="41">
        <v>1</v>
      </c>
      <c r="AE603" s="72">
        <f>IFERROR(INDEX(SA!$C$4:$E$11,MATCH(Details!S603,SA!$C$4:$C$11,0),MATCH(Details!V603,SA!$C$4:$E$4,0)),0)*Y603/(F603-E603+1)</f>
        <v>3283.23</v>
      </c>
      <c r="AF603" s="41">
        <f t="shared" si="183"/>
        <v>0</v>
      </c>
      <c r="AG603" s="41">
        <f t="shared" si="184"/>
        <v>0</v>
      </c>
      <c r="AH603" s="41">
        <f t="shared" si="185"/>
        <v>590.98140000000001</v>
      </c>
      <c r="AI603" s="60">
        <f t="shared" si="186"/>
        <v>131.32920000000001</v>
      </c>
      <c r="AJ603" s="60">
        <f t="shared" si="187"/>
        <v>738.72675000000004</v>
      </c>
      <c r="AK603" s="60">
        <f t="shared" si="188"/>
        <v>2374.7197808219175</v>
      </c>
      <c r="AL603" s="60">
        <f t="shared" si="189"/>
        <v>1745.4190389041094</v>
      </c>
      <c r="AM603" s="41">
        <f t="shared" si="190"/>
        <v>667.7550110958905</v>
      </c>
      <c r="AN603" s="42">
        <f t="shared" si="191"/>
        <v>45715</v>
      </c>
      <c r="AO603" s="43">
        <f t="shared" si="192"/>
        <v>3283.23</v>
      </c>
    </row>
    <row r="604" spans="1:41" s="24" customFormat="1" ht="15.75" customHeight="1" x14ac:dyDescent="0.35">
      <c r="A604" s="36" t="s">
        <v>27</v>
      </c>
      <c r="B604" s="36">
        <v>202506</v>
      </c>
      <c r="C604" s="24" t="s">
        <v>128</v>
      </c>
      <c r="D604" s="24" t="s">
        <v>129</v>
      </c>
      <c r="E604" s="62">
        <v>45818</v>
      </c>
      <c r="F604" s="62">
        <v>46182</v>
      </c>
      <c r="G604" s="37" t="s">
        <v>730</v>
      </c>
      <c r="H604" s="36">
        <v>2215</v>
      </c>
      <c r="I604" s="63">
        <v>34132</v>
      </c>
      <c r="J604" s="24" t="s">
        <v>1380</v>
      </c>
      <c r="K604" s="63">
        <f t="shared" si="176"/>
        <v>45818</v>
      </c>
      <c r="L604" s="55">
        <f t="shared" si="177"/>
        <v>0.04</v>
      </c>
      <c r="M604" s="76">
        <v>0.22500000000000001</v>
      </c>
      <c r="N604" s="62">
        <v>45818</v>
      </c>
      <c r="O604" s="62">
        <v>46182</v>
      </c>
      <c r="P604" s="63"/>
      <c r="Q604" s="63"/>
      <c r="R604" s="82">
        <v>31</v>
      </c>
      <c r="S604" s="63" t="str">
        <f>VLOOKUP(R604,SA!$B$5:$C$11,2,1)</f>
        <v>0-35</v>
      </c>
      <c r="T604" s="38" t="s">
        <v>97</v>
      </c>
      <c r="U604" s="24" t="s">
        <v>115</v>
      </c>
      <c r="V604" s="24">
        <v>300000</v>
      </c>
      <c r="W604" s="39">
        <f t="shared" si="178"/>
        <v>0</v>
      </c>
      <c r="X604" s="29">
        <f t="shared" si="179"/>
        <v>0</v>
      </c>
      <c r="Y604" s="40">
        <f t="shared" si="180"/>
        <v>365</v>
      </c>
      <c r="Z604" s="38">
        <f t="shared" si="175"/>
        <v>46081</v>
      </c>
      <c r="AA604" s="41">
        <f t="shared" si="181"/>
        <v>264</v>
      </c>
      <c r="AB604" s="24" t="s">
        <v>125</v>
      </c>
      <c r="AC604" s="41">
        <f t="shared" si="182"/>
        <v>3874.2114000000001</v>
      </c>
      <c r="AD604" s="41">
        <v>1</v>
      </c>
      <c r="AE604" s="72">
        <f>IFERROR(INDEX(SA!$C$4:$E$11,MATCH(Details!S604,SA!$C$4:$C$11,0),MATCH(Details!V604,SA!$C$4:$E$4,0)),0)*Y604/(F604-E604+1)</f>
        <v>3283.23</v>
      </c>
      <c r="AF604" s="41">
        <f t="shared" si="183"/>
        <v>0</v>
      </c>
      <c r="AG604" s="41">
        <f t="shared" si="184"/>
        <v>0</v>
      </c>
      <c r="AH604" s="41">
        <f t="shared" si="185"/>
        <v>590.98140000000001</v>
      </c>
      <c r="AI604" s="60">
        <f t="shared" si="186"/>
        <v>131.32920000000001</v>
      </c>
      <c r="AJ604" s="60">
        <f t="shared" si="187"/>
        <v>738.72675000000004</v>
      </c>
      <c r="AK604" s="60">
        <f t="shared" si="188"/>
        <v>2374.7197808219175</v>
      </c>
      <c r="AL604" s="60">
        <f t="shared" si="189"/>
        <v>1745.4190389041094</v>
      </c>
      <c r="AM604" s="41">
        <f t="shared" si="190"/>
        <v>667.7550110958905</v>
      </c>
      <c r="AN604" s="42">
        <f t="shared" si="191"/>
        <v>45715</v>
      </c>
      <c r="AO604" s="43">
        <f t="shared" si="192"/>
        <v>3283.23</v>
      </c>
    </row>
    <row r="605" spans="1:41" s="24" customFormat="1" ht="15.75" customHeight="1" x14ac:dyDescent="0.35">
      <c r="A605" s="36" t="s">
        <v>27</v>
      </c>
      <c r="B605" s="36">
        <v>202506</v>
      </c>
      <c r="C605" s="24" t="s">
        <v>128</v>
      </c>
      <c r="D605" s="24" t="s">
        <v>129</v>
      </c>
      <c r="E605" s="62">
        <v>45818</v>
      </c>
      <c r="F605" s="62">
        <v>46182</v>
      </c>
      <c r="G605" s="37" t="s">
        <v>731</v>
      </c>
      <c r="H605" s="36">
        <v>2215</v>
      </c>
      <c r="I605" s="63">
        <v>43933</v>
      </c>
      <c r="J605" s="24" t="s">
        <v>1381</v>
      </c>
      <c r="K605" s="63">
        <f t="shared" si="176"/>
        <v>45818</v>
      </c>
      <c r="L605" s="55">
        <f t="shared" si="177"/>
        <v>0.04</v>
      </c>
      <c r="M605" s="76">
        <v>0.22500000000000001</v>
      </c>
      <c r="N605" s="62">
        <v>45818</v>
      </c>
      <c r="O605" s="62">
        <v>46182</v>
      </c>
      <c r="P605" s="63"/>
      <c r="Q605" s="63"/>
      <c r="R605" s="82">
        <v>5</v>
      </c>
      <c r="S605" s="63" t="str">
        <f>VLOOKUP(R605,SA!$B$5:$C$11,2,1)</f>
        <v>0-35</v>
      </c>
      <c r="T605" s="38" t="s">
        <v>97</v>
      </c>
      <c r="U605" s="24" t="s">
        <v>113</v>
      </c>
      <c r="V605" s="24">
        <v>300000</v>
      </c>
      <c r="W605" s="39">
        <f t="shared" si="178"/>
        <v>0</v>
      </c>
      <c r="X605" s="29">
        <f t="shared" si="179"/>
        <v>0</v>
      </c>
      <c r="Y605" s="40">
        <f t="shared" si="180"/>
        <v>365</v>
      </c>
      <c r="Z605" s="38">
        <f t="shared" si="175"/>
        <v>46081</v>
      </c>
      <c r="AA605" s="41">
        <f t="shared" si="181"/>
        <v>264</v>
      </c>
      <c r="AB605" s="24" t="s">
        <v>125</v>
      </c>
      <c r="AC605" s="41">
        <f t="shared" si="182"/>
        <v>3874.2114000000001</v>
      </c>
      <c r="AD605" s="41">
        <v>1</v>
      </c>
      <c r="AE605" s="72">
        <f>IFERROR(INDEX(SA!$C$4:$E$11,MATCH(Details!S605,SA!$C$4:$C$11,0),MATCH(Details!V605,SA!$C$4:$E$4,0)),0)*Y605/(F605-E605+1)</f>
        <v>3283.23</v>
      </c>
      <c r="AF605" s="41">
        <f t="shared" si="183"/>
        <v>0</v>
      </c>
      <c r="AG605" s="41">
        <f t="shared" si="184"/>
        <v>0</v>
      </c>
      <c r="AH605" s="41">
        <f t="shared" si="185"/>
        <v>590.98140000000001</v>
      </c>
      <c r="AI605" s="60">
        <f t="shared" si="186"/>
        <v>131.32920000000001</v>
      </c>
      <c r="AJ605" s="60">
        <f t="shared" si="187"/>
        <v>738.72675000000004</v>
      </c>
      <c r="AK605" s="60">
        <f t="shared" si="188"/>
        <v>2374.7197808219175</v>
      </c>
      <c r="AL605" s="60">
        <f t="shared" si="189"/>
        <v>1745.4190389041094</v>
      </c>
      <c r="AM605" s="41">
        <f t="shared" si="190"/>
        <v>667.7550110958905</v>
      </c>
      <c r="AN605" s="42">
        <f t="shared" si="191"/>
        <v>45715</v>
      </c>
      <c r="AO605" s="43">
        <f t="shared" si="192"/>
        <v>3283.23</v>
      </c>
    </row>
    <row r="606" spans="1:41" s="24" customFormat="1" ht="15.75" customHeight="1" x14ac:dyDescent="0.35">
      <c r="A606" s="36" t="s">
        <v>27</v>
      </c>
      <c r="B606" s="36">
        <v>202506</v>
      </c>
      <c r="C606" s="24" t="s">
        <v>128</v>
      </c>
      <c r="D606" s="24" t="s">
        <v>129</v>
      </c>
      <c r="E606" s="62">
        <v>45818</v>
      </c>
      <c r="F606" s="62">
        <v>46182</v>
      </c>
      <c r="G606" s="37" t="s">
        <v>732</v>
      </c>
      <c r="H606" s="36">
        <v>2229</v>
      </c>
      <c r="I606" s="63">
        <v>32187</v>
      </c>
      <c r="J606" s="24" t="s">
        <v>1382</v>
      </c>
      <c r="K606" s="63">
        <f t="shared" si="176"/>
        <v>45818</v>
      </c>
      <c r="L606" s="55">
        <f t="shared" si="177"/>
        <v>0.04</v>
      </c>
      <c r="M606" s="76">
        <v>0.22500000000000001</v>
      </c>
      <c r="N606" s="62">
        <v>45818</v>
      </c>
      <c r="O606" s="62">
        <v>46182</v>
      </c>
      <c r="P606" s="63"/>
      <c r="Q606" s="63"/>
      <c r="R606" s="82">
        <v>37</v>
      </c>
      <c r="S606" s="63" t="str">
        <f>VLOOKUP(R606,SA!$B$5:$C$11,2,1)</f>
        <v>36-45</v>
      </c>
      <c r="T606" s="38" t="s">
        <v>96</v>
      </c>
      <c r="U606" s="24" t="s">
        <v>56</v>
      </c>
      <c r="V606" s="24">
        <v>300000</v>
      </c>
      <c r="W606" s="39">
        <f t="shared" si="178"/>
        <v>300000</v>
      </c>
      <c r="X606" s="29">
        <f t="shared" si="179"/>
        <v>1</v>
      </c>
      <c r="Y606" s="40">
        <f t="shared" si="180"/>
        <v>365</v>
      </c>
      <c r="Z606" s="38">
        <f t="shared" si="175"/>
        <v>46081</v>
      </c>
      <c r="AA606" s="41">
        <f t="shared" si="181"/>
        <v>264</v>
      </c>
      <c r="AB606" s="24" t="s">
        <v>125</v>
      </c>
      <c r="AC606" s="41">
        <f t="shared" si="182"/>
        <v>5017.3245999999999</v>
      </c>
      <c r="AD606" s="41">
        <v>1</v>
      </c>
      <c r="AE606" s="72">
        <f>IFERROR(INDEX(SA!$C$4:$E$11,MATCH(Details!S606,SA!$C$4:$C$11,0),MATCH(Details!V606,SA!$C$4:$E$4,0)),0)*Y606/(F606-E606+1)</f>
        <v>4251.97</v>
      </c>
      <c r="AF606" s="41">
        <f t="shared" si="183"/>
        <v>0</v>
      </c>
      <c r="AG606" s="41">
        <f t="shared" si="184"/>
        <v>0</v>
      </c>
      <c r="AH606" s="41">
        <f t="shared" si="185"/>
        <v>765.3546</v>
      </c>
      <c r="AI606" s="60">
        <f t="shared" si="186"/>
        <v>170.0788</v>
      </c>
      <c r="AJ606" s="60">
        <f t="shared" si="187"/>
        <v>956.69325000000003</v>
      </c>
      <c r="AK606" s="60">
        <f t="shared" si="188"/>
        <v>3075.397479452055</v>
      </c>
      <c r="AL606" s="60">
        <f t="shared" si="189"/>
        <v>2260.4171473972606</v>
      </c>
      <c r="AM606" s="41">
        <f t="shared" si="190"/>
        <v>864.78080260273941</v>
      </c>
      <c r="AN606" s="42">
        <f t="shared" si="191"/>
        <v>45715</v>
      </c>
      <c r="AO606" s="43">
        <f t="shared" si="192"/>
        <v>4251.97</v>
      </c>
    </row>
    <row r="607" spans="1:41" s="24" customFormat="1" ht="15.75" customHeight="1" x14ac:dyDescent="0.35">
      <c r="A607" s="36" t="s">
        <v>27</v>
      </c>
      <c r="B607" s="36">
        <v>202506</v>
      </c>
      <c r="C607" s="24" t="s">
        <v>128</v>
      </c>
      <c r="D607" s="24" t="s">
        <v>129</v>
      </c>
      <c r="E607" s="62">
        <v>45818</v>
      </c>
      <c r="F607" s="62">
        <v>46182</v>
      </c>
      <c r="G607" s="37" t="s">
        <v>733</v>
      </c>
      <c r="H607" s="36">
        <v>2229</v>
      </c>
      <c r="I607" s="63">
        <v>32750</v>
      </c>
      <c r="J607" s="24" t="s">
        <v>1383</v>
      </c>
      <c r="K607" s="63">
        <f t="shared" si="176"/>
        <v>45818</v>
      </c>
      <c r="L607" s="55">
        <f t="shared" si="177"/>
        <v>0.04</v>
      </c>
      <c r="M607" s="76">
        <v>0.22500000000000001</v>
      </c>
      <c r="N607" s="62">
        <v>45818</v>
      </c>
      <c r="O607" s="62">
        <v>46182</v>
      </c>
      <c r="P607" s="63"/>
      <c r="Q607" s="63"/>
      <c r="R607" s="82">
        <v>35</v>
      </c>
      <c r="S607" s="63" t="str">
        <f>VLOOKUP(R607,SA!$B$5:$C$11,2,1)</f>
        <v>0-35</v>
      </c>
      <c r="T607" s="38" t="s">
        <v>97</v>
      </c>
      <c r="U607" s="24" t="s">
        <v>115</v>
      </c>
      <c r="V607" s="24">
        <v>300000</v>
      </c>
      <c r="W607" s="39">
        <f t="shared" si="178"/>
        <v>0</v>
      </c>
      <c r="X607" s="29">
        <f t="shared" si="179"/>
        <v>0</v>
      </c>
      <c r="Y607" s="40">
        <f t="shared" si="180"/>
        <v>365</v>
      </c>
      <c r="Z607" s="38">
        <f t="shared" si="175"/>
        <v>46081</v>
      </c>
      <c r="AA607" s="41">
        <f t="shared" si="181"/>
        <v>264</v>
      </c>
      <c r="AB607" s="24" t="s">
        <v>125</v>
      </c>
      <c r="AC607" s="41">
        <f t="shared" si="182"/>
        <v>3874.2114000000001</v>
      </c>
      <c r="AD607" s="41">
        <v>1</v>
      </c>
      <c r="AE607" s="72">
        <f>IFERROR(INDEX(SA!$C$4:$E$11,MATCH(Details!S607,SA!$C$4:$C$11,0),MATCH(Details!V607,SA!$C$4:$E$4,0)),0)*Y607/(F607-E607+1)</f>
        <v>3283.23</v>
      </c>
      <c r="AF607" s="41">
        <f t="shared" si="183"/>
        <v>0</v>
      </c>
      <c r="AG607" s="41">
        <f t="shared" si="184"/>
        <v>0</v>
      </c>
      <c r="AH607" s="41">
        <f t="shared" si="185"/>
        <v>590.98140000000001</v>
      </c>
      <c r="AI607" s="60">
        <f t="shared" si="186"/>
        <v>131.32920000000001</v>
      </c>
      <c r="AJ607" s="60">
        <f t="shared" si="187"/>
        <v>738.72675000000004</v>
      </c>
      <c r="AK607" s="60">
        <f t="shared" si="188"/>
        <v>2374.7197808219175</v>
      </c>
      <c r="AL607" s="60">
        <f t="shared" si="189"/>
        <v>1745.4190389041094</v>
      </c>
      <c r="AM607" s="41">
        <f t="shared" si="190"/>
        <v>667.7550110958905</v>
      </c>
      <c r="AN607" s="42">
        <f t="shared" si="191"/>
        <v>45715</v>
      </c>
      <c r="AO607" s="43">
        <f t="shared" si="192"/>
        <v>3283.23</v>
      </c>
    </row>
    <row r="608" spans="1:41" s="24" customFormat="1" ht="15.75" customHeight="1" x14ac:dyDescent="0.35">
      <c r="A608" s="36" t="s">
        <v>27</v>
      </c>
      <c r="B608" s="36">
        <v>202506</v>
      </c>
      <c r="C608" s="24" t="s">
        <v>128</v>
      </c>
      <c r="D608" s="24" t="s">
        <v>129</v>
      </c>
      <c r="E608" s="62">
        <v>45818</v>
      </c>
      <c r="F608" s="62">
        <v>46182</v>
      </c>
      <c r="G608" s="37" t="s">
        <v>734</v>
      </c>
      <c r="H608" s="36">
        <v>2337</v>
      </c>
      <c r="I608" s="63">
        <v>30175</v>
      </c>
      <c r="J608" s="24" t="s">
        <v>1384</v>
      </c>
      <c r="K608" s="63">
        <f t="shared" si="176"/>
        <v>45818</v>
      </c>
      <c r="L608" s="55">
        <f t="shared" si="177"/>
        <v>0.04</v>
      </c>
      <c r="M608" s="76">
        <v>0.22500000000000001</v>
      </c>
      <c r="N608" s="62">
        <v>45818</v>
      </c>
      <c r="O608" s="62">
        <v>46182</v>
      </c>
      <c r="P608" s="63"/>
      <c r="Q608" s="63"/>
      <c r="R608" s="82">
        <v>42</v>
      </c>
      <c r="S608" s="63" t="str">
        <f>VLOOKUP(R608,SA!$B$5:$C$11,2,1)</f>
        <v>36-45</v>
      </c>
      <c r="T608" s="38" t="s">
        <v>96</v>
      </c>
      <c r="U608" s="24" t="s">
        <v>56</v>
      </c>
      <c r="V608" s="24">
        <v>300000</v>
      </c>
      <c r="W608" s="39">
        <f t="shared" si="178"/>
        <v>300000</v>
      </c>
      <c r="X608" s="29">
        <f t="shared" si="179"/>
        <v>1</v>
      </c>
      <c r="Y608" s="40">
        <f t="shared" si="180"/>
        <v>365</v>
      </c>
      <c r="Z608" s="38">
        <f t="shared" si="175"/>
        <v>46081</v>
      </c>
      <c r="AA608" s="41">
        <f t="shared" si="181"/>
        <v>264</v>
      </c>
      <c r="AB608" s="24" t="s">
        <v>125</v>
      </c>
      <c r="AC608" s="41">
        <f t="shared" si="182"/>
        <v>5017.3245999999999</v>
      </c>
      <c r="AD608" s="41">
        <v>1</v>
      </c>
      <c r="AE608" s="72">
        <f>IFERROR(INDEX(SA!$C$4:$E$11,MATCH(Details!S608,SA!$C$4:$C$11,0),MATCH(Details!V608,SA!$C$4:$E$4,0)),0)*Y608/(F608-E608+1)</f>
        <v>4251.97</v>
      </c>
      <c r="AF608" s="41">
        <f t="shared" si="183"/>
        <v>0</v>
      </c>
      <c r="AG608" s="41">
        <f t="shared" si="184"/>
        <v>0</v>
      </c>
      <c r="AH608" s="41">
        <f t="shared" si="185"/>
        <v>765.3546</v>
      </c>
      <c r="AI608" s="60">
        <f t="shared" si="186"/>
        <v>170.0788</v>
      </c>
      <c r="AJ608" s="60">
        <f t="shared" si="187"/>
        <v>956.69325000000003</v>
      </c>
      <c r="AK608" s="60">
        <f t="shared" si="188"/>
        <v>3075.397479452055</v>
      </c>
      <c r="AL608" s="60">
        <f t="shared" si="189"/>
        <v>2260.4171473972606</v>
      </c>
      <c r="AM608" s="41">
        <f t="shared" si="190"/>
        <v>864.78080260273941</v>
      </c>
      <c r="AN608" s="42">
        <f t="shared" si="191"/>
        <v>45715</v>
      </c>
      <c r="AO608" s="43">
        <f t="shared" si="192"/>
        <v>4251.97</v>
      </c>
    </row>
    <row r="609" spans="1:41" s="24" customFormat="1" ht="15.75" customHeight="1" x14ac:dyDescent="0.35">
      <c r="A609" s="36" t="s">
        <v>27</v>
      </c>
      <c r="B609" s="36">
        <v>202506</v>
      </c>
      <c r="C609" s="24" t="s">
        <v>128</v>
      </c>
      <c r="D609" s="24" t="s">
        <v>129</v>
      </c>
      <c r="E609" s="62">
        <v>45818</v>
      </c>
      <c r="F609" s="62">
        <v>46182</v>
      </c>
      <c r="G609" s="37" t="s">
        <v>735</v>
      </c>
      <c r="H609" s="36">
        <v>2337</v>
      </c>
      <c r="I609" s="63">
        <v>32366</v>
      </c>
      <c r="J609" s="24" t="s">
        <v>1385</v>
      </c>
      <c r="K609" s="63">
        <f t="shared" si="176"/>
        <v>45818</v>
      </c>
      <c r="L609" s="55">
        <f t="shared" si="177"/>
        <v>0.04</v>
      </c>
      <c r="M609" s="76">
        <v>0.22500000000000001</v>
      </c>
      <c r="N609" s="62">
        <v>45818</v>
      </c>
      <c r="O609" s="62">
        <v>46182</v>
      </c>
      <c r="P609" s="63"/>
      <c r="Q609" s="63"/>
      <c r="R609" s="82">
        <v>36</v>
      </c>
      <c r="S609" s="63" t="str">
        <f>VLOOKUP(R609,SA!$B$5:$C$11,2,1)</f>
        <v>36-45</v>
      </c>
      <c r="T609" s="38" t="s">
        <v>97</v>
      </c>
      <c r="U609" s="24" t="s">
        <v>115</v>
      </c>
      <c r="V609" s="24">
        <v>300000</v>
      </c>
      <c r="W609" s="39">
        <f t="shared" si="178"/>
        <v>0</v>
      </c>
      <c r="X609" s="29">
        <f t="shared" si="179"/>
        <v>0</v>
      </c>
      <c r="Y609" s="40">
        <f t="shared" si="180"/>
        <v>365</v>
      </c>
      <c r="Z609" s="38">
        <f t="shared" si="175"/>
        <v>46081</v>
      </c>
      <c r="AA609" s="41">
        <f t="shared" si="181"/>
        <v>264</v>
      </c>
      <c r="AB609" s="24" t="s">
        <v>125</v>
      </c>
      <c r="AC609" s="41">
        <f t="shared" si="182"/>
        <v>5017.3245999999999</v>
      </c>
      <c r="AD609" s="41">
        <v>1</v>
      </c>
      <c r="AE609" s="72">
        <f>IFERROR(INDEX(SA!$C$4:$E$11,MATCH(Details!S609,SA!$C$4:$C$11,0),MATCH(Details!V609,SA!$C$4:$E$4,0)),0)*Y609/(F609-E609+1)</f>
        <v>4251.97</v>
      </c>
      <c r="AF609" s="41">
        <f t="shared" si="183"/>
        <v>0</v>
      </c>
      <c r="AG609" s="41">
        <f t="shared" si="184"/>
        <v>0</v>
      </c>
      <c r="AH609" s="41">
        <f t="shared" si="185"/>
        <v>765.3546</v>
      </c>
      <c r="AI609" s="60">
        <f t="shared" si="186"/>
        <v>170.0788</v>
      </c>
      <c r="AJ609" s="60">
        <f t="shared" si="187"/>
        <v>956.69325000000003</v>
      </c>
      <c r="AK609" s="60">
        <f t="shared" si="188"/>
        <v>3075.397479452055</v>
      </c>
      <c r="AL609" s="60">
        <f t="shared" si="189"/>
        <v>2260.4171473972606</v>
      </c>
      <c r="AM609" s="41">
        <f t="shared" si="190"/>
        <v>864.78080260273941</v>
      </c>
      <c r="AN609" s="42">
        <f t="shared" si="191"/>
        <v>45715</v>
      </c>
      <c r="AO609" s="43">
        <f t="shared" si="192"/>
        <v>4251.97</v>
      </c>
    </row>
    <row r="610" spans="1:41" s="24" customFormat="1" ht="15.75" customHeight="1" x14ac:dyDescent="0.35">
      <c r="A610" s="36" t="s">
        <v>27</v>
      </c>
      <c r="B610" s="36">
        <v>202506</v>
      </c>
      <c r="C610" s="24" t="s">
        <v>128</v>
      </c>
      <c r="D610" s="24" t="s">
        <v>129</v>
      </c>
      <c r="E610" s="62">
        <v>45818</v>
      </c>
      <c r="F610" s="62">
        <v>46182</v>
      </c>
      <c r="G610" s="37" t="s">
        <v>736</v>
      </c>
      <c r="H610" s="36">
        <v>2337</v>
      </c>
      <c r="I610" s="63">
        <v>42443</v>
      </c>
      <c r="J610" s="24" t="s">
        <v>1386</v>
      </c>
      <c r="K610" s="63">
        <f t="shared" si="176"/>
        <v>45818</v>
      </c>
      <c r="L610" s="55">
        <f t="shared" si="177"/>
        <v>0.04</v>
      </c>
      <c r="M610" s="76">
        <v>0.22500000000000001</v>
      </c>
      <c r="N610" s="62">
        <v>45818</v>
      </c>
      <c r="O610" s="62">
        <v>46182</v>
      </c>
      <c r="P610" s="63"/>
      <c r="Q610" s="63"/>
      <c r="R610" s="82">
        <v>9</v>
      </c>
      <c r="S610" s="63" t="str">
        <f>VLOOKUP(R610,SA!$B$5:$C$11,2,1)</f>
        <v>0-35</v>
      </c>
      <c r="T610" s="38" t="s">
        <v>97</v>
      </c>
      <c r="U610" s="24" t="s">
        <v>113</v>
      </c>
      <c r="V610" s="24">
        <v>300000</v>
      </c>
      <c r="W610" s="39">
        <f t="shared" si="178"/>
        <v>0</v>
      </c>
      <c r="X610" s="29">
        <f t="shared" si="179"/>
        <v>0</v>
      </c>
      <c r="Y610" s="40">
        <f t="shared" si="180"/>
        <v>365</v>
      </c>
      <c r="Z610" s="38">
        <f t="shared" si="175"/>
        <v>46081</v>
      </c>
      <c r="AA610" s="41">
        <f t="shared" si="181"/>
        <v>264</v>
      </c>
      <c r="AB610" s="24" t="s">
        <v>125</v>
      </c>
      <c r="AC610" s="41">
        <f t="shared" si="182"/>
        <v>3874.2114000000001</v>
      </c>
      <c r="AD610" s="41">
        <v>1</v>
      </c>
      <c r="AE610" s="72">
        <f>IFERROR(INDEX(SA!$C$4:$E$11,MATCH(Details!S610,SA!$C$4:$C$11,0),MATCH(Details!V610,SA!$C$4:$E$4,0)),0)*Y610/(F610-E610+1)</f>
        <v>3283.23</v>
      </c>
      <c r="AF610" s="41">
        <f t="shared" si="183"/>
        <v>0</v>
      </c>
      <c r="AG610" s="41">
        <f t="shared" si="184"/>
        <v>0</v>
      </c>
      <c r="AH610" s="41">
        <f t="shared" si="185"/>
        <v>590.98140000000001</v>
      </c>
      <c r="AI610" s="60">
        <f t="shared" si="186"/>
        <v>131.32920000000001</v>
      </c>
      <c r="AJ610" s="60">
        <f t="shared" si="187"/>
        <v>738.72675000000004</v>
      </c>
      <c r="AK610" s="60">
        <f t="shared" si="188"/>
        <v>2374.7197808219175</v>
      </c>
      <c r="AL610" s="60">
        <f t="shared" si="189"/>
        <v>1745.4190389041094</v>
      </c>
      <c r="AM610" s="41">
        <f t="shared" si="190"/>
        <v>667.7550110958905</v>
      </c>
      <c r="AN610" s="42">
        <f t="shared" si="191"/>
        <v>45715</v>
      </c>
      <c r="AO610" s="43">
        <f t="shared" si="192"/>
        <v>3283.23</v>
      </c>
    </row>
    <row r="611" spans="1:41" s="24" customFormat="1" ht="15.75" customHeight="1" x14ac:dyDescent="0.35">
      <c r="A611" s="36" t="s">
        <v>27</v>
      </c>
      <c r="B611" s="36">
        <v>202506</v>
      </c>
      <c r="C611" s="24" t="s">
        <v>128</v>
      </c>
      <c r="D611" s="24" t="s">
        <v>129</v>
      </c>
      <c r="E611" s="62">
        <v>45818</v>
      </c>
      <c r="F611" s="62">
        <v>46182</v>
      </c>
      <c r="G611" s="37" t="s">
        <v>737</v>
      </c>
      <c r="H611" s="36">
        <v>2337</v>
      </c>
      <c r="I611" s="63">
        <v>43930</v>
      </c>
      <c r="J611" s="24" t="s">
        <v>1387</v>
      </c>
      <c r="K611" s="63">
        <f t="shared" si="176"/>
        <v>45818</v>
      </c>
      <c r="L611" s="55">
        <f t="shared" si="177"/>
        <v>0.04</v>
      </c>
      <c r="M611" s="76">
        <v>0.22500000000000001</v>
      </c>
      <c r="N611" s="62">
        <v>45818</v>
      </c>
      <c r="O611" s="62">
        <v>46182</v>
      </c>
      <c r="P611" s="63"/>
      <c r="Q611" s="63"/>
      <c r="R611" s="82">
        <v>5</v>
      </c>
      <c r="S611" s="63" t="str">
        <f>VLOOKUP(R611,SA!$B$5:$C$11,2,1)</f>
        <v>0-35</v>
      </c>
      <c r="T611" s="38" t="s">
        <v>96</v>
      </c>
      <c r="U611" s="24" t="s">
        <v>114</v>
      </c>
      <c r="V611" s="24">
        <v>300000</v>
      </c>
      <c r="W611" s="39">
        <f t="shared" si="178"/>
        <v>0</v>
      </c>
      <c r="X611" s="29">
        <f t="shared" si="179"/>
        <v>0</v>
      </c>
      <c r="Y611" s="40">
        <f t="shared" si="180"/>
        <v>365</v>
      </c>
      <c r="Z611" s="38">
        <f t="shared" si="175"/>
        <v>46081</v>
      </c>
      <c r="AA611" s="41">
        <f t="shared" si="181"/>
        <v>264</v>
      </c>
      <c r="AB611" s="24" t="s">
        <v>125</v>
      </c>
      <c r="AC611" s="41">
        <f t="shared" si="182"/>
        <v>3874.2114000000001</v>
      </c>
      <c r="AD611" s="41">
        <v>1</v>
      </c>
      <c r="AE611" s="72">
        <f>IFERROR(INDEX(SA!$C$4:$E$11,MATCH(Details!S611,SA!$C$4:$C$11,0),MATCH(Details!V611,SA!$C$4:$E$4,0)),0)*Y611/(F611-E611+1)</f>
        <v>3283.23</v>
      </c>
      <c r="AF611" s="41">
        <f t="shared" si="183"/>
        <v>0</v>
      </c>
      <c r="AG611" s="41">
        <f t="shared" si="184"/>
        <v>0</v>
      </c>
      <c r="AH611" s="41">
        <f t="shared" si="185"/>
        <v>590.98140000000001</v>
      </c>
      <c r="AI611" s="60">
        <f t="shared" si="186"/>
        <v>131.32920000000001</v>
      </c>
      <c r="AJ611" s="60">
        <f t="shared" si="187"/>
        <v>738.72675000000004</v>
      </c>
      <c r="AK611" s="60">
        <f t="shared" si="188"/>
        <v>2374.7197808219175</v>
      </c>
      <c r="AL611" s="60">
        <f t="shared" si="189"/>
        <v>1745.4190389041094</v>
      </c>
      <c r="AM611" s="41">
        <f t="shared" si="190"/>
        <v>667.7550110958905</v>
      </c>
      <c r="AN611" s="42">
        <f t="shared" si="191"/>
        <v>45715</v>
      </c>
      <c r="AO611" s="43">
        <f t="shared" si="192"/>
        <v>3283.23</v>
      </c>
    </row>
    <row r="612" spans="1:41" s="24" customFormat="1" ht="15.75" customHeight="1" x14ac:dyDescent="0.35">
      <c r="A612" s="36" t="s">
        <v>27</v>
      </c>
      <c r="B612" s="36">
        <v>202506</v>
      </c>
      <c r="C612" s="24" t="s">
        <v>128</v>
      </c>
      <c r="D612" s="24" t="s">
        <v>129</v>
      </c>
      <c r="E612" s="62">
        <v>45818</v>
      </c>
      <c r="F612" s="62">
        <v>46182</v>
      </c>
      <c r="G612" s="37" t="s">
        <v>738</v>
      </c>
      <c r="H612" s="36">
        <v>2338</v>
      </c>
      <c r="I612" s="63">
        <v>30116</v>
      </c>
      <c r="J612" s="24" t="s">
        <v>1388</v>
      </c>
      <c r="K612" s="63">
        <f t="shared" si="176"/>
        <v>45818</v>
      </c>
      <c r="L612" s="55">
        <f t="shared" si="177"/>
        <v>0.04</v>
      </c>
      <c r="M612" s="76">
        <v>0.22500000000000001</v>
      </c>
      <c r="N612" s="62">
        <v>45818</v>
      </c>
      <c r="O612" s="62">
        <v>46182</v>
      </c>
      <c r="P612" s="63"/>
      <c r="Q612" s="63"/>
      <c r="R612" s="82">
        <v>42</v>
      </c>
      <c r="S612" s="63" t="str">
        <f>VLOOKUP(R612,SA!$B$5:$C$11,2,1)</f>
        <v>36-45</v>
      </c>
      <c r="T612" s="38" t="s">
        <v>97</v>
      </c>
      <c r="U612" s="24" t="s">
        <v>56</v>
      </c>
      <c r="V612" s="24">
        <v>300000</v>
      </c>
      <c r="W612" s="39">
        <f t="shared" si="178"/>
        <v>300000</v>
      </c>
      <c r="X612" s="29">
        <f t="shared" si="179"/>
        <v>1</v>
      </c>
      <c r="Y612" s="40">
        <f t="shared" si="180"/>
        <v>365</v>
      </c>
      <c r="Z612" s="38">
        <f t="shared" si="175"/>
        <v>46081</v>
      </c>
      <c r="AA612" s="41">
        <f t="shared" si="181"/>
        <v>264</v>
      </c>
      <c r="AB612" s="24" t="s">
        <v>125</v>
      </c>
      <c r="AC612" s="41">
        <f t="shared" si="182"/>
        <v>5017.3245999999999</v>
      </c>
      <c r="AD612" s="41">
        <v>1</v>
      </c>
      <c r="AE612" s="72">
        <f>IFERROR(INDEX(SA!$C$4:$E$11,MATCH(Details!S612,SA!$C$4:$C$11,0),MATCH(Details!V612,SA!$C$4:$E$4,0)),0)*Y612/(F612-E612+1)</f>
        <v>4251.97</v>
      </c>
      <c r="AF612" s="41">
        <f t="shared" si="183"/>
        <v>0</v>
      </c>
      <c r="AG612" s="41">
        <f t="shared" si="184"/>
        <v>0</v>
      </c>
      <c r="AH612" s="41">
        <f t="shared" si="185"/>
        <v>765.3546</v>
      </c>
      <c r="AI612" s="60">
        <f t="shared" si="186"/>
        <v>170.0788</v>
      </c>
      <c r="AJ612" s="60">
        <f t="shared" si="187"/>
        <v>956.69325000000003</v>
      </c>
      <c r="AK612" s="60">
        <f t="shared" si="188"/>
        <v>3075.397479452055</v>
      </c>
      <c r="AL612" s="60">
        <f t="shared" si="189"/>
        <v>2260.4171473972606</v>
      </c>
      <c r="AM612" s="41">
        <f t="shared" si="190"/>
        <v>864.78080260273941</v>
      </c>
      <c r="AN612" s="42">
        <f t="shared" si="191"/>
        <v>45715</v>
      </c>
      <c r="AO612" s="43">
        <f t="shared" si="192"/>
        <v>4251.97</v>
      </c>
    </row>
    <row r="613" spans="1:41" s="24" customFormat="1" ht="15.75" customHeight="1" x14ac:dyDescent="0.35">
      <c r="A613" s="36" t="s">
        <v>27</v>
      </c>
      <c r="B613" s="36">
        <v>202506</v>
      </c>
      <c r="C613" s="24" t="s">
        <v>128</v>
      </c>
      <c r="D613" s="24" t="s">
        <v>129</v>
      </c>
      <c r="E613" s="62">
        <v>45818</v>
      </c>
      <c r="F613" s="62">
        <v>46182</v>
      </c>
      <c r="G613" s="37" t="s">
        <v>739</v>
      </c>
      <c r="H613" s="36">
        <v>2338</v>
      </c>
      <c r="I613" s="63">
        <v>29054</v>
      </c>
      <c r="J613" s="24" t="s">
        <v>1389</v>
      </c>
      <c r="K613" s="63">
        <f t="shared" si="176"/>
        <v>45818</v>
      </c>
      <c r="L613" s="55">
        <f t="shared" si="177"/>
        <v>0.04</v>
      </c>
      <c r="M613" s="76">
        <v>0.22500000000000001</v>
      </c>
      <c r="N613" s="62">
        <v>45818</v>
      </c>
      <c r="O613" s="62">
        <v>46182</v>
      </c>
      <c r="P613" s="63"/>
      <c r="Q613" s="63"/>
      <c r="R613" s="82">
        <v>45</v>
      </c>
      <c r="S613" s="63" t="str">
        <f>VLOOKUP(R613,SA!$B$5:$C$11,2,1)</f>
        <v>36-45</v>
      </c>
      <c r="T613" s="38" t="s">
        <v>96</v>
      </c>
      <c r="U613" s="24" t="s">
        <v>115</v>
      </c>
      <c r="V613" s="24">
        <v>300000</v>
      </c>
      <c r="W613" s="39">
        <f t="shared" si="178"/>
        <v>0</v>
      </c>
      <c r="X613" s="29">
        <f t="shared" si="179"/>
        <v>0</v>
      </c>
      <c r="Y613" s="40">
        <f t="shared" si="180"/>
        <v>365</v>
      </c>
      <c r="Z613" s="38">
        <f t="shared" si="175"/>
        <v>46081</v>
      </c>
      <c r="AA613" s="41">
        <f t="shared" si="181"/>
        <v>264</v>
      </c>
      <c r="AB613" s="24" t="s">
        <v>125</v>
      </c>
      <c r="AC613" s="41">
        <f t="shared" si="182"/>
        <v>5017.3245999999999</v>
      </c>
      <c r="AD613" s="41">
        <v>1</v>
      </c>
      <c r="AE613" s="72">
        <f>IFERROR(INDEX(SA!$C$4:$E$11,MATCH(Details!S613,SA!$C$4:$C$11,0),MATCH(Details!V613,SA!$C$4:$E$4,0)),0)*Y613/(F613-E613+1)</f>
        <v>4251.97</v>
      </c>
      <c r="AF613" s="41">
        <f t="shared" si="183"/>
        <v>0</v>
      </c>
      <c r="AG613" s="41">
        <f t="shared" si="184"/>
        <v>0</v>
      </c>
      <c r="AH613" s="41">
        <f t="shared" si="185"/>
        <v>765.3546</v>
      </c>
      <c r="AI613" s="60">
        <f t="shared" si="186"/>
        <v>170.0788</v>
      </c>
      <c r="AJ613" s="60">
        <f t="shared" si="187"/>
        <v>956.69325000000003</v>
      </c>
      <c r="AK613" s="60">
        <f t="shared" si="188"/>
        <v>3075.397479452055</v>
      </c>
      <c r="AL613" s="60">
        <f t="shared" si="189"/>
        <v>2260.4171473972606</v>
      </c>
      <c r="AM613" s="41">
        <f t="shared" si="190"/>
        <v>864.78080260273941</v>
      </c>
      <c r="AN613" s="42">
        <f t="shared" si="191"/>
        <v>45715</v>
      </c>
      <c r="AO613" s="43">
        <f t="shared" si="192"/>
        <v>4251.97</v>
      </c>
    </row>
    <row r="614" spans="1:41" s="24" customFormat="1" ht="15.75" customHeight="1" x14ac:dyDescent="0.35">
      <c r="A614" s="36" t="s">
        <v>27</v>
      </c>
      <c r="B614" s="36">
        <v>202506</v>
      </c>
      <c r="C614" s="24" t="s">
        <v>128</v>
      </c>
      <c r="D614" s="24" t="s">
        <v>129</v>
      </c>
      <c r="E614" s="62">
        <v>45818</v>
      </c>
      <c r="F614" s="62">
        <v>46182</v>
      </c>
      <c r="G614" s="37" t="s">
        <v>740</v>
      </c>
      <c r="H614" s="36">
        <v>2338</v>
      </c>
      <c r="I614" s="63">
        <v>40408</v>
      </c>
      <c r="J614" s="24" t="s">
        <v>1390</v>
      </c>
      <c r="K614" s="63">
        <f t="shared" si="176"/>
        <v>45818</v>
      </c>
      <c r="L614" s="55">
        <f t="shared" si="177"/>
        <v>0.04</v>
      </c>
      <c r="M614" s="76">
        <v>0.22500000000000001</v>
      </c>
      <c r="N614" s="62">
        <v>45818</v>
      </c>
      <c r="O614" s="62">
        <v>46182</v>
      </c>
      <c r="P614" s="63"/>
      <c r="Q614" s="63"/>
      <c r="R614" s="82">
        <v>14</v>
      </c>
      <c r="S614" s="63" t="str">
        <f>VLOOKUP(R614,SA!$B$5:$C$11,2,1)</f>
        <v>0-35</v>
      </c>
      <c r="T614" s="38" t="s">
        <v>96</v>
      </c>
      <c r="U614" s="24" t="s">
        <v>114</v>
      </c>
      <c r="V614" s="24">
        <v>300000</v>
      </c>
      <c r="W614" s="39">
        <f t="shared" si="178"/>
        <v>0</v>
      </c>
      <c r="X614" s="29">
        <f t="shared" si="179"/>
        <v>0</v>
      </c>
      <c r="Y614" s="40">
        <f t="shared" si="180"/>
        <v>365</v>
      </c>
      <c r="Z614" s="38">
        <f t="shared" si="175"/>
        <v>46081</v>
      </c>
      <c r="AA614" s="41">
        <f t="shared" si="181"/>
        <v>264</v>
      </c>
      <c r="AB614" s="24" t="s">
        <v>125</v>
      </c>
      <c r="AC614" s="41">
        <f t="shared" si="182"/>
        <v>3874.2114000000001</v>
      </c>
      <c r="AD614" s="41">
        <v>1</v>
      </c>
      <c r="AE614" s="72">
        <f>IFERROR(INDEX(SA!$C$4:$E$11,MATCH(Details!S614,SA!$C$4:$C$11,0),MATCH(Details!V614,SA!$C$4:$E$4,0)),0)*Y614/(F614-E614+1)</f>
        <v>3283.23</v>
      </c>
      <c r="AF614" s="41">
        <f t="shared" si="183"/>
        <v>0</v>
      </c>
      <c r="AG614" s="41">
        <f t="shared" si="184"/>
        <v>0</v>
      </c>
      <c r="AH614" s="41">
        <f t="shared" si="185"/>
        <v>590.98140000000001</v>
      </c>
      <c r="AI614" s="60">
        <f t="shared" si="186"/>
        <v>131.32920000000001</v>
      </c>
      <c r="AJ614" s="60">
        <f t="shared" si="187"/>
        <v>738.72675000000004</v>
      </c>
      <c r="AK614" s="60">
        <f t="shared" si="188"/>
        <v>2374.7197808219175</v>
      </c>
      <c r="AL614" s="60">
        <f t="shared" si="189"/>
        <v>1745.4190389041094</v>
      </c>
      <c r="AM614" s="41">
        <f t="shared" si="190"/>
        <v>667.7550110958905</v>
      </c>
      <c r="AN614" s="42">
        <f t="shared" si="191"/>
        <v>45715</v>
      </c>
      <c r="AO614" s="43">
        <f t="shared" si="192"/>
        <v>3283.23</v>
      </c>
    </row>
    <row r="615" spans="1:41" s="24" customFormat="1" ht="15.75" customHeight="1" x14ac:dyDescent="0.35">
      <c r="A615" s="36" t="s">
        <v>27</v>
      </c>
      <c r="B615" s="36">
        <v>202506</v>
      </c>
      <c r="C615" s="24" t="s">
        <v>128</v>
      </c>
      <c r="D615" s="24" t="s">
        <v>129</v>
      </c>
      <c r="E615" s="62">
        <v>45818</v>
      </c>
      <c r="F615" s="62">
        <v>46182</v>
      </c>
      <c r="G615" s="37" t="s">
        <v>741</v>
      </c>
      <c r="H615" s="36">
        <v>2338</v>
      </c>
      <c r="I615" s="63">
        <v>38208</v>
      </c>
      <c r="J615" s="24" t="s">
        <v>1391</v>
      </c>
      <c r="K615" s="63">
        <f t="shared" si="176"/>
        <v>45818</v>
      </c>
      <c r="L615" s="55">
        <f t="shared" si="177"/>
        <v>0.04</v>
      </c>
      <c r="M615" s="76">
        <v>0.22500000000000001</v>
      </c>
      <c r="N615" s="62">
        <v>45818</v>
      </c>
      <c r="O615" s="62">
        <v>46182</v>
      </c>
      <c r="P615" s="63"/>
      <c r="Q615" s="63"/>
      <c r="R615" s="82">
        <v>20</v>
      </c>
      <c r="S615" s="63" t="str">
        <f>VLOOKUP(R615,SA!$B$5:$C$11,2,1)</f>
        <v>0-35</v>
      </c>
      <c r="T615" s="38" t="s">
        <v>97</v>
      </c>
      <c r="U615" s="24" t="s">
        <v>113</v>
      </c>
      <c r="V615" s="24">
        <v>300000</v>
      </c>
      <c r="W615" s="39">
        <f t="shared" si="178"/>
        <v>0</v>
      </c>
      <c r="X615" s="29">
        <f t="shared" si="179"/>
        <v>0</v>
      </c>
      <c r="Y615" s="40">
        <f t="shared" si="180"/>
        <v>365</v>
      </c>
      <c r="Z615" s="38">
        <f t="shared" si="175"/>
        <v>46081</v>
      </c>
      <c r="AA615" s="41">
        <f t="shared" si="181"/>
        <v>264</v>
      </c>
      <c r="AB615" s="24" t="s">
        <v>125</v>
      </c>
      <c r="AC615" s="41">
        <f t="shared" si="182"/>
        <v>3874.2114000000001</v>
      </c>
      <c r="AD615" s="41">
        <v>1</v>
      </c>
      <c r="AE615" s="72">
        <f>IFERROR(INDEX(SA!$C$4:$E$11,MATCH(Details!S615,SA!$C$4:$C$11,0),MATCH(Details!V615,SA!$C$4:$E$4,0)),0)*Y615/(F615-E615+1)</f>
        <v>3283.23</v>
      </c>
      <c r="AF615" s="41">
        <f t="shared" si="183"/>
        <v>0</v>
      </c>
      <c r="AG615" s="41">
        <f t="shared" si="184"/>
        <v>0</v>
      </c>
      <c r="AH615" s="41">
        <f t="shared" si="185"/>
        <v>590.98140000000001</v>
      </c>
      <c r="AI615" s="60">
        <f t="shared" si="186"/>
        <v>131.32920000000001</v>
      </c>
      <c r="AJ615" s="60">
        <f t="shared" si="187"/>
        <v>738.72675000000004</v>
      </c>
      <c r="AK615" s="60">
        <f t="shared" si="188"/>
        <v>2374.7197808219175</v>
      </c>
      <c r="AL615" s="60">
        <f t="shared" si="189"/>
        <v>1745.4190389041094</v>
      </c>
      <c r="AM615" s="41">
        <f t="shared" si="190"/>
        <v>667.7550110958905</v>
      </c>
      <c r="AN615" s="42">
        <f t="shared" si="191"/>
        <v>45715</v>
      </c>
      <c r="AO615" s="43">
        <f t="shared" si="192"/>
        <v>3283.23</v>
      </c>
    </row>
    <row r="616" spans="1:41" s="24" customFormat="1" ht="15.75" customHeight="1" x14ac:dyDescent="0.35">
      <c r="A616" s="36" t="s">
        <v>27</v>
      </c>
      <c r="B616" s="36">
        <v>202506</v>
      </c>
      <c r="C616" s="24" t="s">
        <v>128</v>
      </c>
      <c r="D616" s="24" t="s">
        <v>129</v>
      </c>
      <c r="E616" s="62">
        <v>45818</v>
      </c>
      <c r="F616" s="62">
        <v>46182</v>
      </c>
      <c r="G616" s="37" t="s">
        <v>742</v>
      </c>
      <c r="H616" s="36">
        <v>2339</v>
      </c>
      <c r="I616" s="63">
        <v>36854</v>
      </c>
      <c r="J616" s="24" t="s">
        <v>1392</v>
      </c>
      <c r="K616" s="63">
        <f t="shared" si="176"/>
        <v>45818</v>
      </c>
      <c r="L616" s="55">
        <f t="shared" si="177"/>
        <v>0.04</v>
      </c>
      <c r="M616" s="76">
        <v>0.22500000000000001</v>
      </c>
      <c r="N616" s="62">
        <v>45818</v>
      </c>
      <c r="O616" s="62">
        <v>46182</v>
      </c>
      <c r="P616" s="63"/>
      <c r="Q616" s="63"/>
      <c r="R616" s="82">
        <v>24</v>
      </c>
      <c r="S616" s="63" t="str">
        <f>VLOOKUP(R616,SA!$B$5:$C$11,2,1)</f>
        <v>0-35</v>
      </c>
      <c r="T616" s="38" t="s">
        <v>97</v>
      </c>
      <c r="U616" s="24" t="s">
        <v>56</v>
      </c>
      <c r="V616" s="24">
        <v>300000</v>
      </c>
      <c r="W616" s="39">
        <f t="shared" si="178"/>
        <v>300000</v>
      </c>
      <c r="X616" s="29">
        <f t="shared" si="179"/>
        <v>1</v>
      </c>
      <c r="Y616" s="40">
        <f t="shared" si="180"/>
        <v>365</v>
      </c>
      <c r="Z616" s="38">
        <f t="shared" si="175"/>
        <v>46081</v>
      </c>
      <c r="AA616" s="41">
        <f t="shared" si="181"/>
        <v>264</v>
      </c>
      <c r="AB616" s="24" t="s">
        <v>125</v>
      </c>
      <c r="AC616" s="41">
        <f t="shared" si="182"/>
        <v>3874.2114000000001</v>
      </c>
      <c r="AD616" s="41">
        <v>1</v>
      </c>
      <c r="AE616" s="72">
        <f>IFERROR(INDEX(SA!$C$4:$E$11,MATCH(Details!S616,SA!$C$4:$C$11,0),MATCH(Details!V616,SA!$C$4:$E$4,0)),0)*Y616/(F616-E616+1)</f>
        <v>3283.23</v>
      </c>
      <c r="AF616" s="41">
        <f t="shared" si="183"/>
        <v>0</v>
      </c>
      <c r="AG616" s="41">
        <f t="shared" si="184"/>
        <v>0</v>
      </c>
      <c r="AH616" s="41">
        <f t="shared" si="185"/>
        <v>590.98140000000001</v>
      </c>
      <c r="AI616" s="60">
        <f t="shared" si="186"/>
        <v>131.32920000000001</v>
      </c>
      <c r="AJ616" s="60">
        <f t="shared" si="187"/>
        <v>738.72675000000004</v>
      </c>
      <c r="AK616" s="60">
        <f t="shared" si="188"/>
        <v>2374.7197808219175</v>
      </c>
      <c r="AL616" s="60">
        <f t="shared" si="189"/>
        <v>1745.4190389041094</v>
      </c>
      <c r="AM616" s="41">
        <f t="shared" si="190"/>
        <v>667.7550110958905</v>
      </c>
      <c r="AN616" s="42">
        <f t="shared" si="191"/>
        <v>45715</v>
      </c>
      <c r="AO616" s="43">
        <f t="shared" si="192"/>
        <v>3283.23</v>
      </c>
    </row>
    <row r="617" spans="1:41" s="24" customFormat="1" ht="15.75" customHeight="1" x14ac:dyDescent="0.35">
      <c r="A617" s="36" t="s">
        <v>27</v>
      </c>
      <c r="B617" s="36">
        <v>202506</v>
      </c>
      <c r="C617" s="24" t="s">
        <v>128</v>
      </c>
      <c r="D617" s="24" t="s">
        <v>129</v>
      </c>
      <c r="E617" s="62">
        <v>45818</v>
      </c>
      <c r="F617" s="62">
        <v>46182</v>
      </c>
      <c r="G617" s="37" t="s">
        <v>743</v>
      </c>
      <c r="H617" s="36">
        <v>2219</v>
      </c>
      <c r="I617" s="63">
        <v>30504</v>
      </c>
      <c r="J617" s="24" t="s">
        <v>1393</v>
      </c>
      <c r="K617" s="63">
        <f t="shared" si="176"/>
        <v>45818</v>
      </c>
      <c r="L617" s="55">
        <f t="shared" si="177"/>
        <v>0.04</v>
      </c>
      <c r="M617" s="76">
        <v>0.22500000000000001</v>
      </c>
      <c r="N617" s="62">
        <v>45818</v>
      </c>
      <c r="O617" s="62">
        <v>46182</v>
      </c>
      <c r="P617" s="63"/>
      <c r="Q617" s="63"/>
      <c r="R617" s="82">
        <v>41</v>
      </c>
      <c r="S617" s="63" t="str">
        <f>VLOOKUP(R617,SA!$B$5:$C$11,2,1)</f>
        <v>36-45</v>
      </c>
      <c r="T617" s="38" t="s">
        <v>96</v>
      </c>
      <c r="U617" s="24" t="s">
        <v>56</v>
      </c>
      <c r="V617" s="24">
        <v>300000</v>
      </c>
      <c r="W617" s="39">
        <f t="shared" si="178"/>
        <v>300000</v>
      </c>
      <c r="X617" s="29">
        <f t="shared" si="179"/>
        <v>1</v>
      </c>
      <c r="Y617" s="40">
        <f t="shared" si="180"/>
        <v>365</v>
      </c>
      <c r="Z617" s="38">
        <f t="shared" si="175"/>
        <v>46081</v>
      </c>
      <c r="AA617" s="41">
        <f t="shared" si="181"/>
        <v>264</v>
      </c>
      <c r="AB617" s="24" t="s">
        <v>125</v>
      </c>
      <c r="AC617" s="41">
        <f t="shared" si="182"/>
        <v>5017.3245999999999</v>
      </c>
      <c r="AD617" s="41">
        <v>1</v>
      </c>
      <c r="AE617" s="72">
        <f>IFERROR(INDEX(SA!$C$4:$E$11,MATCH(Details!S617,SA!$C$4:$C$11,0),MATCH(Details!V617,SA!$C$4:$E$4,0)),0)*Y617/(F617-E617+1)</f>
        <v>4251.97</v>
      </c>
      <c r="AF617" s="41">
        <f t="shared" si="183"/>
        <v>0</v>
      </c>
      <c r="AG617" s="41">
        <f t="shared" si="184"/>
        <v>0</v>
      </c>
      <c r="AH617" s="41">
        <f t="shared" si="185"/>
        <v>765.3546</v>
      </c>
      <c r="AI617" s="60">
        <f t="shared" si="186"/>
        <v>170.0788</v>
      </c>
      <c r="AJ617" s="60">
        <f t="shared" si="187"/>
        <v>956.69325000000003</v>
      </c>
      <c r="AK617" s="60">
        <f t="shared" si="188"/>
        <v>3075.397479452055</v>
      </c>
      <c r="AL617" s="60">
        <f t="shared" si="189"/>
        <v>2260.4171473972606</v>
      </c>
      <c r="AM617" s="41">
        <f t="shared" si="190"/>
        <v>864.78080260273941</v>
      </c>
      <c r="AN617" s="42">
        <f t="shared" si="191"/>
        <v>45715</v>
      </c>
      <c r="AO617" s="43">
        <f t="shared" si="192"/>
        <v>4251.97</v>
      </c>
    </row>
    <row r="618" spans="1:41" s="24" customFormat="1" ht="15.75" customHeight="1" x14ac:dyDescent="0.35">
      <c r="A618" s="36" t="s">
        <v>27</v>
      </c>
      <c r="B618" s="36">
        <v>202506</v>
      </c>
      <c r="C618" s="24" t="s">
        <v>128</v>
      </c>
      <c r="D618" s="24" t="s">
        <v>129</v>
      </c>
      <c r="E618" s="62">
        <v>45818</v>
      </c>
      <c r="F618" s="62">
        <v>46182</v>
      </c>
      <c r="G618" s="37" t="s">
        <v>744</v>
      </c>
      <c r="H618" s="36">
        <v>2335</v>
      </c>
      <c r="I618" s="63">
        <v>30472</v>
      </c>
      <c r="J618" s="24" t="s">
        <v>1394</v>
      </c>
      <c r="K618" s="63">
        <f t="shared" si="176"/>
        <v>45818</v>
      </c>
      <c r="L618" s="55">
        <f t="shared" si="177"/>
        <v>0.04</v>
      </c>
      <c r="M618" s="76">
        <v>0.22500000000000001</v>
      </c>
      <c r="N618" s="62">
        <v>45818</v>
      </c>
      <c r="O618" s="62">
        <v>46182</v>
      </c>
      <c r="P618" s="63"/>
      <c r="Q618" s="63"/>
      <c r="R618" s="82">
        <v>42</v>
      </c>
      <c r="S618" s="63" t="str">
        <f>VLOOKUP(R618,SA!$B$5:$C$11,2,1)</f>
        <v>36-45</v>
      </c>
      <c r="T618" s="38" t="s">
        <v>96</v>
      </c>
      <c r="U618" s="24" t="s">
        <v>56</v>
      </c>
      <c r="V618" s="24">
        <v>300000</v>
      </c>
      <c r="W618" s="39">
        <f t="shared" si="178"/>
        <v>300000</v>
      </c>
      <c r="X618" s="29">
        <f t="shared" si="179"/>
        <v>1</v>
      </c>
      <c r="Y618" s="40">
        <f t="shared" si="180"/>
        <v>365</v>
      </c>
      <c r="Z618" s="38">
        <f t="shared" si="175"/>
        <v>46081</v>
      </c>
      <c r="AA618" s="41">
        <f t="shared" si="181"/>
        <v>264</v>
      </c>
      <c r="AB618" s="24" t="s">
        <v>125</v>
      </c>
      <c r="AC618" s="41">
        <f t="shared" si="182"/>
        <v>5017.3245999999999</v>
      </c>
      <c r="AD618" s="41">
        <v>1</v>
      </c>
      <c r="AE618" s="72">
        <f>IFERROR(INDEX(SA!$C$4:$E$11,MATCH(Details!S618,SA!$C$4:$C$11,0),MATCH(Details!V618,SA!$C$4:$E$4,0)),0)*Y618/(F618-E618+1)</f>
        <v>4251.97</v>
      </c>
      <c r="AF618" s="41">
        <f t="shared" si="183"/>
        <v>0</v>
      </c>
      <c r="AG618" s="41">
        <f t="shared" si="184"/>
        <v>0</v>
      </c>
      <c r="AH618" s="41">
        <f t="shared" si="185"/>
        <v>765.3546</v>
      </c>
      <c r="AI618" s="60">
        <f t="shared" si="186"/>
        <v>170.0788</v>
      </c>
      <c r="AJ618" s="60">
        <f t="shared" si="187"/>
        <v>956.69325000000003</v>
      </c>
      <c r="AK618" s="60">
        <f t="shared" si="188"/>
        <v>3075.397479452055</v>
      </c>
      <c r="AL618" s="60">
        <f t="shared" si="189"/>
        <v>2260.4171473972606</v>
      </c>
      <c r="AM618" s="41">
        <f t="shared" si="190"/>
        <v>864.78080260273941</v>
      </c>
      <c r="AN618" s="42">
        <f t="shared" si="191"/>
        <v>45715</v>
      </c>
      <c r="AO618" s="43">
        <f t="shared" si="192"/>
        <v>4251.97</v>
      </c>
    </row>
    <row r="619" spans="1:41" s="24" customFormat="1" ht="15.75" customHeight="1" x14ac:dyDescent="0.35">
      <c r="A619" s="36" t="s">
        <v>27</v>
      </c>
      <c r="B619" s="36">
        <v>202506</v>
      </c>
      <c r="C619" s="24" t="s">
        <v>128</v>
      </c>
      <c r="D619" s="24" t="s">
        <v>129</v>
      </c>
      <c r="E619" s="62">
        <v>45818</v>
      </c>
      <c r="F619" s="62">
        <v>46182</v>
      </c>
      <c r="G619" s="37" t="s">
        <v>745</v>
      </c>
      <c r="H619" s="36">
        <v>2335</v>
      </c>
      <c r="I619" s="63">
        <v>31199</v>
      </c>
      <c r="J619" s="24" t="s">
        <v>1395</v>
      </c>
      <c r="K619" s="63">
        <f t="shared" si="176"/>
        <v>45818</v>
      </c>
      <c r="L619" s="55">
        <f t="shared" si="177"/>
        <v>0.04</v>
      </c>
      <c r="M619" s="76">
        <v>0.22500000000000001</v>
      </c>
      <c r="N619" s="62">
        <v>45818</v>
      </c>
      <c r="O619" s="62">
        <v>46182</v>
      </c>
      <c r="P619" s="63"/>
      <c r="Q619" s="63"/>
      <c r="R619" s="82">
        <v>40</v>
      </c>
      <c r="S619" s="63" t="str">
        <f>VLOOKUP(R619,SA!$B$5:$C$11,2,1)</f>
        <v>36-45</v>
      </c>
      <c r="T619" s="38" t="s">
        <v>97</v>
      </c>
      <c r="U619" s="24" t="s">
        <v>115</v>
      </c>
      <c r="V619" s="24">
        <v>300000</v>
      </c>
      <c r="W619" s="39">
        <f t="shared" si="178"/>
        <v>0</v>
      </c>
      <c r="X619" s="29">
        <f t="shared" si="179"/>
        <v>0</v>
      </c>
      <c r="Y619" s="40">
        <f t="shared" si="180"/>
        <v>365</v>
      </c>
      <c r="Z619" s="38">
        <f t="shared" si="175"/>
        <v>46081</v>
      </c>
      <c r="AA619" s="41">
        <f t="shared" si="181"/>
        <v>264</v>
      </c>
      <c r="AB619" s="24" t="s">
        <v>125</v>
      </c>
      <c r="AC619" s="41">
        <f t="shared" si="182"/>
        <v>5017.3245999999999</v>
      </c>
      <c r="AD619" s="41">
        <v>1</v>
      </c>
      <c r="AE619" s="72">
        <f>IFERROR(INDEX(SA!$C$4:$E$11,MATCH(Details!S619,SA!$C$4:$C$11,0),MATCH(Details!V619,SA!$C$4:$E$4,0)),0)*Y619/(F619-E619+1)</f>
        <v>4251.97</v>
      </c>
      <c r="AF619" s="41">
        <f t="shared" si="183"/>
        <v>0</v>
      </c>
      <c r="AG619" s="41">
        <f t="shared" si="184"/>
        <v>0</v>
      </c>
      <c r="AH619" s="41">
        <f t="shared" si="185"/>
        <v>765.3546</v>
      </c>
      <c r="AI619" s="60">
        <f t="shared" si="186"/>
        <v>170.0788</v>
      </c>
      <c r="AJ619" s="60">
        <f t="shared" si="187"/>
        <v>956.69325000000003</v>
      </c>
      <c r="AK619" s="60">
        <f t="shared" si="188"/>
        <v>3075.397479452055</v>
      </c>
      <c r="AL619" s="60">
        <f t="shared" si="189"/>
        <v>2260.4171473972606</v>
      </c>
      <c r="AM619" s="41">
        <f t="shared" si="190"/>
        <v>864.78080260273941</v>
      </c>
      <c r="AN619" s="42">
        <f t="shared" si="191"/>
        <v>45715</v>
      </c>
      <c r="AO619" s="43">
        <f t="shared" si="192"/>
        <v>4251.97</v>
      </c>
    </row>
    <row r="620" spans="1:41" s="24" customFormat="1" ht="15.75" customHeight="1" x14ac:dyDescent="0.35">
      <c r="A620" s="36" t="s">
        <v>27</v>
      </c>
      <c r="B620" s="36">
        <v>202506</v>
      </c>
      <c r="C620" s="24" t="s">
        <v>128</v>
      </c>
      <c r="D620" s="24" t="s">
        <v>129</v>
      </c>
      <c r="E620" s="62">
        <v>45818</v>
      </c>
      <c r="F620" s="62">
        <v>46182</v>
      </c>
      <c r="G620" s="37" t="s">
        <v>746</v>
      </c>
      <c r="H620" s="36">
        <v>2335</v>
      </c>
      <c r="I620" s="63">
        <v>42268</v>
      </c>
      <c r="J620" s="24" t="s">
        <v>1396</v>
      </c>
      <c r="K620" s="63">
        <f t="shared" si="176"/>
        <v>45818</v>
      </c>
      <c r="L620" s="55">
        <f t="shared" si="177"/>
        <v>0.04</v>
      </c>
      <c r="M620" s="76">
        <v>0.22500000000000001</v>
      </c>
      <c r="N620" s="62">
        <v>45818</v>
      </c>
      <c r="O620" s="62">
        <v>46182</v>
      </c>
      <c r="P620" s="63"/>
      <c r="Q620" s="63"/>
      <c r="R620" s="82">
        <v>9</v>
      </c>
      <c r="S620" s="63" t="str">
        <f>VLOOKUP(R620,SA!$B$5:$C$11,2,1)</f>
        <v>0-35</v>
      </c>
      <c r="T620" s="38" t="s">
        <v>97</v>
      </c>
      <c r="U620" s="24" t="s">
        <v>113</v>
      </c>
      <c r="V620" s="24">
        <v>300000</v>
      </c>
      <c r="W620" s="39">
        <f t="shared" si="178"/>
        <v>0</v>
      </c>
      <c r="X620" s="29">
        <f t="shared" si="179"/>
        <v>0</v>
      </c>
      <c r="Y620" s="40">
        <f t="shared" si="180"/>
        <v>365</v>
      </c>
      <c r="Z620" s="38">
        <f t="shared" si="175"/>
        <v>46081</v>
      </c>
      <c r="AA620" s="41">
        <f t="shared" si="181"/>
        <v>264</v>
      </c>
      <c r="AB620" s="24" t="s">
        <v>125</v>
      </c>
      <c r="AC620" s="41">
        <f t="shared" si="182"/>
        <v>3874.2114000000001</v>
      </c>
      <c r="AD620" s="41">
        <v>1</v>
      </c>
      <c r="AE620" s="72">
        <f>IFERROR(INDEX(SA!$C$4:$E$11,MATCH(Details!S620,SA!$C$4:$C$11,0),MATCH(Details!V620,SA!$C$4:$E$4,0)),0)*Y620/(F620-E620+1)</f>
        <v>3283.23</v>
      </c>
      <c r="AF620" s="41">
        <f t="shared" si="183"/>
        <v>0</v>
      </c>
      <c r="AG620" s="41">
        <f t="shared" si="184"/>
        <v>0</v>
      </c>
      <c r="AH620" s="41">
        <f t="shared" si="185"/>
        <v>590.98140000000001</v>
      </c>
      <c r="AI620" s="60">
        <f t="shared" si="186"/>
        <v>131.32920000000001</v>
      </c>
      <c r="AJ620" s="60">
        <f t="shared" si="187"/>
        <v>738.72675000000004</v>
      </c>
      <c r="AK620" s="60">
        <f t="shared" si="188"/>
        <v>2374.7197808219175</v>
      </c>
      <c r="AL620" s="60">
        <f t="shared" si="189"/>
        <v>1745.4190389041094</v>
      </c>
      <c r="AM620" s="41">
        <f t="shared" si="190"/>
        <v>667.7550110958905</v>
      </c>
      <c r="AN620" s="42">
        <f t="shared" si="191"/>
        <v>45715</v>
      </c>
      <c r="AO620" s="43">
        <f t="shared" si="192"/>
        <v>3283.23</v>
      </c>
    </row>
    <row r="621" spans="1:41" s="24" customFormat="1" ht="15.75" customHeight="1" x14ac:dyDescent="0.35">
      <c r="A621" s="36" t="s">
        <v>27</v>
      </c>
      <c r="B621" s="36">
        <v>202506</v>
      </c>
      <c r="C621" s="24" t="s">
        <v>128</v>
      </c>
      <c r="D621" s="24" t="s">
        <v>129</v>
      </c>
      <c r="E621" s="62">
        <v>45818</v>
      </c>
      <c r="F621" s="62">
        <v>46182</v>
      </c>
      <c r="G621" s="37" t="s">
        <v>747</v>
      </c>
      <c r="H621" s="36">
        <v>2335</v>
      </c>
      <c r="I621" s="63">
        <v>39866</v>
      </c>
      <c r="J621" s="24" t="s">
        <v>1397</v>
      </c>
      <c r="K621" s="63">
        <f t="shared" si="176"/>
        <v>45818</v>
      </c>
      <c r="L621" s="55">
        <f t="shared" si="177"/>
        <v>0.04</v>
      </c>
      <c r="M621" s="76">
        <v>0.22500000000000001</v>
      </c>
      <c r="N621" s="62">
        <v>45818</v>
      </c>
      <c r="O621" s="62">
        <v>46182</v>
      </c>
      <c r="P621" s="63"/>
      <c r="Q621" s="63"/>
      <c r="R621" s="82">
        <v>16</v>
      </c>
      <c r="S621" s="63" t="str">
        <f>VLOOKUP(R621,SA!$B$5:$C$11,2,1)</f>
        <v>0-35</v>
      </c>
      <c r="T621" s="38" t="s">
        <v>96</v>
      </c>
      <c r="U621" s="24" t="s">
        <v>114</v>
      </c>
      <c r="V621" s="24">
        <v>300000</v>
      </c>
      <c r="W621" s="39">
        <f t="shared" si="178"/>
        <v>0</v>
      </c>
      <c r="X621" s="29">
        <f t="shared" si="179"/>
        <v>0</v>
      </c>
      <c r="Y621" s="40">
        <f t="shared" si="180"/>
        <v>365</v>
      </c>
      <c r="Z621" s="38">
        <f t="shared" si="175"/>
        <v>46081</v>
      </c>
      <c r="AA621" s="41">
        <f t="shared" si="181"/>
        <v>264</v>
      </c>
      <c r="AB621" s="24" t="s">
        <v>125</v>
      </c>
      <c r="AC621" s="41">
        <f t="shared" si="182"/>
        <v>3874.2114000000001</v>
      </c>
      <c r="AD621" s="41">
        <v>1</v>
      </c>
      <c r="AE621" s="72">
        <f>IFERROR(INDEX(SA!$C$4:$E$11,MATCH(Details!S621,SA!$C$4:$C$11,0),MATCH(Details!V621,SA!$C$4:$E$4,0)),0)*Y621/(F621-E621+1)</f>
        <v>3283.23</v>
      </c>
      <c r="AF621" s="41">
        <f t="shared" si="183"/>
        <v>0</v>
      </c>
      <c r="AG621" s="41">
        <f t="shared" si="184"/>
        <v>0</v>
      </c>
      <c r="AH621" s="41">
        <f t="shared" si="185"/>
        <v>590.98140000000001</v>
      </c>
      <c r="AI621" s="60">
        <f t="shared" si="186"/>
        <v>131.32920000000001</v>
      </c>
      <c r="AJ621" s="60">
        <f t="shared" si="187"/>
        <v>738.72675000000004</v>
      </c>
      <c r="AK621" s="60">
        <f t="shared" si="188"/>
        <v>2374.7197808219175</v>
      </c>
      <c r="AL621" s="60">
        <f t="shared" si="189"/>
        <v>1745.4190389041094</v>
      </c>
      <c r="AM621" s="41">
        <f t="shared" si="190"/>
        <v>667.7550110958905</v>
      </c>
      <c r="AN621" s="42">
        <f t="shared" si="191"/>
        <v>45715</v>
      </c>
      <c r="AO621" s="43">
        <f t="shared" si="192"/>
        <v>3283.23</v>
      </c>
    </row>
    <row r="622" spans="1:41" s="24" customFormat="1" ht="15.75" customHeight="1" x14ac:dyDescent="0.35">
      <c r="A622" s="36" t="s">
        <v>27</v>
      </c>
      <c r="B622" s="36">
        <v>202506</v>
      </c>
      <c r="C622" s="24" t="s">
        <v>128</v>
      </c>
      <c r="D622" s="24" t="s">
        <v>129</v>
      </c>
      <c r="E622" s="62">
        <v>45818</v>
      </c>
      <c r="F622" s="62">
        <v>46182</v>
      </c>
      <c r="G622" s="37" t="s">
        <v>748</v>
      </c>
      <c r="H622" s="36">
        <v>2331</v>
      </c>
      <c r="I622" s="63">
        <v>35541</v>
      </c>
      <c r="J622" s="24" t="s">
        <v>1398</v>
      </c>
      <c r="K622" s="63">
        <f t="shared" si="176"/>
        <v>45818</v>
      </c>
      <c r="L622" s="55">
        <f t="shared" si="177"/>
        <v>0.04</v>
      </c>
      <c r="M622" s="76">
        <v>0.22500000000000001</v>
      </c>
      <c r="N622" s="62">
        <v>45818</v>
      </c>
      <c r="O622" s="62">
        <v>46182</v>
      </c>
      <c r="P622" s="63"/>
      <c r="Q622" s="63"/>
      <c r="R622" s="82">
        <v>28</v>
      </c>
      <c r="S622" s="63" t="str">
        <f>VLOOKUP(R622,SA!$B$5:$C$11,2,1)</f>
        <v>0-35</v>
      </c>
      <c r="T622" s="38" t="s">
        <v>97</v>
      </c>
      <c r="U622" s="24" t="s">
        <v>56</v>
      </c>
      <c r="V622" s="24">
        <v>300000</v>
      </c>
      <c r="W622" s="39">
        <f t="shared" si="178"/>
        <v>300000</v>
      </c>
      <c r="X622" s="29">
        <f t="shared" si="179"/>
        <v>1</v>
      </c>
      <c r="Y622" s="40">
        <f t="shared" si="180"/>
        <v>365</v>
      </c>
      <c r="Z622" s="38">
        <f t="shared" si="175"/>
        <v>46081</v>
      </c>
      <c r="AA622" s="41">
        <f t="shared" si="181"/>
        <v>264</v>
      </c>
      <c r="AB622" s="24" t="s">
        <v>125</v>
      </c>
      <c r="AC622" s="41">
        <f t="shared" si="182"/>
        <v>3874.2114000000001</v>
      </c>
      <c r="AD622" s="41">
        <v>1</v>
      </c>
      <c r="AE622" s="72">
        <f>IFERROR(INDEX(SA!$C$4:$E$11,MATCH(Details!S622,SA!$C$4:$C$11,0),MATCH(Details!V622,SA!$C$4:$E$4,0)),0)*Y622/(F622-E622+1)</f>
        <v>3283.23</v>
      </c>
      <c r="AF622" s="41">
        <f t="shared" si="183"/>
        <v>0</v>
      </c>
      <c r="AG622" s="41">
        <f t="shared" si="184"/>
        <v>0</v>
      </c>
      <c r="AH622" s="41">
        <f t="shared" si="185"/>
        <v>590.98140000000001</v>
      </c>
      <c r="AI622" s="60">
        <f t="shared" si="186"/>
        <v>131.32920000000001</v>
      </c>
      <c r="AJ622" s="60">
        <f t="shared" si="187"/>
        <v>738.72675000000004</v>
      </c>
      <c r="AK622" s="60">
        <f t="shared" si="188"/>
        <v>2374.7197808219175</v>
      </c>
      <c r="AL622" s="60">
        <f t="shared" si="189"/>
        <v>1745.4190389041094</v>
      </c>
      <c r="AM622" s="41">
        <f t="shared" si="190"/>
        <v>667.7550110958905</v>
      </c>
      <c r="AN622" s="42">
        <f t="shared" si="191"/>
        <v>45715</v>
      </c>
      <c r="AO622" s="43">
        <f t="shared" si="192"/>
        <v>3283.23</v>
      </c>
    </row>
    <row r="623" spans="1:41" s="24" customFormat="1" ht="15.75" customHeight="1" x14ac:dyDescent="0.35">
      <c r="A623" s="36" t="s">
        <v>27</v>
      </c>
      <c r="B623" s="36">
        <v>202506</v>
      </c>
      <c r="C623" s="24" t="s">
        <v>128</v>
      </c>
      <c r="D623" s="24" t="s">
        <v>129</v>
      </c>
      <c r="E623" s="62">
        <v>45818</v>
      </c>
      <c r="F623" s="62">
        <v>46182</v>
      </c>
      <c r="G623" s="37" t="s">
        <v>749</v>
      </c>
      <c r="H623" s="36">
        <v>2250</v>
      </c>
      <c r="I623" s="63">
        <v>36300</v>
      </c>
      <c r="J623" s="24" t="s">
        <v>1399</v>
      </c>
      <c r="K623" s="63">
        <f t="shared" si="176"/>
        <v>45818</v>
      </c>
      <c r="L623" s="55">
        <f t="shared" si="177"/>
        <v>0.04</v>
      </c>
      <c r="M623" s="76">
        <v>0.22500000000000001</v>
      </c>
      <c r="N623" s="62">
        <v>45818</v>
      </c>
      <c r="O623" s="62">
        <v>46182</v>
      </c>
      <c r="P623" s="63"/>
      <c r="Q623" s="63"/>
      <c r="R623" s="82">
        <v>26</v>
      </c>
      <c r="S623" s="63" t="str">
        <f>VLOOKUP(R623,SA!$B$5:$C$11,2,1)</f>
        <v>0-35</v>
      </c>
      <c r="T623" s="38" t="s">
        <v>96</v>
      </c>
      <c r="U623" s="24" t="s">
        <v>56</v>
      </c>
      <c r="V623" s="24">
        <v>300000</v>
      </c>
      <c r="W623" s="39">
        <f t="shared" si="178"/>
        <v>300000</v>
      </c>
      <c r="X623" s="29">
        <f t="shared" si="179"/>
        <v>1</v>
      </c>
      <c r="Y623" s="40">
        <f t="shared" si="180"/>
        <v>365</v>
      </c>
      <c r="Z623" s="38">
        <f t="shared" si="175"/>
        <v>46081</v>
      </c>
      <c r="AA623" s="41">
        <f t="shared" si="181"/>
        <v>264</v>
      </c>
      <c r="AB623" s="24" t="s">
        <v>125</v>
      </c>
      <c r="AC623" s="41">
        <f t="shared" si="182"/>
        <v>3874.2114000000001</v>
      </c>
      <c r="AD623" s="41">
        <v>1</v>
      </c>
      <c r="AE623" s="72">
        <f>IFERROR(INDEX(SA!$C$4:$E$11,MATCH(Details!S623,SA!$C$4:$C$11,0),MATCH(Details!V623,SA!$C$4:$E$4,0)),0)*Y623/(F623-E623+1)</f>
        <v>3283.23</v>
      </c>
      <c r="AF623" s="41">
        <f t="shared" si="183"/>
        <v>0</v>
      </c>
      <c r="AG623" s="41">
        <f t="shared" si="184"/>
        <v>0</v>
      </c>
      <c r="AH623" s="41">
        <f t="shared" si="185"/>
        <v>590.98140000000001</v>
      </c>
      <c r="AI623" s="60">
        <f t="shared" si="186"/>
        <v>131.32920000000001</v>
      </c>
      <c r="AJ623" s="60">
        <f t="shared" si="187"/>
        <v>738.72675000000004</v>
      </c>
      <c r="AK623" s="60">
        <f t="shared" si="188"/>
        <v>2374.7197808219175</v>
      </c>
      <c r="AL623" s="60">
        <f t="shared" si="189"/>
        <v>1745.4190389041094</v>
      </c>
      <c r="AM623" s="41">
        <f t="shared" si="190"/>
        <v>667.7550110958905</v>
      </c>
      <c r="AN623" s="42">
        <f t="shared" si="191"/>
        <v>45715</v>
      </c>
      <c r="AO623" s="43">
        <f t="shared" si="192"/>
        <v>3283.23</v>
      </c>
    </row>
    <row r="624" spans="1:41" s="24" customFormat="1" ht="15.75" customHeight="1" x14ac:dyDescent="0.35">
      <c r="A624" s="36" t="s">
        <v>27</v>
      </c>
      <c r="B624" s="36">
        <v>202506</v>
      </c>
      <c r="C624" s="24" t="s">
        <v>128</v>
      </c>
      <c r="D624" s="24" t="s">
        <v>129</v>
      </c>
      <c r="E624" s="62">
        <v>45818</v>
      </c>
      <c r="F624" s="62">
        <v>46182</v>
      </c>
      <c r="G624" s="37" t="s">
        <v>750</v>
      </c>
      <c r="H624" s="36">
        <v>2345</v>
      </c>
      <c r="I624" s="63">
        <v>37545</v>
      </c>
      <c r="J624" s="24" t="s">
        <v>1400</v>
      </c>
      <c r="K624" s="63">
        <f t="shared" si="176"/>
        <v>45818</v>
      </c>
      <c r="L624" s="55">
        <f t="shared" si="177"/>
        <v>0.04</v>
      </c>
      <c r="M624" s="76">
        <v>0.22500000000000001</v>
      </c>
      <c r="N624" s="62">
        <v>45818</v>
      </c>
      <c r="O624" s="62">
        <v>46182</v>
      </c>
      <c r="P624" s="63"/>
      <c r="Q624" s="63"/>
      <c r="R624" s="82">
        <v>22</v>
      </c>
      <c r="S624" s="63" t="str">
        <f>VLOOKUP(R624,SA!$B$5:$C$11,2,1)</f>
        <v>0-35</v>
      </c>
      <c r="T624" s="38" t="s">
        <v>96</v>
      </c>
      <c r="U624" s="24" t="s">
        <v>56</v>
      </c>
      <c r="V624" s="24">
        <v>300000</v>
      </c>
      <c r="W624" s="39">
        <f t="shared" si="178"/>
        <v>300000</v>
      </c>
      <c r="X624" s="29">
        <f t="shared" si="179"/>
        <v>1</v>
      </c>
      <c r="Y624" s="40">
        <f t="shared" si="180"/>
        <v>365</v>
      </c>
      <c r="Z624" s="38">
        <f t="shared" si="175"/>
        <v>46081</v>
      </c>
      <c r="AA624" s="41">
        <f t="shared" si="181"/>
        <v>264</v>
      </c>
      <c r="AB624" s="24" t="s">
        <v>125</v>
      </c>
      <c r="AC624" s="41">
        <f t="shared" si="182"/>
        <v>3874.2114000000001</v>
      </c>
      <c r="AD624" s="41">
        <v>1</v>
      </c>
      <c r="AE624" s="72">
        <f>IFERROR(INDEX(SA!$C$4:$E$11,MATCH(Details!S624,SA!$C$4:$C$11,0),MATCH(Details!V624,SA!$C$4:$E$4,0)),0)*Y624/(F624-E624+1)</f>
        <v>3283.23</v>
      </c>
      <c r="AF624" s="41">
        <f t="shared" si="183"/>
        <v>0</v>
      </c>
      <c r="AG624" s="41">
        <f t="shared" si="184"/>
        <v>0</v>
      </c>
      <c r="AH624" s="41">
        <f t="shared" si="185"/>
        <v>590.98140000000001</v>
      </c>
      <c r="AI624" s="60">
        <f t="shared" si="186"/>
        <v>131.32920000000001</v>
      </c>
      <c r="AJ624" s="60">
        <f t="shared" si="187"/>
        <v>738.72675000000004</v>
      </c>
      <c r="AK624" s="60">
        <f t="shared" si="188"/>
        <v>2374.7197808219175</v>
      </c>
      <c r="AL624" s="60">
        <f t="shared" si="189"/>
        <v>1745.4190389041094</v>
      </c>
      <c r="AM624" s="41">
        <f t="shared" si="190"/>
        <v>667.7550110958905</v>
      </c>
      <c r="AN624" s="42">
        <f t="shared" si="191"/>
        <v>45715</v>
      </c>
      <c r="AO624" s="43">
        <f t="shared" si="192"/>
        <v>3283.23</v>
      </c>
    </row>
    <row r="625" spans="1:41" s="24" customFormat="1" ht="15.75" customHeight="1" x14ac:dyDescent="0.35">
      <c r="A625" s="36" t="s">
        <v>27</v>
      </c>
      <c r="B625" s="36">
        <v>202506</v>
      </c>
      <c r="C625" s="24" t="s">
        <v>128</v>
      </c>
      <c r="D625" s="24" t="s">
        <v>129</v>
      </c>
      <c r="E625" s="62">
        <v>45818</v>
      </c>
      <c r="F625" s="62">
        <v>46182</v>
      </c>
      <c r="G625" s="37" t="s">
        <v>513</v>
      </c>
      <c r="H625" s="36">
        <v>2346</v>
      </c>
      <c r="I625" s="63">
        <v>33470</v>
      </c>
      <c r="J625" s="24" t="s">
        <v>1401</v>
      </c>
      <c r="K625" s="63">
        <f t="shared" si="176"/>
        <v>45818</v>
      </c>
      <c r="L625" s="55">
        <f t="shared" si="177"/>
        <v>0.04</v>
      </c>
      <c r="M625" s="76">
        <v>0.22500000000000001</v>
      </c>
      <c r="N625" s="62">
        <v>45818</v>
      </c>
      <c r="O625" s="62">
        <v>46182</v>
      </c>
      <c r="P625" s="63"/>
      <c r="Q625" s="63"/>
      <c r="R625" s="82">
        <v>33</v>
      </c>
      <c r="S625" s="63" t="str">
        <f>VLOOKUP(R625,SA!$B$5:$C$11,2,1)</f>
        <v>0-35</v>
      </c>
      <c r="T625" s="38" t="s">
        <v>96</v>
      </c>
      <c r="U625" s="24" t="s">
        <v>56</v>
      </c>
      <c r="V625" s="24">
        <v>300000</v>
      </c>
      <c r="W625" s="39">
        <f t="shared" si="178"/>
        <v>300000</v>
      </c>
      <c r="X625" s="29">
        <f t="shared" si="179"/>
        <v>1</v>
      </c>
      <c r="Y625" s="40">
        <f t="shared" si="180"/>
        <v>365</v>
      </c>
      <c r="Z625" s="38">
        <f t="shared" si="175"/>
        <v>46081</v>
      </c>
      <c r="AA625" s="41">
        <f t="shared" si="181"/>
        <v>264</v>
      </c>
      <c r="AB625" s="24" t="s">
        <v>125</v>
      </c>
      <c r="AC625" s="41">
        <f t="shared" si="182"/>
        <v>3874.2114000000001</v>
      </c>
      <c r="AD625" s="41">
        <v>1</v>
      </c>
      <c r="AE625" s="72">
        <f>IFERROR(INDEX(SA!$C$4:$E$11,MATCH(Details!S625,SA!$C$4:$C$11,0),MATCH(Details!V625,SA!$C$4:$E$4,0)),0)*Y625/(F625-E625+1)</f>
        <v>3283.23</v>
      </c>
      <c r="AF625" s="41">
        <f t="shared" si="183"/>
        <v>0</v>
      </c>
      <c r="AG625" s="41">
        <f t="shared" si="184"/>
        <v>0</v>
      </c>
      <c r="AH625" s="41">
        <f t="shared" si="185"/>
        <v>590.98140000000001</v>
      </c>
      <c r="AI625" s="60">
        <f t="shared" si="186"/>
        <v>131.32920000000001</v>
      </c>
      <c r="AJ625" s="60">
        <f t="shared" si="187"/>
        <v>738.72675000000004</v>
      </c>
      <c r="AK625" s="60">
        <f t="shared" si="188"/>
        <v>2374.7197808219175</v>
      </c>
      <c r="AL625" s="60">
        <f t="shared" si="189"/>
        <v>1745.4190389041094</v>
      </c>
      <c r="AM625" s="41">
        <f t="shared" si="190"/>
        <v>667.7550110958905</v>
      </c>
      <c r="AN625" s="42">
        <f t="shared" si="191"/>
        <v>45715</v>
      </c>
      <c r="AO625" s="43">
        <f t="shared" si="192"/>
        <v>3283.23</v>
      </c>
    </row>
    <row r="626" spans="1:41" s="24" customFormat="1" ht="15.75" customHeight="1" x14ac:dyDescent="0.35">
      <c r="A626" s="36" t="s">
        <v>27</v>
      </c>
      <c r="B626" s="36">
        <v>202506</v>
      </c>
      <c r="C626" s="24" t="s">
        <v>128</v>
      </c>
      <c r="D626" s="24" t="s">
        <v>129</v>
      </c>
      <c r="E626" s="62">
        <v>45818</v>
      </c>
      <c r="F626" s="62">
        <v>46182</v>
      </c>
      <c r="G626" s="37" t="s">
        <v>751</v>
      </c>
      <c r="H626" s="36">
        <v>2347</v>
      </c>
      <c r="I626" s="63">
        <v>34517</v>
      </c>
      <c r="J626" s="24" t="s">
        <v>1402</v>
      </c>
      <c r="K626" s="63">
        <f t="shared" si="176"/>
        <v>45818</v>
      </c>
      <c r="L626" s="55">
        <f t="shared" si="177"/>
        <v>0.04</v>
      </c>
      <c r="M626" s="76">
        <v>0.22500000000000001</v>
      </c>
      <c r="N626" s="62">
        <v>45818</v>
      </c>
      <c r="O626" s="62">
        <v>46182</v>
      </c>
      <c r="P626" s="63"/>
      <c r="Q626" s="63"/>
      <c r="R626" s="82">
        <v>30</v>
      </c>
      <c r="S626" s="63" t="str">
        <f>VLOOKUP(R626,SA!$B$5:$C$11,2,1)</f>
        <v>0-35</v>
      </c>
      <c r="T626" s="38" t="s">
        <v>96</v>
      </c>
      <c r="U626" s="24" t="s">
        <v>56</v>
      </c>
      <c r="V626" s="24">
        <v>300000</v>
      </c>
      <c r="W626" s="39">
        <f t="shared" si="178"/>
        <v>300000</v>
      </c>
      <c r="X626" s="29">
        <f t="shared" si="179"/>
        <v>1</v>
      </c>
      <c r="Y626" s="40">
        <f t="shared" si="180"/>
        <v>365</v>
      </c>
      <c r="Z626" s="38">
        <f t="shared" si="175"/>
        <v>46081</v>
      </c>
      <c r="AA626" s="41">
        <f t="shared" si="181"/>
        <v>264</v>
      </c>
      <c r="AB626" s="24" t="s">
        <v>125</v>
      </c>
      <c r="AC626" s="41">
        <f t="shared" si="182"/>
        <v>3874.2114000000001</v>
      </c>
      <c r="AD626" s="41">
        <v>1</v>
      </c>
      <c r="AE626" s="72">
        <f>IFERROR(INDEX(SA!$C$4:$E$11,MATCH(Details!S626,SA!$C$4:$C$11,0),MATCH(Details!V626,SA!$C$4:$E$4,0)),0)*Y626/(F626-E626+1)</f>
        <v>3283.23</v>
      </c>
      <c r="AF626" s="41">
        <f t="shared" si="183"/>
        <v>0</v>
      </c>
      <c r="AG626" s="41">
        <f t="shared" si="184"/>
        <v>0</v>
      </c>
      <c r="AH626" s="41">
        <f t="shared" si="185"/>
        <v>590.98140000000001</v>
      </c>
      <c r="AI626" s="60">
        <f t="shared" si="186"/>
        <v>131.32920000000001</v>
      </c>
      <c r="AJ626" s="60">
        <f t="shared" si="187"/>
        <v>738.72675000000004</v>
      </c>
      <c r="AK626" s="60">
        <f t="shared" si="188"/>
        <v>2374.7197808219175</v>
      </c>
      <c r="AL626" s="60">
        <f t="shared" si="189"/>
        <v>1745.4190389041094</v>
      </c>
      <c r="AM626" s="41">
        <f t="shared" si="190"/>
        <v>667.7550110958905</v>
      </c>
      <c r="AN626" s="42">
        <f t="shared" si="191"/>
        <v>45715</v>
      </c>
      <c r="AO626" s="43">
        <f t="shared" si="192"/>
        <v>3283.23</v>
      </c>
    </row>
    <row r="627" spans="1:41" s="24" customFormat="1" ht="15.75" customHeight="1" x14ac:dyDescent="0.35">
      <c r="A627" s="36" t="s">
        <v>27</v>
      </c>
      <c r="B627" s="36">
        <v>202506</v>
      </c>
      <c r="C627" s="24" t="s">
        <v>128</v>
      </c>
      <c r="D627" s="24" t="s">
        <v>129</v>
      </c>
      <c r="E627" s="62">
        <v>45818</v>
      </c>
      <c r="F627" s="62">
        <v>46182</v>
      </c>
      <c r="G627" s="37" t="s">
        <v>752</v>
      </c>
      <c r="H627" s="36">
        <v>2347</v>
      </c>
      <c r="I627" s="63">
        <v>35828</v>
      </c>
      <c r="J627" s="24" t="s">
        <v>1403</v>
      </c>
      <c r="K627" s="63">
        <f t="shared" si="176"/>
        <v>45818</v>
      </c>
      <c r="L627" s="55">
        <f t="shared" si="177"/>
        <v>0.04</v>
      </c>
      <c r="M627" s="76">
        <v>0.22500000000000001</v>
      </c>
      <c r="N627" s="62">
        <v>45818</v>
      </c>
      <c r="O627" s="62">
        <v>46182</v>
      </c>
      <c r="P627" s="63"/>
      <c r="Q627" s="63"/>
      <c r="R627" s="82">
        <v>27</v>
      </c>
      <c r="S627" s="63" t="str">
        <f>VLOOKUP(R627,SA!$B$5:$C$11,2,1)</f>
        <v>0-35</v>
      </c>
      <c r="T627" s="38" t="s">
        <v>97</v>
      </c>
      <c r="U627" s="24" t="s">
        <v>115</v>
      </c>
      <c r="V627" s="24">
        <v>300000</v>
      </c>
      <c r="W627" s="39">
        <f t="shared" si="178"/>
        <v>0</v>
      </c>
      <c r="X627" s="29">
        <f t="shared" si="179"/>
        <v>0</v>
      </c>
      <c r="Y627" s="40">
        <f t="shared" si="180"/>
        <v>365</v>
      </c>
      <c r="Z627" s="38">
        <f t="shared" si="175"/>
        <v>46081</v>
      </c>
      <c r="AA627" s="41">
        <f t="shared" si="181"/>
        <v>264</v>
      </c>
      <c r="AB627" s="24" t="s">
        <v>125</v>
      </c>
      <c r="AC627" s="41">
        <f t="shared" si="182"/>
        <v>3874.2114000000001</v>
      </c>
      <c r="AD627" s="41">
        <v>1</v>
      </c>
      <c r="AE627" s="72">
        <f>IFERROR(INDEX(SA!$C$4:$E$11,MATCH(Details!S627,SA!$C$4:$C$11,0),MATCH(Details!V627,SA!$C$4:$E$4,0)),0)*Y627/(F627-E627+1)</f>
        <v>3283.23</v>
      </c>
      <c r="AF627" s="41">
        <f t="shared" si="183"/>
        <v>0</v>
      </c>
      <c r="AG627" s="41">
        <f t="shared" si="184"/>
        <v>0</v>
      </c>
      <c r="AH627" s="41">
        <f t="shared" si="185"/>
        <v>590.98140000000001</v>
      </c>
      <c r="AI627" s="60">
        <f t="shared" si="186"/>
        <v>131.32920000000001</v>
      </c>
      <c r="AJ627" s="60">
        <f t="shared" si="187"/>
        <v>738.72675000000004</v>
      </c>
      <c r="AK627" s="60">
        <f t="shared" si="188"/>
        <v>2374.7197808219175</v>
      </c>
      <c r="AL627" s="60">
        <f t="shared" si="189"/>
        <v>1745.4190389041094</v>
      </c>
      <c r="AM627" s="41">
        <f t="shared" si="190"/>
        <v>667.7550110958905</v>
      </c>
      <c r="AN627" s="42">
        <f t="shared" si="191"/>
        <v>45715</v>
      </c>
      <c r="AO627" s="43">
        <f t="shared" si="192"/>
        <v>3283.23</v>
      </c>
    </row>
    <row r="628" spans="1:41" s="24" customFormat="1" ht="15.75" customHeight="1" x14ac:dyDescent="0.35">
      <c r="A628" s="36" t="s">
        <v>27</v>
      </c>
      <c r="B628" s="36">
        <v>202506</v>
      </c>
      <c r="C628" s="24" t="s">
        <v>128</v>
      </c>
      <c r="D628" s="24" t="s">
        <v>129</v>
      </c>
      <c r="E628" s="62">
        <v>45818</v>
      </c>
      <c r="F628" s="62">
        <v>46182</v>
      </c>
      <c r="G628" s="37" t="s">
        <v>753</v>
      </c>
      <c r="H628" s="36">
        <v>2347</v>
      </c>
      <c r="I628" s="63">
        <v>45676</v>
      </c>
      <c r="J628" s="24" t="s">
        <v>1404</v>
      </c>
      <c r="K628" s="63">
        <f t="shared" si="176"/>
        <v>45818</v>
      </c>
      <c r="L628" s="55">
        <f t="shared" si="177"/>
        <v>0.04</v>
      </c>
      <c r="M628" s="76">
        <v>0.22500000000000001</v>
      </c>
      <c r="N628" s="62">
        <v>45818</v>
      </c>
      <c r="O628" s="62">
        <v>46182</v>
      </c>
      <c r="P628" s="63"/>
      <c r="Q628" s="63"/>
      <c r="R628" s="82">
        <v>0</v>
      </c>
      <c r="S628" s="63" t="str">
        <f>VLOOKUP(R628,SA!$B$5:$C$11,2,1)</f>
        <v>0-35</v>
      </c>
      <c r="T628" s="38" t="s">
        <v>96</v>
      </c>
      <c r="U628" s="24" t="s">
        <v>114</v>
      </c>
      <c r="V628" s="24">
        <v>300000</v>
      </c>
      <c r="W628" s="39">
        <f t="shared" si="178"/>
        <v>0</v>
      </c>
      <c r="X628" s="29">
        <f t="shared" si="179"/>
        <v>0</v>
      </c>
      <c r="Y628" s="40">
        <f t="shared" si="180"/>
        <v>365</v>
      </c>
      <c r="Z628" s="38">
        <f t="shared" si="175"/>
        <v>46081</v>
      </c>
      <c r="AA628" s="41">
        <f t="shared" si="181"/>
        <v>264</v>
      </c>
      <c r="AB628" s="24" t="s">
        <v>125</v>
      </c>
      <c r="AC628" s="41">
        <f t="shared" si="182"/>
        <v>3874.2114000000001</v>
      </c>
      <c r="AD628" s="41">
        <v>1</v>
      </c>
      <c r="AE628" s="72">
        <f>IFERROR(INDEX(SA!$C$4:$E$11,MATCH(Details!S628,SA!$C$4:$C$11,0),MATCH(Details!V628,SA!$C$4:$E$4,0)),0)*Y628/(F628-E628+1)</f>
        <v>3283.23</v>
      </c>
      <c r="AF628" s="41">
        <f t="shared" si="183"/>
        <v>0</v>
      </c>
      <c r="AG628" s="41">
        <f t="shared" si="184"/>
        <v>0</v>
      </c>
      <c r="AH628" s="41">
        <f t="shared" si="185"/>
        <v>590.98140000000001</v>
      </c>
      <c r="AI628" s="60">
        <f t="shared" si="186"/>
        <v>131.32920000000001</v>
      </c>
      <c r="AJ628" s="60">
        <f t="shared" si="187"/>
        <v>738.72675000000004</v>
      </c>
      <c r="AK628" s="60">
        <f t="shared" si="188"/>
        <v>2374.7197808219175</v>
      </c>
      <c r="AL628" s="60">
        <f t="shared" si="189"/>
        <v>1745.4190389041094</v>
      </c>
      <c r="AM628" s="41">
        <f t="shared" si="190"/>
        <v>667.7550110958905</v>
      </c>
      <c r="AN628" s="42">
        <f t="shared" si="191"/>
        <v>45715</v>
      </c>
      <c r="AO628" s="43">
        <f t="shared" si="192"/>
        <v>3283.23</v>
      </c>
    </row>
    <row r="629" spans="1:41" s="24" customFormat="1" ht="15.75" customHeight="1" x14ac:dyDescent="0.35">
      <c r="A629" s="36" t="s">
        <v>27</v>
      </c>
      <c r="B629" s="36">
        <v>202506</v>
      </c>
      <c r="C629" s="24" t="s">
        <v>128</v>
      </c>
      <c r="D629" s="24" t="s">
        <v>129</v>
      </c>
      <c r="E629" s="62">
        <v>45818</v>
      </c>
      <c r="F629" s="62">
        <v>46182</v>
      </c>
      <c r="G629" s="37" t="s">
        <v>754</v>
      </c>
      <c r="H629" s="36">
        <v>2350</v>
      </c>
      <c r="I629" s="63">
        <v>32641</v>
      </c>
      <c r="J629" s="24" t="s">
        <v>1405</v>
      </c>
      <c r="K629" s="63">
        <f t="shared" si="176"/>
        <v>45818</v>
      </c>
      <c r="L629" s="55">
        <f t="shared" si="177"/>
        <v>0.04</v>
      </c>
      <c r="M629" s="76">
        <v>0.22500000000000001</v>
      </c>
      <c r="N629" s="62">
        <v>45818</v>
      </c>
      <c r="O629" s="62">
        <v>46182</v>
      </c>
      <c r="P629" s="63"/>
      <c r="Q629" s="63"/>
      <c r="R629" s="82">
        <v>36</v>
      </c>
      <c r="S629" s="63" t="str">
        <f>VLOOKUP(R629,SA!$B$5:$C$11,2,1)</f>
        <v>36-45</v>
      </c>
      <c r="T629" s="38" t="s">
        <v>97</v>
      </c>
      <c r="U629" s="24" t="s">
        <v>56</v>
      </c>
      <c r="V629" s="24">
        <v>300000</v>
      </c>
      <c r="W629" s="39">
        <f t="shared" si="178"/>
        <v>300000</v>
      </c>
      <c r="X629" s="29">
        <f t="shared" si="179"/>
        <v>1</v>
      </c>
      <c r="Y629" s="40">
        <f t="shared" si="180"/>
        <v>365</v>
      </c>
      <c r="Z629" s="38">
        <f t="shared" si="175"/>
        <v>46081</v>
      </c>
      <c r="AA629" s="41">
        <f t="shared" si="181"/>
        <v>264</v>
      </c>
      <c r="AB629" s="24" t="s">
        <v>125</v>
      </c>
      <c r="AC629" s="41">
        <f t="shared" si="182"/>
        <v>5017.3245999999999</v>
      </c>
      <c r="AD629" s="41">
        <v>1</v>
      </c>
      <c r="AE629" s="72">
        <f>IFERROR(INDEX(SA!$C$4:$E$11,MATCH(Details!S629,SA!$C$4:$C$11,0),MATCH(Details!V629,SA!$C$4:$E$4,0)),0)*Y629/(F629-E629+1)</f>
        <v>4251.97</v>
      </c>
      <c r="AF629" s="41">
        <f t="shared" si="183"/>
        <v>0</v>
      </c>
      <c r="AG629" s="41">
        <f t="shared" si="184"/>
        <v>0</v>
      </c>
      <c r="AH629" s="41">
        <f t="shared" si="185"/>
        <v>765.3546</v>
      </c>
      <c r="AI629" s="60">
        <f t="shared" si="186"/>
        <v>170.0788</v>
      </c>
      <c r="AJ629" s="60">
        <f t="shared" si="187"/>
        <v>956.69325000000003</v>
      </c>
      <c r="AK629" s="60">
        <f t="shared" si="188"/>
        <v>3075.397479452055</v>
      </c>
      <c r="AL629" s="60">
        <f t="shared" si="189"/>
        <v>2260.4171473972606</v>
      </c>
      <c r="AM629" s="41">
        <f t="shared" si="190"/>
        <v>864.78080260273941</v>
      </c>
      <c r="AN629" s="42">
        <f t="shared" si="191"/>
        <v>45715</v>
      </c>
      <c r="AO629" s="43">
        <f t="shared" si="192"/>
        <v>4251.97</v>
      </c>
    </row>
    <row r="630" spans="1:41" s="24" customFormat="1" ht="15.75" customHeight="1" x14ac:dyDescent="0.35">
      <c r="A630" s="36" t="s">
        <v>27</v>
      </c>
      <c r="B630" s="36">
        <v>202506</v>
      </c>
      <c r="C630" s="24" t="s">
        <v>128</v>
      </c>
      <c r="D630" s="24" t="s">
        <v>129</v>
      </c>
      <c r="E630" s="62">
        <v>45818</v>
      </c>
      <c r="F630" s="62">
        <v>46182</v>
      </c>
      <c r="G630" s="37" t="s">
        <v>755</v>
      </c>
      <c r="H630" s="36">
        <v>2350</v>
      </c>
      <c r="I630" s="63">
        <v>43346</v>
      </c>
      <c r="J630" s="24" t="s">
        <v>1406</v>
      </c>
      <c r="K630" s="63">
        <f t="shared" si="176"/>
        <v>45818</v>
      </c>
      <c r="L630" s="55">
        <f t="shared" si="177"/>
        <v>0.04</v>
      </c>
      <c r="M630" s="76">
        <v>0.22500000000000001</v>
      </c>
      <c r="N630" s="62">
        <v>45818</v>
      </c>
      <c r="O630" s="62">
        <v>46182</v>
      </c>
      <c r="P630" s="63"/>
      <c r="Q630" s="63"/>
      <c r="R630" s="82">
        <v>6</v>
      </c>
      <c r="S630" s="63" t="str">
        <f>VLOOKUP(R630,SA!$B$5:$C$11,2,1)</f>
        <v>0-35</v>
      </c>
      <c r="T630" s="38" t="s">
        <v>97</v>
      </c>
      <c r="U630" s="24" t="s">
        <v>113</v>
      </c>
      <c r="V630" s="24">
        <v>300000</v>
      </c>
      <c r="W630" s="39">
        <f t="shared" si="178"/>
        <v>0</v>
      </c>
      <c r="X630" s="29">
        <f t="shared" si="179"/>
        <v>0</v>
      </c>
      <c r="Y630" s="40">
        <f t="shared" si="180"/>
        <v>365</v>
      </c>
      <c r="Z630" s="38">
        <f t="shared" si="175"/>
        <v>46081</v>
      </c>
      <c r="AA630" s="41">
        <f t="shared" si="181"/>
        <v>264</v>
      </c>
      <c r="AB630" s="24" t="s">
        <v>125</v>
      </c>
      <c r="AC630" s="41">
        <f t="shared" si="182"/>
        <v>3874.2114000000001</v>
      </c>
      <c r="AD630" s="41">
        <v>1</v>
      </c>
      <c r="AE630" s="72">
        <f>IFERROR(INDEX(SA!$C$4:$E$11,MATCH(Details!S630,SA!$C$4:$C$11,0),MATCH(Details!V630,SA!$C$4:$E$4,0)),0)*Y630/(F630-E630+1)</f>
        <v>3283.23</v>
      </c>
      <c r="AF630" s="41">
        <f t="shared" si="183"/>
        <v>0</v>
      </c>
      <c r="AG630" s="41">
        <f t="shared" si="184"/>
        <v>0</v>
      </c>
      <c r="AH630" s="41">
        <f t="shared" si="185"/>
        <v>590.98140000000001</v>
      </c>
      <c r="AI630" s="60">
        <f t="shared" si="186"/>
        <v>131.32920000000001</v>
      </c>
      <c r="AJ630" s="60">
        <f t="shared" si="187"/>
        <v>738.72675000000004</v>
      </c>
      <c r="AK630" s="60">
        <f t="shared" si="188"/>
        <v>2374.7197808219175</v>
      </c>
      <c r="AL630" s="60">
        <f t="shared" si="189"/>
        <v>1745.4190389041094</v>
      </c>
      <c r="AM630" s="41">
        <f t="shared" si="190"/>
        <v>667.7550110958905</v>
      </c>
      <c r="AN630" s="42">
        <f t="shared" si="191"/>
        <v>45715</v>
      </c>
      <c r="AO630" s="43">
        <f t="shared" si="192"/>
        <v>3283.23</v>
      </c>
    </row>
    <row r="631" spans="1:41" s="24" customFormat="1" ht="15.75" customHeight="1" x14ac:dyDescent="0.35">
      <c r="A631" s="36" t="s">
        <v>27</v>
      </c>
      <c r="B631" s="36">
        <v>202506</v>
      </c>
      <c r="C631" s="24" t="s">
        <v>128</v>
      </c>
      <c r="D631" s="24" t="s">
        <v>129</v>
      </c>
      <c r="E631" s="62">
        <v>45818</v>
      </c>
      <c r="F631" s="62">
        <v>46182</v>
      </c>
      <c r="G631" s="37" t="s">
        <v>756</v>
      </c>
      <c r="H631" s="36">
        <v>2349</v>
      </c>
      <c r="I631" s="63">
        <v>33692</v>
      </c>
      <c r="J631" s="24" t="s">
        <v>1407</v>
      </c>
      <c r="K631" s="63">
        <f t="shared" si="176"/>
        <v>45818</v>
      </c>
      <c r="L631" s="55">
        <f t="shared" si="177"/>
        <v>0.04</v>
      </c>
      <c r="M631" s="76">
        <v>0.22500000000000001</v>
      </c>
      <c r="N631" s="62">
        <v>45818</v>
      </c>
      <c r="O631" s="62">
        <v>46182</v>
      </c>
      <c r="P631" s="63"/>
      <c r="Q631" s="63"/>
      <c r="R631" s="82">
        <v>33</v>
      </c>
      <c r="S631" s="63" t="str">
        <f>VLOOKUP(R631,SA!$B$5:$C$11,2,1)</f>
        <v>0-35</v>
      </c>
      <c r="T631" s="38" t="s">
        <v>96</v>
      </c>
      <c r="U631" s="24" t="s">
        <v>56</v>
      </c>
      <c r="V631" s="24">
        <v>300000</v>
      </c>
      <c r="W631" s="39">
        <f t="shared" si="178"/>
        <v>300000</v>
      </c>
      <c r="X631" s="29">
        <f t="shared" si="179"/>
        <v>1</v>
      </c>
      <c r="Y631" s="40">
        <f t="shared" si="180"/>
        <v>365</v>
      </c>
      <c r="Z631" s="38">
        <f t="shared" si="175"/>
        <v>46081</v>
      </c>
      <c r="AA631" s="41">
        <f t="shared" si="181"/>
        <v>264</v>
      </c>
      <c r="AB631" s="24" t="s">
        <v>125</v>
      </c>
      <c r="AC631" s="41">
        <f t="shared" si="182"/>
        <v>3874.2114000000001</v>
      </c>
      <c r="AD631" s="41">
        <v>1</v>
      </c>
      <c r="AE631" s="72">
        <f>IFERROR(INDEX(SA!$C$4:$E$11,MATCH(Details!S631,SA!$C$4:$C$11,0),MATCH(Details!V631,SA!$C$4:$E$4,0)),0)*Y631/(F631-E631+1)</f>
        <v>3283.23</v>
      </c>
      <c r="AF631" s="41">
        <f t="shared" si="183"/>
        <v>0</v>
      </c>
      <c r="AG631" s="41">
        <f t="shared" si="184"/>
        <v>0</v>
      </c>
      <c r="AH631" s="41">
        <f t="shared" si="185"/>
        <v>590.98140000000001</v>
      </c>
      <c r="AI631" s="60">
        <f t="shared" si="186"/>
        <v>131.32920000000001</v>
      </c>
      <c r="AJ631" s="60">
        <f t="shared" si="187"/>
        <v>738.72675000000004</v>
      </c>
      <c r="AK631" s="60">
        <f t="shared" si="188"/>
        <v>2374.7197808219175</v>
      </c>
      <c r="AL631" s="60">
        <f t="shared" si="189"/>
        <v>1745.4190389041094</v>
      </c>
      <c r="AM631" s="41">
        <f t="shared" si="190"/>
        <v>667.7550110958905</v>
      </c>
      <c r="AN631" s="42">
        <f t="shared" si="191"/>
        <v>45715</v>
      </c>
      <c r="AO631" s="43">
        <f t="shared" si="192"/>
        <v>3283.23</v>
      </c>
    </row>
    <row r="632" spans="1:41" s="24" customFormat="1" ht="15.75" customHeight="1" x14ac:dyDescent="0.35">
      <c r="A632" s="36" t="s">
        <v>27</v>
      </c>
      <c r="B632" s="36">
        <v>202506</v>
      </c>
      <c r="C632" s="24" t="s">
        <v>128</v>
      </c>
      <c r="D632" s="24" t="s">
        <v>129</v>
      </c>
      <c r="E632" s="62">
        <v>45818</v>
      </c>
      <c r="F632" s="62">
        <v>46182</v>
      </c>
      <c r="G632" s="37" t="s">
        <v>757</v>
      </c>
      <c r="H632" s="36">
        <v>2349</v>
      </c>
      <c r="I632" s="63">
        <v>34185</v>
      </c>
      <c r="J632" s="24" t="s">
        <v>1408</v>
      </c>
      <c r="K632" s="63">
        <f t="shared" si="176"/>
        <v>45818</v>
      </c>
      <c r="L632" s="55">
        <f t="shared" si="177"/>
        <v>0.04</v>
      </c>
      <c r="M632" s="76">
        <v>0.22500000000000001</v>
      </c>
      <c r="N632" s="62">
        <v>45818</v>
      </c>
      <c r="O632" s="62">
        <v>46182</v>
      </c>
      <c r="P632" s="63"/>
      <c r="Q632" s="63"/>
      <c r="R632" s="82">
        <v>31</v>
      </c>
      <c r="S632" s="63" t="str">
        <f>VLOOKUP(R632,SA!$B$5:$C$11,2,1)</f>
        <v>0-35</v>
      </c>
      <c r="T632" s="38" t="s">
        <v>97</v>
      </c>
      <c r="U632" s="24" t="s">
        <v>115</v>
      </c>
      <c r="V632" s="24">
        <v>300000</v>
      </c>
      <c r="W632" s="39">
        <f t="shared" si="178"/>
        <v>0</v>
      </c>
      <c r="X632" s="29">
        <f t="shared" si="179"/>
        <v>0</v>
      </c>
      <c r="Y632" s="40">
        <f t="shared" si="180"/>
        <v>365</v>
      </c>
      <c r="Z632" s="38">
        <f t="shared" si="175"/>
        <v>46081</v>
      </c>
      <c r="AA632" s="41">
        <f t="shared" si="181"/>
        <v>264</v>
      </c>
      <c r="AB632" s="24" t="s">
        <v>125</v>
      </c>
      <c r="AC632" s="41">
        <f t="shared" si="182"/>
        <v>3874.2114000000001</v>
      </c>
      <c r="AD632" s="41">
        <v>1</v>
      </c>
      <c r="AE632" s="72">
        <f>IFERROR(INDEX(SA!$C$4:$E$11,MATCH(Details!S632,SA!$C$4:$C$11,0),MATCH(Details!V632,SA!$C$4:$E$4,0)),0)*Y632/(F632-E632+1)</f>
        <v>3283.23</v>
      </c>
      <c r="AF632" s="41">
        <f t="shared" si="183"/>
        <v>0</v>
      </c>
      <c r="AG632" s="41">
        <f t="shared" si="184"/>
        <v>0</v>
      </c>
      <c r="AH632" s="41">
        <f t="shared" si="185"/>
        <v>590.98140000000001</v>
      </c>
      <c r="AI632" s="60">
        <f t="shared" si="186"/>
        <v>131.32920000000001</v>
      </c>
      <c r="AJ632" s="60">
        <f t="shared" si="187"/>
        <v>738.72675000000004</v>
      </c>
      <c r="AK632" s="60">
        <f t="shared" si="188"/>
        <v>2374.7197808219175</v>
      </c>
      <c r="AL632" s="60">
        <f t="shared" si="189"/>
        <v>1745.4190389041094</v>
      </c>
      <c r="AM632" s="41">
        <f t="shared" si="190"/>
        <v>667.7550110958905</v>
      </c>
      <c r="AN632" s="42">
        <f t="shared" si="191"/>
        <v>45715</v>
      </c>
      <c r="AO632" s="43">
        <f t="shared" si="192"/>
        <v>3283.23</v>
      </c>
    </row>
    <row r="633" spans="1:41" s="24" customFormat="1" ht="15.75" customHeight="1" x14ac:dyDescent="0.35">
      <c r="A633" s="36" t="s">
        <v>27</v>
      </c>
      <c r="B633" s="36">
        <v>202506</v>
      </c>
      <c r="C633" s="24" t="s">
        <v>128</v>
      </c>
      <c r="D633" s="24" t="s">
        <v>129</v>
      </c>
      <c r="E633" s="62">
        <v>45818</v>
      </c>
      <c r="F633" s="62">
        <v>46182</v>
      </c>
      <c r="G633" s="37" t="s">
        <v>758</v>
      </c>
      <c r="H633" s="36">
        <v>2349</v>
      </c>
      <c r="I633" s="63">
        <v>44508</v>
      </c>
      <c r="J633" s="24" t="s">
        <v>1409</v>
      </c>
      <c r="K633" s="63">
        <f t="shared" si="176"/>
        <v>45818</v>
      </c>
      <c r="L633" s="55">
        <f t="shared" si="177"/>
        <v>0.04</v>
      </c>
      <c r="M633" s="76">
        <v>0.22500000000000001</v>
      </c>
      <c r="N633" s="62">
        <v>45818</v>
      </c>
      <c r="O633" s="62">
        <v>46182</v>
      </c>
      <c r="P633" s="63"/>
      <c r="Q633" s="63"/>
      <c r="R633" s="82">
        <v>3</v>
      </c>
      <c r="S633" s="63" t="str">
        <f>VLOOKUP(R633,SA!$B$5:$C$11,2,1)</f>
        <v>0-35</v>
      </c>
      <c r="T633" s="38" t="s">
        <v>97</v>
      </c>
      <c r="U633" s="24" t="s">
        <v>113</v>
      </c>
      <c r="V633" s="24">
        <v>300000</v>
      </c>
      <c r="W633" s="39">
        <f t="shared" si="178"/>
        <v>0</v>
      </c>
      <c r="X633" s="29">
        <f t="shared" si="179"/>
        <v>0</v>
      </c>
      <c r="Y633" s="40">
        <f t="shared" si="180"/>
        <v>365</v>
      </c>
      <c r="Z633" s="38">
        <f t="shared" si="175"/>
        <v>46081</v>
      </c>
      <c r="AA633" s="41">
        <f t="shared" si="181"/>
        <v>264</v>
      </c>
      <c r="AB633" s="24" t="s">
        <v>125</v>
      </c>
      <c r="AC633" s="41">
        <f t="shared" si="182"/>
        <v>3874.2114000000001</v>
      </c>
      <c r="AD633" s="41">
        <v>1</v>
      </c>
      <c r="AE633" s="72">
        <f>IFERROR(INDEX(SA!$C$4:$E$11,MATCH(Details!S633,SA!$C$4:$C$11,0),MATCH(Details!V633,SA!$C$4:$E$4,0)),0)*Y633/(F633-E633+1)</f>
        <v>3283.23</v>
      </c>
      <c r="AF633" s="41">
        <f t="shared" si="183"/>
        <v>0</v>
      </c>
      <c r="AG633" s="41">
        <f t="shared" si="184"/>
        <v>0</v>
      </c>
      <c r="AH633" s="41">
        <f t="shared" si="185"/>
        <v>590.98140000000001</v>
      </c>
      <c r="AI633" s="60">
        <f t="shared" si="186"/>
        <v>131.32920000000001</v>
      </c>
      <c r="AJ633" s="60">
        <f t="shared" si="187"/>
        <v>738.72675000000004</v>
      </c>
      <c r="AK633" s="60">
        <f t="shared" si="188"/>
        <v>2374.7197808219175</v>
      </c>
      <c r="AL633" s="60">
        <f t="shared" si="189"/>
        <v>1745.4190389041094</v>
      </c>
      <c r="AM633" s="41">
        <f t="shared" si="190"/>
        <v>667.7550110958905</v>
      </c>
      <c r="AN633" s="42">
        <f t="shared" si="191"/>
        <v>45715</v>
      </c>
      <c r="AO633" s="43">
        <f t="shared" si="192"/>
        <v>3283.23</v>
      </c>
    </row>
    <row r="634" spans="1:41" s="24" customFormat="1" ht="15.75" customHeight="1" x14ac:dyDescent="0.35">
      <c r="A634" s="36" t="s">
        <v>27</v>
      </c>
      <c r="B634" s="36">
        <v>202506</v>
      </c>
      <c r="C634" s="24" t="s">
        <v>128</v>
      </c>
      <c r="D634" s="24" t="s">
        <v>129</v>
      </c>
      <c r="E634" s="62">
        <v>45818</v>
      </c>
      <c r="F634" s="62">
        <v>46182</v>
      </c>
      <c r="G634" s="37" t="s">
        <v>759</v>
      </c>
      <c r="H634" s="36">
        <v>2276</v>
      </c>
      <c r="I634" s="63">
        <v>36719</v>
      </c>
      <c r="J634" s="24" t="s">
        <v>1410</v>
      </c>
      <c r="K634" s="63">
        <f t="shared" si="176"/>
        <v>45818</v>
      </c>
      <c r="L634" s="55">
        <f t="shared" si="177"/>
        <v>0.04</v>
      </c>
      <c r="M634" s="76">
        <v>0.22500000000000001</v>
      </c>
      <c r="N634" s="62">
        <v>45818</v>
      </c>
      <c r="O634" s="62">
        <v>46182</v>
      </c>
      <c r="P634" s="63"/>
      <c r="Q634" s="63"/>
      <c r="R634" s="82">
        <v>24</v>
      </c>
      <c r="S634" s="63" t="str">
        <f>VLOOKUP(R634,SA!$B$5:$C$11,2,1)</f>
        <v>0-35</v>
      </c>
      <c r="T634" s="38" t="s">
        <v>96</v>
      </c>
      <c r="U634" s="24" t="s">
        <v>56</v>
      </c>
      <c r="V634" s="24">
        <v>300000</v>
      </c>
      <c r="W634" s="39">
        <f t="shared" si="178"/>
        <v>300000</v>
      </c>
      <c r="X634" s="29">
        <f t="shared" si="179"/>
        <v>1</v>
      </c>
      <c r="Y634" s="40">
        <f t="shared" si="180"/>
        <v>365</v>
      </c>
      <c r="Z634" s="38">
        <f t="shared" si="175"/>
        <v>46081</v>
      </c>
      <c r="AA634" s="41">
        <f t="shared" si="181"/>
        <v>264</v>
      </c>
      <c r="AB634" s="24" t="s">
        <v>125</v>
      </c>
      <c r="AC634" s="41">
        <f t="shared" si="182"/>
        <v>3874.2114000000001</v>
      </c>
      <c r="AD634" s="41">
        <v>1</v>
      </c>
      <c r="AE634" s="72">
        <f>IFERROR(INDEX(SA!$C$4:$E$11,MATCH(Details!S634,SA!$C$4:$C$11,0),MATCH(Details!V634,SA!$C$4:$E$4,0)),0)*Y634/(F634-E634+1)</f>
        <v>3283.23</v>
      </c>
      <c r="AF634" s="41">
        <f t="shared" si="183"/>
        <v>0</v>
      </c>
      <c r="AG634" s="41">
        <f t="shared" si="184"/>
        <v>0</v>
      </c>
      <c r="AH634" s="41">
        <f t="shared" si="185"/>
        <v>590.98140000000001</v>
      </c>
      <c r="AI634" s="60">
        <f t="shared" si="186"/>
        <v>131.32920000000001</v>
      </c>
      <c r="AJ634" s="60">
        <f t="shared" si="187"/>
        <v>738.72675000000004</v>
      </c>
      <c r="AK634" s="60">
        <f t="shared" si="188"/>
        <v>2374.7197808219175</v>
      </c>
      <c r="AL634" s="60">
        <f t="shared" si="189"/>
        <v>1745.4190389041094</v>
      </c>
      <c r="AM634" s="41">
        <f t="shared" si="190"/>
        <v>667.7550110958905</v>
      </c>
      <c r="AN634" s="42">
        <f t="shared" si="191"/>
        <v>45715</v>
      </c>
      <c r="AO634" s="43">
        <f t="shared" si="192"/>
        <v>3283.23</v>
      </c>
    </row>
    <row r="635" spans="1:41" s="24" customFormat="1" ht="15.75" customHeight="1" x14ac:dyDescent="0.35">
      <c r="A635" s="36" t="s">
        <v>27</v>
      </c>
      <c r="B635" s="36">
        <v>202506</v>
      </c>
      <c r="C635" s="24" t="s">
        <v>128</v>
      </c>
      <c r="D635" s="24" t="s">
        <v>129</v>
      </c>
      <c r="E635" s="62">
        <v>45818</v>
      </c>
      <c r="F635" s="62">
        <v>46182</v>
      </c>
      <c r="G635" s="37" t="s">
        <v>760</v>
      </c>
      <c r="H635" s="36">
        <v>2314</v>
      </c>
      <c r="I635" s="63">
        <v>37835</v>
      </c>
      <c r="J635" s="24" t="s">
        <v>1411</v>
      </c>
      <c r="K635" s="63">
        <f t="shared" si="176"/>
        <v>45818</v>
      </c>
      <c r="L635" s="55">
        <f t="shared" si="177"/>
        <v>0.04</v>
      </c>
      <c r="M635" s="76">
        <v>0.22500000000000001</v>
      </c>
      <c r="N635" s="62">
        <v>45818</v>
      </c>
      <c r="O635" s="62">
        <v>46182</v>
      </c>
      <c r="P635" s="63"/>
      <c r="Q635" s="63"/>
      <c r="R635" s="82">
        <v>21</v>
      </c>
      <c r="S635" s="63" t="str">
        <f>VLOOKUP(R635,SA!$B$5:$C$11,2,1)</f>
        <v>0-35</v>
      </c>
      <c r="T635" s="38" t="s">
        <v>96</v>
      </c>
      <c r="U635" s="24" t="s">
        <v>56</v>
      </c>
      <c r="V635" s="24">
        <v>300000</v>
      </c>
      <c r="W635" s="39">
        <f t="shared" si="178"/>
        <v>300000</v>
      </c>
      <c r="X635" s="29">
        <f t="shared" si="179"/>
        <v>1</v>
      </c>
      <c r="Y635" s="40">
        <f t="shared" si="180"/>
        <v>365</v>
      </c>
      <c r="Z635" s="38">
        <f t="shared" si="175"/>
        <v>46081</v>
      </c>
      <c r="AA635" s="41">
        <f t="shared" si="181"/>
        <v>264</v>
      </c>
      <c r="AB635" s="24" t="s">
        <v>125</v>
      </c>
      <c r="AC635" s="41">
        <f t="shared" si="182"/>
        <v>3874.2114000000001</v>
      </c>
      <c r="AD635" s="41">
        <v>1</v>
      </c>
      <c r="AE635" s="72">
        <f>IFERROR(INDEX(SA!$C$4:$E$11,MATCH(Details!S635,SA!$C$4:$C$11,0),MATCH(Details!V635,SA!$C$4:$E$4,0)),0)*Y635/(F635-E635+1)</f>
        <v>3283.23</v>
      </c>
      <c r="AF635" s="41">
        <f t="shared" si="183"/>
        <v>0</v>
      </c>
      <c r="AG635" s="41">
        <f t="shared" si="184"/>
        <v>0</v>
      </c>
      <c r="AH635" s="41">
        <f t="shared" si="185"/>
        <v>590.98140000000001</v>
      </c>
      <c r="AI635" s="60">
        <f t="shared" si="186"/>
        <v>131.32920000000001</v>
      </c>
      <c r="AJ635" s="60">
        <f t="shared" si="187"/>
        <v>738.72675000000004</v>
      </c>
      <c r="AK635" s="60">
        <f t="shared" si="188"/>
        <v>2374.7197808219175</v>
      </c>
      <c r="AL635" s="60">
        <f t="shared" si="189"/>
        <v>1745.4190389041094</v>
      </c>
      <c r="AM635" s="41">
        <f t="shared" si="190"/>
        <v>667.7550110958905</v>
      </c>
      <c r="AN635" s="42">
        <f t="shared" si="191"/>
        <v>45715</v>
      </c>
      <c r="AO635" s="43">
        <f t="shared" si="192"/>
        <v>3283.23</v>
      </c>
    </row>
    <row r="636" spans="1:41" s="24" customFormat="1" ht="15.75" customHeight="1" x14ac:dyDescent="0.35">
      <c r="A636" s="36" t="s">
        <v>27</v>
      </c>
      <c r="B636" s="36">
        <v>202506</v>
      </c>
      <c r="C636" s="24" t="s">
        <v>128</v>
      </c>
      <c r="D636" s="24" t="s">
        <v>129</v>
      </c>
      <c r="E636" s="62">
        <v>45818</v>
      </c>
      <c r="F636" s="62">
        <v>46182</v>
      </c>
      <c r="G636" s="37" t="s">
        <v>761</v>
      </c>
      <c r="H636" s="36">
        <v>2315</v>
      </c>
      <c r="I636" s="63">
        <v>37962</v>
      </c>
      <c r="J636" s="24" t="s">
        <v>1412</v>
      </c>
      <c r="K636" s="63">
        <f t="shared" si="176"/>
        <v>45818</v>
      </c>
      <c r="L636" s="55">
        <f t="shared" si="177"/>
        <v>0.04</v>
      </c>
      <c r="M636" s="76">
        <v>0.22500000000000001</v>
      </c>
      <c r="N636" s="62">
        <v>45818</v>
      </c>
      <c r="O636" s="62">
        <v>46182</v>
      </c>
      <c r="P636" s="63"/>
      <c r="Q636" s="63"/>
      <c r="R636" s="82">
        <v>21</v>
      </c>
      <c r="S636" s="63" t="str">
        <f>VLOOKUP(R636,SA!$B$5:$C$11,2,1)</f>
        <v>0-35</v>
      </c>
      <c r="T636" s="38" t="s">
        <v>97</v>
      </c>
      <c r="U636" s="24" t="s">
        <v>56</v>
      </c>
      <c r="V636" s="24">
        <v>300000</v>
      </c>
      <c r="W636" s="39">
        <f t="shared" si="178"/>
        <v>300000</v>
      </c>
      <c r="X636" s="29">
        <f t="shared" si="179"/>
        <v>1</v>
      </c>
      <c r="Y636" s="40">
        <f t="shared" si="180"/>
        <v>365</v>
      </c>
      <c r="Z636" s="38">
        <f t="shared" si="175"/>
        <v>46081</v>
      </c>
      <c r="AA636" s="41">
        <f t="shared" si="181"/>
        <v>264</v>
      </c>
      <c r="AB636" s="24" t="s">
        <v>125</v>
      </c>
      <c r="AC636" s="41">
        <f t="shared" si="182"/>
        <v>3874.2114000000001</v>
      </c>
      <c r="AD636" s="41">
        <v>1</v>
      </c>
      <c r="AE636" s="72">
        <f>IFERROR(INDEX(SA!$C$4:$E$11,MATCH(Details!S636,SA!$C$4:$C$11,0),MATCH(Details!V636,SA!$C$4:$E$4,0)),0)*Y636/(F636-E636+1)</f>
        <v>3283.23</v>
      </c>
      <c r="AF636" s="41">
        <f t="shared" si="183"/>
        <v>0</v>
      </c>
      <c r="AG636" s="41">
        <f t="shared" si="184"/>
        <v>0</v>
      </c>
      <c r="AH636" s="41">
        <f t="shared" si="185"/>
        <v>590.98140000000001</v>
      </c>
      <c r="AI636" s="60">
        <f t="shared" si="186"/>
        <v>131.32920000000001</v>
      </c>
      <c r="AJ636" s="60">
        <f t="shared" si="187"/>
        <v>738.72675000000004</v>
      </c>
      <c r="AK636" s="60">
        <f t="shared" si="188"/>
        <v>2374.7197808219175</v>
      </c>
      <c r="AL636" s="60">
        <f t="shared" si="189"/>
        <v>1745.4190389041094</v>
      </c>
      <c r="AM636" s="41">
        <f t="shared" si="190"/>
        <v>667.7550110958905</v>
      </c>
      <c r="AN636" s="42">
        <f t="shared" si="191"/>
        <v>45715</v>
      </c>
      <c r="AO636" s="43">
        <f t="shared" si="192"/>
        <v>3283.23</v>
      </c>
    </row>
    <row r="637" spans="1:41" s="24" customFormat="1" ht="15.75" customHeight="1" x14ac:dyDescent="0.35">
      <c r="A637" s="36" t="s">
        <v>27</v>
      </c>
      <c r="B637" s="36">
        <v>202506</v>
      </c>
      <c r="C637" s="24" t="s">
        <v>128</v>
      </c>
      <c r="D637" s="24" t="s">
        <v>129</v>
      </c>
      <c r="E637" s="62">
        <v>45818</v>
      </c>
      <c r="F637" s="62">
        <v>46182</v>
      </c>
      <c r="G637" s="37" t="s">
        <v>762</v>
      </c>
      <c r="H637" s="36">
        <v>2325</v>
      </c>
      <c r="I637" s="63">
        <v>37450</v>
      </c>
      <c r="J637" s="24" t="s">
        <v>1413</v>
      </c>
      <c r="K637" s="63">
        <f t="shared" si="176"/>
        <v>45818</v>
      </c>
      <c r="L637" s="55">
        <f t="shared" si="177"/>
        <v>0.04</v>
      </c>
      <c r="M637" s="76">
        <v>0.22500000000000001</v>
      </c>
      <c r="N637" s="62">
        <v>45818</v>
      </c>
      <c r="O637" s="62">
        <v>46182</v>
      </c>
      <c r="P637" s="63"/>
      <c r="Q637" s="63"/>
      <c r="R637" s="82">
        <v>22</v>
      </c>
      <c r="S637" s="63" t="str">
        <f>VLOOKUP(R637,SA!$B$5:$C$11,2,1)</f>
        <v>0-35</v>
      </c>
      <c r="T637" s="38" t="s">
        <v>96</v>
      </c>
      <c r="U637" s="24" t="s">
        <v>56</v>
      </c>
      <c r="V637" s="24">
        <v>300000</v>
      </c>
      <c r="W637" s="39">
        <f t="shared" si="178"/>
        <v>300000</v>
      </c>
      <c r="X637" s="29">
        <f t="shared" si="179"/>
        <v>1</v>
      </c>
      <c r="Y637" s="40">
        <f t="shared" si="180"/>
        <v>365</v>
      </c>
      <c r="Z637" s="38">
        <f t="shared" si="175"/>
        <v>46081</v>
      </c>
      <c r="AA637" s="41">
        <f t="shared" si="181"/>
        <v>264</v>
      </c>
      <c r="AB637" s="24" t="s">
        <v>125</v>
      </c>
      <c r="AC637" s="41">
        <f t="shared" si="182"/>
        <v>3874.2114000000001</v>
      </c>
      <c r="AD637" s="41">
        <v>1</v>
      </c>
      <c r="AE637" s="72">
        <f>IFERROR(INDEX(SA!$C$4:$E$11,MATCH(Details!S637,SA!$C$4:$C$11,0),MATCH(Details!V637,SA!$C$4:$E$4,0)),0)*Y637/(F637-E637+1)</f>
        <v>3283.23</v>
      </c>
      <c r="AF637" s="41">
        <f t="shared" si="183"/>
        <v>0</v>
      </c>
      <c r="AG637" s="41">
        <f t="shared" si="184"/>
        <v>0</v>
      </c>
      <c r="AH637" s="41">
        <f t="shared" si="185"/>
        <v>590.98140000000001</v>
      </c>
      <c r="AI637" s="60">
        <f t="shared" si="186"/>
        <v>131.32920000000001</v>
      </c>
      <c r="AJ637" s="60">
        <f t="shared" si="187"/>
        <v>738.72675000000004</v>
      </c>
      <c r="AK637" s="60">
        <f t="shared" si="188"/>
        <v>2374.7197808219175</v>
      </c>
      <c r="AL637" s="60">
        <f t="shared" si="189"/>
        <v>1745.4190389041094</v>
      </c>
      <c r="AM637" s="41">
        <f t="shared" si="190"/>
        <v>667.7550110958905</v>
      </c>
      <c r="AN637" s="42">
        <f t="shared" si="191"/>
        <v>45715</v>
      </c>
      <c r="AO637" s="43">
        <f t="shared" si="192"/>
        <v>3283.23</v>
      </c>
    </row>
    <row r="638" spans="1:41" s="24" customFormat="1" ht="15.75" customHeight="1" x14ac:dyDescent="0.35">
      <c r="A638" s="36" t="s">
        <v>27</v>
      </c>
      <c r="B638" s="36">
        <v>202506</v>
      </c>
      <c r="C638" s="24" t="s">
        <v>128</v>
      </c>
      <c r="D638" s="24" t="s">
        <v>129</v>
      </c>
      <c r="E638" s="62">
        <v>45818</v>
      </c>
      <c r="F638" s="62">
        <v>46182</v>
      </c>
      <c r="G638" s="37" t="s">
        <v>763</v>
      </c>
      <c r="H638" s="36">
        <v>2328</v>
      </c>
      <c r="I638" s="63">
        <v>35034</v>
      </c>
      <c r="J638" s="24" t="s">
        <v>1414</v>
      </c>
      <c r="K638" s="63">
        <f t="shared" si="176"/>
        <v>45818</v>
      </c>
      <c r="L638" s="55">
        <f t="shared" si="177"/>
        <v>0.04</v>
      </c>
      <c r="M638" s="76">
        <v>0.22500000000000001</v>
      </c>
      <c r="N638" s="62">
        <v>45818</v>
      </c>
      <c r="O638" s="62">
        <v>46182</v>
      </c>
      <c r="P638" s="63"/>
      <c r="Q638" s="63"/>
      <c r="R638" s="82">
        <v>29</v>
      </c>
      <c r="S638" s="63" t="str">
        <f>VLOOKUP(R638,SA!$B$5:$C$11,2,1)</f>
        <v>0-35</v>
      </c>
      <c r="T638" s="38" t="s">
        <v>96</v>
      </c>
      <c r="U638" s="24" t="s">
        <v>56</v>
      </c>
      <c r="V638" s="24">
        <v>300000</v>
      </c>
      <c r="W638" s="39">
        <f t="shared" si="178"/>
        <v>300000</v>
      </c>
      <c r="X638" s="29">
        <f t="shared" si="179"/>
        <v>1</v>
      </c>
      <c r="Y638" s="40">
        <f t="shared" si="180"/>
        <v>365</v>
      </c>
      <c r="Z638" s="38">
        <f t="shared" si="175"/>
        <v>46081</v>
      </c>
      <c r="AA638" s="41">
        <f t="shared" si="181"/>
        <v>264</v>
      </c>
      <c r="AB638" s="24" t="s">
        <v>125</v>
      </c>
      <c r="AC638" s="41">
        <f t="shared" si="182"/>
        <v>3874.2114000000001</v>
      </c>
      <c r="AD638" s="41">
        <v>1</v>
      </c>
      <c r="AE638" s="72">
        <f>IFERROR(INDEX(SA!$C$4:$E$11,MATCH(Details!S638,SA!$C$4:$C$11,0),MATCH(Details!V638,SA!$C$4:$E$4,0)),0)*Y638/(F638-E638+1)</f>
        <v>3283.23</v>
      </c>
      <c r="AF638" s="41">
        <f t="shared" si="183"/>
        <v>0</v>
      </c>
      <c r="AG638" s="41">
        <f t="shared" si="184"/>
        <v>0</v>
      </c>
      <c r="AH638" s="41">
        <f t="shared" si="185"/>
        <v>590.98140000000001</v>
      </c>
      <c r="AI638" s="60">
        <f t="shared" si="186"/>
        <v>131.32920000000001</v>
      </c>
      <c r="AJ638" s="60">
        <f t="shared" si="187"/>
        <v>738.72675000000004</v>
      </c>
      <c r="AK638" s="60">
        <f t="shared" si="188"/>
        <v>2374.7197808219175</v>
      </c>
      <c r="AL638" s="60">
        <f t="shared" si="189"/>
        <v>1745.4190389041094</v>
      </c>
      <c r="AM638" s="41">
        <f t="shared" si="190"/>
        <v>667.7550110958905</v>
      </c>
      <c r="AN638" s="42">
        <f t="shared" si="191"/>
        <v>45715</v>
      </c>
      <c r="AO638" s="43">
        <f t="shared" si="192"/>
        <v>3283.23</v>
      </c>
    </row>
    <row r="639" spans="1:41" s="24" customFormat="1" ht="15.75" customHeight="1" x14ac:dyDescent="0.35">
      <c r="A639" s="36" t="s">
        <v>27</v>
      </c>
      <c r="B639" s="36">
        <v>202506</v>
      </c>
      <c r="C639" s="24" t="s">
        <v>128</v>
      </c>
      <c r="D639" s="24" t="s">
        <v>129</v>
      </c>
      <c r="E639" s="62">
        <v>45818</v>
      </c>
      <c r="F639" s="62">
        <v>46182</v>
      </c>
      <c r="G639" s="37" t="s">
        <v>764</v>
      </c>
      <c r="H639" s="36">
        <v>2328</v>
      </c>
      <c r="I639" s="63">
        <v>36444</v>
      </c>
      <c r="J639" s="24" t="s">
        <v>1415</v>
      </c>
      <c r="K639" s="63">
        <f t="shared" si="176"/>
        <v>45818</v>
      </c>
      <c r="L639" s="55">
        <f t="shared" si="177"/>
        <v>0.04</v>
      </c>
      <c r="M639" s="76">
        <v>0.22500000000000001</v>
      </c>
      <c r="N639" s="62">
        <v>45818</v>
      </c>
      <c r="O639" s="62">
        <v>46182</v>
      </c>
      <c r="P639" s="63"/>
      <c r="Q639" s="63"/>
      <c r="R639" s="82">
        <v>25</v>
      </c>
      <c r="S639" s="63" t="str">
        <f>VLOOKUP(R639,SA!$B$5:$C$11,2,1)</f>
        <v>0-35</v>
      </c>
      <c r="T639" s="38" t="s">
        <v>97</v>
      </c>
      <c r="U639" s="24" t="s">
        <v>115</v>
      </c>
      <c r="V639" s="24">
        <v>300000</v>
      </c>
      <c r="W639" s="39">
        <f t="shared" si="178"/>
        <v>0</v>
      </c>
      <c r="X639" s="29">
        <f t="shared" si="179"/>
        <v>0</v>
      </c>
      <c r="Y639" s="40">
        <f t="shared" si="180"/>
        <v>365</v>
      </c>
      <c r="Z639" s="38">
        <f t="shared" si="175"/>
        <v>46081</v>
      </c>
      <c r="AA639" s="41">
        <f t="shared" si="181"/>
        <v>264</v>
      </c>
      <c r="AB639" s="24" t="s">
        <v>125</v>
      </c>
      <c r="AC639" s="41">
        <f t="shared" si="182"/>
        <v>3874.2114000000001</v>
      </c>
      <c r="AD639" s="41">
        <v>1</v>
      </c>
      <c r="AE639" s="72">
        <f>IFERROR(INDEX(SA!$C$4:$E$11,MATCH(Details!S639,SA!$C$4:$C$11,0),MATCH(Details!V639,SA!$C$4:$E$4,0)),0)*Y639/(F639-E639+1)</f>
        <v>3283.23</v>
      </c>
      <c r="AF639" s="41">
        <f t="shared" si="183"/>
        <v>0</v>
      </c>
      <c r="AG639" s="41">
        <f t="shared" si="184"/>
        <v>0</v>
      </c>
      <c r="AH639" s="41">
        <f t="shared" si="185"/>
        <v>590.98140000000001</v>
      </c>
      <c r="AI639" s="60">
        <f t="shared" si="186"/>
        <v>131.32920000000001</v>
      </c>
      <c r="AJ639" s="60">
        <f t="shared" si="187"/>
        <v>738.72675000000004</v>
      </c>
      <c r="AK639" s="60">
        <f t="shared" si="188"/>
        <v>2374.7197808219175</v>
      </c>
      <c r="AL639" s="60">
        <f t="shared" si="189"/>
        <v>1745.4190389041094</v>
      </c>
      <c r="AM639" s="41">
        <f t="shared" si="190"/>
        <v>667.7550110958905</v>
      </c>
      <c r="AN639" s="42">
        <f t="shared" si="191"/>
        <v>45715</v>
      </c>
      <c r="AO639" s="43">
        <f t="shared" si="192"/>
        <v>3283.23</v>
      </c>
    </row>
    <row r="640" spans="1:41" s="24" customFormat="1" ht="15.75" customHeight="1" x14ac:dyDescent="0.35">
      <c r="A640" s="36" t="s">
        <v>27</v>
      </c>
      <c r="B640" s="36">
        <v>202506</v>
      </c>
      <c r="C640" s="24" t="s">
        <v>128</v>
      </c>
      <c r="D640" s="24" t="s">
        <v>129</v>
      </c>
      <c r="E640" s="62">
        <v>45818</v>
      </c>
      <c r="F640" s="62">
        <v>46182</v>
      </c>
      <c r="G640" s="37" t="s">
        <v>765</v>
      </c>
      <c r="H640" s="36">
        <v>2328</v>
      </c>
      <c r="I640" s="63">
        <v>43335</v>
      </c>
      <c r="J640" s="24" t="s">
        <v>1416</v>
      </c>
      <c r="K640" s="63">
        <f t="shared" si="176"/>
        <v>45818</v>
      </c>
      <c r="L640" s="55">
        <f t="shared" si="177"/>
        <v>0.04</v>
      </c>
      <c r="M640" s="76">
        <v>0.22500000000000001</v>
      </c>
      <c r="N640" s="62">
        <v>45818</v>
      </c>
      <c r="O640" s="62">
        <v>46182</v>
      </c>
      <c r="P640" s="63"/>
      <c r="Q640" s="63"/>
      <c r="R640" s="82">
        <v>6</v>
      </c>
      <c r="S640" s="63" t="str">
        <f>VLOOKUP(R640,SA!$B$5:$C$11,2,1)</f>
        <v>0-35</v>
      </c>
      <c r="T640" s="38" t="s">
        <v>97</v>
      </c>
      <c r="U640" s="24" t="s">
        <v>113</v>
      </c>
      <c r="V640" s="24">
        <v>300000</v>
      </c>
      <c r="W640" s="39">
        <f t="shared" si="178"/>
        <v>0</v>
      </c>
      <c r="X640" s="29">
        <f t="shared" si="179"/>
        <v>0</v>
      </c>
      <c r="Y640" s="40">
        <f t="shared" si="180"/>
        <v>365</v>
      </c>
      <c r="Z640" s="38">
        <f t="shared" si="175"/>
        <v>46081</v>
      </c>
      <c r="AA640" s="41">
        <f t="shared" si="181"/>
        <v>264</v>
      </c>
      <c r="AB640" s="24" t="s">
        <v>125</v>
      </c>
      <c r="AC640" s="41">
        <f t="shared" si="182"/>
        <v>3874.2114000000001</v>
      </c>
      <c r="AD640" s="41">
        <v>1</v>
      </c>
      <c r="AE640" s="72">
        <f>IFERROR(INDEX(SA!$C$4:$E$11,MATCH(Details!S640,SA!$C$4:$C$11,0),MATCH(Details!V640,SA!$C$4:$E$4,0)),0)*Y640/(F640-E640+1)</f>
        <v>3283.23</v>
      </c>
      <c r="AF640" s="41">
        <f t="shared" si="183"/>
        <v>0</v>
      </c>
      <c r="AG640" s="41">
        <f t="shared" si="184"/>
        <v>0</v>
      </c>
      <c r="AH640" s="41">
        <f t="shared" si="185"/>
        <v>590.98140000000001</v>
      </c>
      <c r="AI640" s="60">
        <f t="shared" si="186"/>
        <v>131.32920000000001</v>
      </c>
      <c r="AJ640" s="60">
        <f t="shared" si="187"/>
        <v>738.72675000000004</v>
      </c>
      <c r="AK640" s="60">
        <f t="shared" si="188"/>
        <v>2374.7197808219175</v>
      </c>
      <c r="AL640" s="60">
        <f t="shared" si="189"/>
        <v>1745.4190389041094</v>
      </c>
      <c r="AM640" s="41">
        <f t="shared" si="190"/>
        <v>667.7550110958905</v>
      </c>
      <c r="AN640" s="42">
        <f t="shared" si="191"/>
        <v>45715</v>
      </c>
      <c r="AO640" s="43">
        <f t="shared" si="192"/>
        <v>3283.23</v>
      </c>
    </row>
    <row r="641" spans="1:42" s="24" customFormat="1" ht="15.75" customHeight="1" x14ac:dyDescent="0.35">
      <c r="A641" s="36" t="s">
        <v>27</v>
      </c>
      <c r="B641" s="36">
        <v>202506</v>
      </c>
      <c r="C641" s="24" t="s">
        <v>128</v>
      </c>
      <c r="D641" s="24" t="s">
        <v>129</v>
      </c>
      <c r="E641" s="62">
        <v>45818</v>
      </c>
      <c r="F641" s="62">
        <v>46182</v>
      </c>
      <c r="G641" s="37" t="s">
        <v>766</v>
      </c>
      <c r="H641" s="36">
        <v>2329</v>
      </c>
      <c r="I641" s="63">
        <v>36736</v>
      </c>
      <c r="J641" s="24" t="s">
        <v>1417</v>
      </c>
      <c r="K641" s="63">
        <f t="shared" si="176"/>
        <v>45818</v>
      </c>
      <c r="L641" s="55">
        <f t="shared" si="177"/>
        <v>0.04</v>
      </c>
      <c r="M641" s="76">
        <v>0.22500000000000001</v>
      </c>
      <c r="N641" s="62">
        <v>45818</v>
      </c>
      <c r="O641" s="62">
        <v>46182</v>
      </c>
      <c r="P641" s="63"/>
      <c r="Q641" s="63"/>
      <c r="R641" s="82">
        <v>24</v>
      </c>
      <c r="S641" s="63" t="str">
        <f>VLOOKUP(R641,SA!$B$5:$C$11,2,1)</f>
        <v>0-35</v>
      </c>
      <c r="T641" s="38" t="s">
        <v>96</v>
      </c>
      <c r="U641" s="24" t="s">
        <v>56</v>
      </c>
      <c r="V641" s="24">
        <v>300000</v>
      </c>
      <c r="W641" s="39">
        <f t="shared" si="178"/>
        <v>300000</v>
      </c>
      <c r="X641" s="29">
        <f t="shared" si="179"/>
        <v>1</v>
      </c>
      <c r="Y641" s="40">
        <f t="shared" si="180"/>
        <v>365</v>
      </c>
      <c r="Z641" s="38">
        <f t="shared" si="175"/>
        <v>46081</v>
      </c>
      <c r="AA641" s="41">
        <f t="shared" si="181"/>
        <v>264</v>
      </c>
      <c r="AB641" s="24" t="s">
        <v>125</v>
      </c>
      <c r="AC641" s="41">
        <f t="shared" si="182"/>
        <v>3874.2114000000001</v>
      </c>
      <c r="AD641" s="41">
        <v>1</v>
      </c>
      <c r="AE641" s="72">
        <f>IFERROR(INDEX(SA!$C$4:$E$11,MATCH(Details!S641,SA!$C$4:$C$11,0),MATCH(Details!V641,SA!$C$4:$E$4,0)),0)*Y641/(F641-E641+1)</f>
        <v>3283.23</v>
      </c>
      <c r="AF641" s="41">
        <f t="shared" si="183"/>
        <v>0</v>
      </c>
      <c r="AG641" s="41">
        <f t="shared" si="184"/>
        <v>0</v>
      </c>
      <c r="AH641" s="41">
        <f t="shared" si="185"/>
        <v>590.98140000000001</v>
      </c>
      <c r="AI641" s="60">
        <f t="shared" si="186"/>
        <v>131.32920000000001</v>
      </c>
      <c r="AJ641" s="60">
        <f t="shared" si="187"/>
        <v>738.72675000000004</v>
      </c>
      <c r="AK641" s="60">
        <f t="shared" si="188"/>
        <v>2374.7197808219175</v>
      </c>
      <c r="AL641" s="60">
        <f t="shared" si="189"/>
        <v>1745.4190389041094</v>
      </c>
      <c r="AM641" s="41">
        <f t="shared" si="190"/>
        <v>667.7550110958905</v>
      </c>
      <c r="AN641" s="42">
        <f t="shared" si="191"/>
        <v>45715</v>
      </c>
      <c r="AO641" s="43">
        <f t="shared" si="192"/>
        <v>3283.23</v>
      </c>
    </row>
    <row r="642" spans="1:42" s="24" customFormat="1" ht="15.75" customHeight="1" x14ac:dyDescent="0.35">
      <c r="A642" s="36" t="s">
        <v>27</v>
      </c>
      <c r="B642" s="36">
        <v>202506</v>
      </c>
      <c r="C642" s="24" t="s">
        <v>128</v>
      </c>
      <c r="D642" s="24" t="s">
        <v>129</v>
      </c>
      <c r="E642" s="62">
        <v>45818</v>
      </c>
      <c r="F642" s="62">
        <v>46182</v>
      </c>
      <c r="G642" s="37" t="s">
        <v>767</v>
      </c>
      <c r="H642" s="36">
        <v>2332</v>
      </c>
      <c r="I642" s="63">
        <v>37397</v>
      </c>
      <c r="J642" s="24" t="s">
        <v>1418</v>
      </c>
      <c r="K642" s="63">
        <f t="shared" si="176"/>
        <v>45818</v>
      </c>
      <c r="L642" s="55">
        <f t="shared" si="177"/>
        <v>0.04</v>
      </c>
      <c r="M642" s="76">
        <v>0.22500000000000001</v>
      </c>
      <c r="N642" s="62">
        <v>45818</v>
      </c>
      <c r="O642" s="62">
        <v>46182</v>
      </c>
      <c r="P642" s="63"/>
      <c r="Q642" s="63"/>
      <c r="R642" s="82">
        <v>23</v>
      </c>
      <c r="S642" s="63" t="str">
        <f>VLOOKUP(R642,SA!$B$5:$C$11,2,1)</f>
        <v>0-35</v>
      </c>
      <c r="T642" s="38" t="s">
        <v>97</v>
      </c>
      <c r="U642" s="24" t="s">
        <v>56</v>
      </c>
      <c r="V642" s="24">
        <v>300000</v>
      </c>
      <c r="W642" s="39">
        <f t="shared" si="178"/>
        <v>300000</v>
      </c>
      <c r="X642" s="29">
        <f t="shared" si="179"/>
        <v>1</v>
      </c>
      <c r="Y642" s="40">
        <f t="shared" si="180"/>
        <v>365</v>
      </c>
      <c r="Z642" s="38">
        <f t="shared" si="175"/>
        <v>46081</v>
      </c>
      <c r="AA642" s="41">
        <f t="shared" si="181"/>
        <v>264</v>
      </c>
      <c r="AB642" s="24" t="s">
        <v>125</v>
      </c>
      <c r="AC642" s="41">
        <f t="shared" si="182"/>
        <v>3874.2114000000001</v>
      </c>
      <c r="AD642" s="41">
        <v>1</v>
      </c>
      <c r="AE642" s="72">
        <f>IFERROR(INDEX(SA!$C$4:$E$11,MATCH(Details!S642,SA!$C$4:$C$11,0),MATCH(Details!V642,SA!$C$4:$E$4,0)),0)*Y642/(F642-E642+1)</f>
        <v>3283.23</v>
      </c>
      <c r="AF642" s="41">
        <f t="shared" si="183"/>
        <v>0</v>
      </c>
      <c r="AG642" s="41">
        <f t="shared" si="184"/>
        <v>0</v>
      </c>
      <c r="AH642" s="41">
        <f t="shared" si="185"/>
        <v>590.98140000000001</v>
      </c>
      <c r="AI642" s="60">
        <f t="shared" si="186"/>
        <v>131.32920000000001</v>
      </c>
      <c r="AJ642" s="60">
        <f t="shared" si="187"/>
        <v>738.72675000000004</v>
      </c>
      <c r="AK642" s="60">
        <f t="shared" si="188"/>
        <v>2374.7197808219175</v>
      </c>
      <c r="AL642" s="60">
        <f t="shared" si="189"/>
        <v>1745.4190389041094</v>
      </c>
      <c r="AM642" s="41">
        <f t="shared" si="190"/>
        <v>667.7550110958905</v>
      </c>
      <c r="AN642" s="42">
        <f t="shared" si="191"/>
        <v>45715</v>
      </c>
      <c r="AO642" s="43">
        <f t="shared" si="192"/>
        <v>3283.23</v>
      </c>
    </row>
    <row r="643" spans="1:42" s="24" customFormat="1" ht="15.75" customHeight="1" x14ac:dyDescent="0.35">
      <c r="A643" s="36" t="s">
        <v>27</v>
      </c>
      <c r="B643" s="36">
        <v>202506</v>
      </c>
      <c r="C643" s="24" t="s">
        <v>128</v>
      </c>
      <c r="D643" s="24" t="s">
        <v>129</v>
      </c>
      <c r="E643" s="62">
        <v>45818</v>
      </c>
      <c r="F643" s="62">
        <v>46182</v>
      </c>
      <c r="G643" s="37" t="s">
        <v>768</v>
      </c>
      <c r="H643" s="36">
        <v>2333</v>
      </c>
      <c r="I643" s="63">
        <v>37746</v>
      </c>
      <c r="J643" s="24" t="s">
        <v>1419</v>
      </c>
      <c r="K643" s="63">
        <f t="shared" si="176"/>
        <v>45818</v>
      </c>
      <c r="L643" s="55">
        <f t="shared" si="177"/>
        <v>0.04</v>
      </c>
      <c r="M643" s="76">
        <v>0.22500000000000001</v>
      </c>
      <c r="N643" s="62">
        <v>45818</v>
      </c>
      <c r="O643" s="62">
        <v>46182</v>
      </c>
      <c r="P643" s="63"/>
      <c r="Q643" s="63"/>
      <c r="R643" s="82">
        <v>22</v>
      </c>
      <c r="S643" s="63" t="str">
        <f>VLOOKUP(R643,SA!$B$5:$C$11,2,1)</f>
        <v>0-35</v>
      </c>
      <c r="T643" s="38" t="s">
        <v>97</v>
      </c>
      <c r="U643" s="24" t="s">
        <v>56</v>
      </c>
      <c r="V643" s="24">
        <v>300000</v>
      </c>
      <c r="W643" s="39">
        <f t="shared" si="178"/>
        <v>300000</v>
      </c>
      <c r="X643" s="29">
        <f t="shared" si="179"/>
        <v>1</v>
      </c>
      <c r="Y643" s="40">
        <f t="shared" si="180"/>
        <v>365</v>
      </c>
      <c r="Z643" s="38">
        <f t="shared" ref="Z643:Z681" si="193">$Z$1</f>
        <v>46081</v>
      </c>
      <c r="AA643" s="41">
        <f t="shared" si="181"/>
        <v>264</v>
      </c>
      <c r="AB643" s="24" t="s">
        <v>125</v>
      </c>
      <c r="AC643" s="41">
        <f t="shared" si="182"/>
        <v>3874.2114000000001</v>
      </c>
      <c r="AD643" s="41">
        <v>1</v>
      </c>
      <c r="AE643" s="72">
        <f>IFERROR(INDEX(SA!$C$4:$E$11,MATCH(Details!S643,SA!$C$4:$C$11,0),MATCH(Details!V643,SA!$C$4:$E$4,0)),0)*Y643/(F643-E643+1)</f>
        <v>3283.23</v>
      </c>
      <c r="AF643" s="41">
        <f t="shared" si="183"/>
        <v>0</v>
      </c>
      <c r="AG643" s="41">
        <f t="shared" si="184"/>
        <v>0</v>
      </c>
      <c r="AH643" s="41">
        <f t="shared" si="185"/>
        <v>590.98140000000001</v>
      </c>
      <c r="AI643" s="60">
        <f t="shared" si="186"/>
        <v>131.32920000000001</v>
      </c>
      <c r="AJ643" s="60">
        <f t="shared" si="187"/>
        <v>738.72675000000004</v>
      </c>
      <c r="AK643" s="60">
        <f t="shared" si="188"/>
        <v>2374.7197808219175</v>
      </c>
      <c r="AL643" s="60">
        <f t="shared" si="189"/>
        <v>1745.4190389041094</v>
      </c>
      <c r="AM643" s="41">
        <f t="shared" si="190"/>
        <v>667.7550110958905</v>
      </c>
      <c r="AN643" s="42">
        <f t="shared" si="191"/>
        <v>45715</v>
      </c>
      <c r="AO643" s="43">
        <f t="shared" si="192"/>
        <v>3283.23</v>
      </c>
    </row>
    <row r="644" spans="1:42" s="24" customFormat="1" ht="15.75" customHeight="1" x14ac:dyDescent="0.35">
      <c r="A644" s="36" t="s">
        <v>27</v>
      </c>
      <c r="B644" s="36">
        <v>202506</v>
      </c>
      <c r="C644" s="24" t="s">
        <v>128</v>
      </c>
      <c r="D644" s="24" t="s">
        <v>129</v>
      </c>
      <c r="E644" s="62">
        <v>45818</v>
      </c>
      <c r="F644" s="62">
        <v>46182</v>
      </c>
      <c r="G644" s="37" t="s">
        <v>769</v>
      </c>
      <c r="H644" s="36">
        <v>2334</v>
      </c>
      <c r="I644" s="63">
        <v>37834</v>
      </c>
      <c r="J644" s="24" t="s">
        <v>1420</v>
      </c>
      <c r="K644" s="63">
        <f t="shared" ref="K644:K647" si="194">N644</f>
        <v>45818</v>
      </c>
      <c r="L644" s="55">
        <f t="shared" ref="L644:L647" si="195">IF(K644&gt;=DATE(2022,4,1),4%,5%)</f>
        <v>0.04</v>
      </c>
      <c r="M644" s="76">
        <v>0.22500000000000001</v>
      </c>
      <c r="N644" s="62">
        <v>45818</v>
      </c>
      <c r="O644" s="62">
        <v>46182</v>
      </c>
      <c r="P644" s="63"/>
      <c r="Q644" s="63"/>
      <c r="R644" s="82">
        <v>21</v>
      </c>
      <c r="S644" s="63" t="str">
        <f>VLOOKUP(R644,SA!$B$5:$C$11,2,1)</f>
        <v>0-35</v>
      </c>
      <c r="T644" s="38" t="s">
        <v>97</v>
      </c>
      <c r="U644" s="24" t="s">
        <v>56</v>
      </c>
      <c r="V644" s="24">
        <v>300000</v>
      </c>
      <c r="W644" s="39">
        <f t="shared" ref="W644:W647" si="196">IF(U644="self",V644,0)</f>
        <v>300000</v>
      </c>
      <c r="X644" s="29">
        <f t="shared" ref="X644:X647" si="197">IF(U644="self",1,0)</f>
        <v>1</v>
      </c>
      <c r="Y644" s="40">
        <f t="shared" ref="Y644:Y647" si="198">O644-N644+1</f>
        <v>365</v>
      </c>
      <c r="Z644" s="38">
        <f t="shared" si="193"/>
        <v>46081</v>
      </c>
      <c r="AA644" s="41">
        <f t="shared" ref="AA644:AA647" si="199">IF(MIN((Z644-N644)+1,Y644)&lt;0,0,MIN((Z644-N644)+1,Y644))</f>
        <v>264</v>
      </c>
      <c r="AB644" s="24" t="s">
        <v>125</v>
      </c>
      <c r="AC644" s="41">
        <f t="shared" ref="AC644:AC647" si="200">AE644+AF644+AG644+AH644</f>
        <v>3874.2114000000001</v>
      </c>
      <c r="AD644" s="41">
        <v>1</v>
      </c>
      <c r="AE644" s="72">
        <f>IFERROR(INDEX(SA!$C$4:$E$11,MATCH(Details!S644,SA!$C$4:$C$11,0),MATCH(Details!V644,SA!$C$4:$E$4,0)),0)*Y644/(F644-E644+1)</f>
        <v>3283.23</v>
      </c>
      <c r="AF644" s="41">
        <f t="shared" ref="AF644:AF647" si="201">IF(AB644="Karnataka",AE644*9%,0)</f>
        <v>0</v>
      </c>
      <c r="AG644" s="41">
        <f t="shared" ref="AG644:AG647" si="202">IF(AB644="Karnataka",AE644*9%,0)</f>
        <v>0</v>
      </c>
      <c r="AH644" s="41">
        <f t="shared" ref="AH644:AH647" si="203">IF(AF644+AG644&gt;0,0,AE644*18%)</f>
        <v>590.98140000000001</v>
      </c>
      <c r="AI644" s="60">
        <f t="shared" ref="AI644:AI647" si="204">AE644*L644</f>
        <v>131.32920000000001</v>
      </c>
      <c r="AJ644" s="60">
        <f t="shared" ref="AJ644:AJ647" si="205">$AE644*M644</f>
        <v>738.72675000000004</v>
      </c>
      <c r="AK644" s="60">
        <f t="shared" ref="AK644:AK647" si="206">(AE644)*AA644/Y644</f>
        <v>2374.7197808219175</v>
      </c>
      <c r="AL644" s="60">
        <f t="shared" ref="AL644:AL647" si="207">AK644*(1-L644-M644)</f>
        <v>1745.4190389041094</v>
      </c>
      <c r="AM644" s="41">
        <f t="shared" ref="AM644:AM647" si="208">AE644-AI644-AL644-AJ644</f>
        <v>667.7550110958905</v>
      </c>
      <c r="AN644" s="42">
        <f t="shared" ref="AN644:AN647" si="209">Z644-366</f>
        <v>45715</v>
      </c>
      <c r="AO644" s="43">
        <f t="shared" ref="AO644:AO647" si="210">IF(AND(O644&gt;Z644,N644&gt;AN644),AE644,0)</f>
        <v>3283.23</v>
      </c>
    </row>
    <row r="645" spans="1:42" s="24" customFormat="1" ht="15.75" customHeight="1" x14ac:dyDescent="0.35">
      <c r="A645" s="36" t="s">
        <v>27</v>
      </c>
      <c r="B645" s="36">
        <v>202506</v>
      </c>
      <c r="C645" s="24" t="s">
        <v>128</v>
      </c>
      <c r="D645" s="24" t="s">
        <v>129</v>
      </c>
      <c r="E645" s="62">
        <v>45818</v>
      </c>
      <c r="F645" s="62">
        <v>46182</v>
      </c>
      <c r="G645" s="37" t="s">
        <v>770</v>
      </c>
      <c r="H645" s="36">
        <v>2336</v>
      </c>
      <c r="I645" s="63">
        <v>37698</v>
      </c>
      <c r="J645" s="24" t="s">
        <v>1421</v>
      </c>
      <c r="K645" s="63">
        <f t="shared" si="194"/>
        <v>45818</v>
      </c>
      <c r="L645" s="55">
        <f t="shared" si="195"/>
        <v>0.04</v>
      </c>
      <c r="M645" s="76">
        <v>0.22500000000000001</v>
      </c>
      <c r="N645" s="62">
        <v>45818</v>
      </c>
      <c r="O645" s="62">
        <v>46182</v>
      </c>
      <c r="P645" s="63"/>
      <c r="Q645" s="63"/>
      <c r="R645" s="82">
        <v>22</v>
      </c>
      <c r="S645" s="63" t="str">
        <f>VLOOKUP(R645,SA!$B$5:$C$11,2,1)</f>
        <v>0-35</v>
      </c>
      <c r="T645" s="38" t="s">
        <v>96</v>
      </c>
      <c r="U645" s="24" t="s">
        <v>56</v>
      </c>
      <c r="V645" s="24">
        <v>300000</v>
      </c>
      <c r="W645" s="39">
        <f t="shared" si="196"/>
        <v>300000</v>
      </c>
      <c r="X645" s="29">
        <f t="shared" si="197"/>
        <v>1</v>
      </c>
      <c r="Y645" s="40">
        <f t="shared" si="198"/>
        <v>365</v>
      </c>
      <c r="Z645" s="38">
        <f t="shared" si="193"/>
        <v>46081</v>
      </c>
      <c r="AA645" s="41">
        <f t="shared" si="199"/>
        <v>264</v>
      </c>
      <c r="AB645" s="24" t="s">
        <v>125</v>
      </c>
      <c r="AC645" s="41">
        <f t="shared" si="200"/>
        <v>3874.2114000000001</v>
      </c>
      <c r="AD645" s="41">
        <v>1</v>
      </c>
      <c r="AE645" s="72">
        <f>IFERROR(INDEX(SA!$C$4:$E$11,MATCH(Details!S645,SA!$C$4:$C$11,0),MATCH(Details!V645,SA!$C$4:$E$4,0)),0)*Y645/(F645-E645+1)</f>
        <v>3283.23</v>
      </c>
      <c r="AF645" s="41">
        <f t="shared" si="201"/>
        <v>0</v>
      </c>
      <c r="AG645" s="41">
        <f t="shared" si="202"/>
        <v>0</v>
      </c>
      <c r="AH645" s="41">
        <f t="shared" si="203"/>
        <v>590.98140000000001</v>
      </c>
      <c r="AI645" s="60">
        <f t="shared" si="204"/>
        <v>131.32920000000001</v>
      </c>
      <c r="AJ645" s="60">
        <f t="shared" si="205"/>
        <v>738.72675000000004</v>
      </c>
      <c r="AK645" s="60">
        <f t="shared" si="206"/>
        <v>2374.7197808219175</v>
      </c>
      <c r="AL645" s="60">
        <f t="shared" si="207"/>
        <v>1745.4190389041094</v>
      </c>
      <c r="AM645" s="41">
        <f t="shared" si="208"/>
        <v>667.7550110958905</v>
      </c>
      <c r="AN645" s="42">
        <f t="shared" si="209"/>
        <v>45715</v>
      </c>
      <c r="AO645" s="43">
        <f t="shared" si="210"/>
        <v>3283.23</v>
      </c>
    </row>
    <row r="646" spans="1:42" s="24" customFormat="1" ht="15.75" customHeight="1" x14ac:dyDescent="0.35">
      <c r="A646" s="36" t="s">
        <v>27</v>
      </c>
      <c r="B646" s="36">
        <v>202506</v>
      </c>
      <c r="C646" s="24" t="s">
        <v>128</v>
      </c>
      <c r="D646" s="24" t="s">
        <v>129</v>
      </c>
      <c r="E646" s="62">
        <v>45818</v>
      </c>
      <c r="F646" s="62">
        <v>46182</v>
      </c>
      <c r="G646" s="37" t="s">
        <v>771</v>
      </c>
      <c r="H646" s="36">
        <v>2342</v>
      </c>
      <c r="I646" s="63">
        <v>38150</v>
      </c>
      <c r="J646" s="24" t="s">
        <v>1422</v>
      </c>
      <c r="K646" s="63">
        <f t="shared" si="194"/>
        <v>45818</v>
      </c>
      <c r="L646" s="55">
        <f t="shared" si="195"/>
        <v>0.04</v>
      </c>
      <c r="M646" s="76">
        <v>0.22500000000000001</v>
      </c>
      <c r="N646" s="62">
        <v>45818</v>
      </c>
      <c r="O646" s="62">
        <v>46182</v>
      </c>
      <c r="P646" s="63"/>
      <c r="Q646" s="63"/>
      <c r="R646" s="82">
        <v>20</v>
      </c>
      <c r="S646" s="63" t="str">
        <f>VLOOKUP(R646,SA!$B$5:$C$11,2,1)</f>
        <v>0-35</v>
      </c>
      <c r="T646" s="38" t="s">
        <v>96</v>
      </c>
      <c r="U646" s="24" t="s">
        <v>56</v>
      </c>
      <c r="V646" s="24">
        <v>300000</v>
      </c>
      <c r="W646" s="39">
        <f t="shared" si="196"/>
        <v>300000</v>
      </c>
      <c r="X646" s="29">
        <f t="shared" si="197"/>
        <v>1</v>
      </c>
      <c r="Y646" s="40">
        <f t="shared" si="198"/>
        <v>365</v>
      </c>
      <c r="Z646" s="38">
        <f t="shared" si="193"/>
        <v>46081</v>
      </c>
      <c r="AA646" s="41">
        <f t="shared" si="199"/>
        <v>264</v>
      </c>
      <c r="AB646" s="24" t="s">
        <v>125</v>
      </c>
      <c r="AC646" s="41">
        <f t="shared" si="200"/>
        <v>3874.2114000000001</v>
      </c>
      <c r="AD646" s="41">
        <v>1</v>
      </c>
      <c r="AE646" s="72">
        <f>IFERROR(INDEX(SA!$C$4:$E$11,MATCH(Details!S646,SA!$C$4:$C$11,0),MATCH(Details!V646,SA!$C$4:$E$4,0)),0)*Y646/(F646-E646+1)</f>
        <v>3283.23</v>
      </c>
      <c r="AF646" s="41">
        <f t="shared" si="201"/>
        <v>0</v>
      </c>
      <c r="AG646" s="41">
        <f t="shared" si="202"/>
        <v>0</v>
      </c>
      <c r="AH646" s="41">
        <f t="shared" si="203"/>
        <v>590.98140000000001</v>
      </c>
      <c r="AI646" s="60">
        <f t="shared" si="204"/>
        <v>131.32920000000001</v>
      </c>
      <c r="AJ646" s="60">
        <f t="shared" si="205"/>
        <v>738.72675000000004</v>
      </c>
      <c r="AK646" s="60">
        <f t="shared" si="206"/>
        <v>2374.7197808219175</v>
      </c>
      <c r="AL646" s="60">
        <f t="shared" si="207"/>
        <v>1745.4190389041094</v>
      </c>
      <c r="AM646" s="41">
        <f t="shared" si="208"/>
        <v>667.7550110958905</v>
      </c>
      <c r="AN646" s="42">
        <f t="shared" si="209"/>
        <v>45715</v>
      </c>
      <c r="AO646" s="43">
        <f t="shared" si="210"/>
        <v>3283.23</v>
      </c>
    </row>
    <row r="647" spans="1:42" s="24" customFormat="1" ht="15.75" customHeight="1" x14ac:dyDescent="0.35">
      <c r="A647" s="36" t="s">
        <v>27</v>
      </c>
      <c r="B647" s="36">
        <v>202506</v>
      </c>
      <c r="C647" s="24" t="s">
        <v>128</v>
      </c>
      <c r="D647" s="24" t="s">
        <v>129</v>
      </c>
      <c r="E647" s="62">
        <v>45818</v>
      </c>
      <c r="F647" s="62">
        <v>46182</v>
      </c>
      <c r="G647" s="37" t="s">
        <v>772</v>
      </c>
      <c r="H647" s="36">
        <v>2348</v>
      </c>
      <c r="I647" s="63">
        <v>37745</v>
      </c>
      <c r="J647" s="24" t="s">
        <v>1423</v>
      </c>
      <c r="K647" s="63">
        <f t="shared" si="194"/>
        <v>45818</v>
      </c>
      <c r="L647" s="55">
        <f t="shared" si="195"/>
        <v>0.04</v>
      </c>
      <c r="M647" s="76">
        <v>0.22500000000000001</v>
      </c>
      <c r="N647" s="62">
        <v>45818</v>
      </c>
      <c r="O647" s="62">
        <v>46182</v>
      </c>
      <c r="P647" s="63"/>
      <c r="Q647" s="63"/>
      <c r="R647" s="82">
        <v>22</v>
      </c>
      <c r="S647" s="63" t="str">
        <f>VLOOKUP(R647,SA!$B$5:$C$11,2,1)</f>
        <v>0-35</v>
      </c>
      <c r="T647" s="38" t="s">
        <v>97</v>
      </c>
      <c r="U647" s="24" t="s">
        <v>56</v>
      </c>
      <c r="V647" s="24">
        <v>300000</v>
      </c>
      <c r="W647" s="39">
        <f t="shared" si="196"/>
        <v>300000</v>
      </c>
      <c r="X647" s="29">
        <f t="shared" si="197"/>
        <v>1</v>
      </c>
      <c r="Y647" s="40">
        <f t="shared" si="198"/>
        <v>365</v>
      </c>
      <c r="Z647" s="38">
        <f t="shared" si="193"/>
        <v>46081</v>
      </c>
      <c r="AA647" s="41">
        <f t="shared" si="199"/>
        <v>264</v>
      </c>
      <c r="AB647" s="24" t="s">
        <v>125</v>
      </c>
      <c r="AC647" s="41">
        <f t="shared" si="200"/>
        <v>3874.2114000000001</v>
      </c>
      <c r="AD647" s="41">
        <v>1</v>
      </c>
      <c r="AE647" s="72">
        <f>IFERROR(INDEX(SA!$C$4:$E$11,MATCH(Details!S647,SA!$C$4:$C$11,0),MATCH(Details!V647,SA!$C$4:$E$4,0)),0)*Y647/(F647-E647+1)</f>
        <v>3283.23</v>
      </c>
      <c r="AF647" s="41">
        <f t="shared" si="201"/>
        <v>0</v>
      </c>
      <c r="AG647" s="41">
        <f t="shared" si="202"/>
        <v>0</v>
      </c>
      <c r="AH647" s="41">
        <f t="shared" si="203"/>
        <v>590.98140000000001</v>
      </c>
      <c r="AI647" s="60">
        <f t="shared" si="204"/>
        <v>131.32920000000001</v>
      </c>
      <c r="AJ647" s="60">
        <f t="shared" si="205"/>
        <v>738.72675000000004</v>
      </c>
      <c r="AK647" s="60">
        <f t="shared" si="206"/>
        <v>2374.7197808219175</v>
      </c>
      <c r="AL647" s="60">
        <f t="shared" si="207"/>
        <v>1745.4190389041094</v>
      </c>
      <c r="AM647" s="41">
        <f t="shared" si="208"/>
        <v>667.7550110958905</v>
      </c>
      <c r="AN647" s="42">
        <f t="shared" si="209"/>
        <v>45715</v>
      </c>
      <c r="AO647" s="43">
        <f t="shared" si="210"/>
        <v>3283.23</v>
      </c>
    </row>
    <row r="648" spans="1:42" s="24" customFormat="1" ht="15.75" customHeight="1" x14ac:dyDescent="0.35">
      <c r="A648" s="36" t="s">
        <v>27</v>
      </c>
      <c r="B648" s="36">
        <v>202507</v>
      </c>
      <c r="C648" s="24" t="s">
        <v>128</v>
      </c>
      <c r="D648" s="24" t="s">
        <v>129</v>
      </c>
      <c r="E648" s="62">
        <v>45818</v>
      </c>
      <c r="F648" s="62">
        <v>46182</v>
      </c>
      <c r="G648" s="37" t="s">
        <v>1430</v>
      </c>
      <c r="H648" s="36">
        <v>2357</v>
      </c>
      <c r="I648" s="63">
        <v>28380</v>
      </c>
      <c r="J648" s="24" t="s">
        <v>1444</v>
      </c>
      <c r="K648" s="63">
        <f t="shared" ref="K648" si="211">N648</f>
        <v>45839</v>
      </c>
      <c r="L648" s="55">
        <f t="shared" ref="L648" si="212">IF(K648&gt;=DATE(2022,4,1),4%,5%)</f>
        <v>0.04</v>
      </c>
      <c r="M648" s="76">
        <v>0.22500000000000001</v>
      </c>
      <c r="N648" s="62">
        <v>45839</v>
      </c>
      <c r="O648" s="62">
        <v>46182</v>
      </c>
      <c r="P648" s="63"/>
      <c r="Q648" s="63"/>
      <c r="R648" s="82">
        <v>47</v>
      </c>
      <c r="S648" s="63" t="str">
        <f>VLOOKUP(R648,SA!$B$5:$C$11,2,1)</f>
        <v>46-55</v>
      </c>
      <c r="T648" s="38" t="s">
        <v>96</v>
      </c>
      <c r="U648" s="24" t="s">
        <v>56</v>
      </c>
      <c r="V648" s="24">
        <v>300000</v>
      </c>
      <c r="W648" s="39">
        <f t="shared" ref="W648" si="213">IF(U648="self",V648,0)</f>
        <v>300000</v>
      </c>
      <c r="X648" s="29">
        <f t="shared" ref="X648" si="214">IF(U648="self",1,0)</f>
        <v>1</v>
      </c>
      <c r="Y648" s="40">
        <f t="shared" ref="Y648" si="215">O648-N648+1</f>
        <v>344</v>
      </c>
      <c r="Z648" s="38">
        <f t="shared" si="193"/>
        <v>46081</v>
      </c>
      <c r="AA648" s="41">
        <f t="shared" ref="AA648" si="216">IF(MIN((Z648-N648)+1,Y648)&lt;0,0,MIN((Z648-N648)+1,Y648))</f>
        <v>243</v>
      </c>
      <c r="AB648" s="24" t="s">
        <v>125</v>
      </c>
      <c r="AC648" s="41">
        <f t="shared" ref="AC648" si="217">AE648+AF648+AG648+AH648</f>
        <v>9035.4122038356163</v>
      </c>
      <c r="AD648" s="41">
        <v>1</v>
      </c>
      <c r="AE648" s="72">
        <f>IFERROR(INDEX(SA!$C$4:$E$11,MATCH(Details!S648,SA!$C$4:$C$11,0),MATCH(Details!V648,SA!$C$4:$E$4,0)),0)*Y648/(F648-E648+1)</f>
        <v>7657.1289863013699</v>
      </c>
      <c r="AF648" s="41">
        <f t="shared" ref="AF648" si="218">IF(AB648="Karnataka",AE648*9%,0)</f>
        <v>0</v>
      </c>
      <c r="AG648" s="41">
        <f t="shared" ref="AG648" si="219">IF(AB648="Karnataka",AE648*9%,0)</f>
        <v>0</v>
      </c>
      <c r="AH648" s="41">
        <f t="shared" ref="AH648" si="220">IF(AF648+AG648&gt;0,0,AE648*18%)</f>
        <v>1378.2832175342464</v>
      </c>
      <c r="AI648" s="60">
        <f t="shared" ref="AI648" si="221">AE648*L648</f>
        <v>306.28515945205481</v>
      </c>
      <c r="AJ648" s="60">
        <f t="shared" ref="AJ648" si="222">$AE648*M648</f>
        <v>1722.8540219178083</v>
      </c>
      <c r="AK648" s="60">
        <f t="shared" ref="AK648" si="223">(AE648)*AA648/Y648</f>
        <v>5408.9603013698634</v>
      </c>
      <c r="AL648" s="60">
        <f t="shared" ref="AL648" si="224">AK648*(1-L648-M648)</f>
        <v>3975.5858215068497</v>
      </c>
      <c r="AM648" s="41">
        <f t="shared" ref="AM648" si="225">AE648-AI648-AL648-AJ648</f>
        <v>1652.4039834246576</v>
      </c>
      <c r="AN648" s="42">
        <f t="shared" ref="AN648" si="226">Z648-366</f>
        <v>45715</v>
      </c>
      <c r="AO648" s="43">
        <f t="shared" ref="AO648" si="227">IF(AND(O648&gt;Z648,N648&gt;AN648),AE648,0)</f>
        <v>7657.1289863013699</v>
      </c>
    </row>
    <row r="649" spans="1:42" ht="15" customHeight="1" x14ac:dyDescent="0.35">
      <c r="A649" s="36" t="s">
        <v>27</v>
      </c>
      <c r="B649" s="36">
        <v>202507</v>
      </c>
      <c r="C649" s="24" t="s">
        <v>128</v>
      </c>
      <c r="D649" s="24" t="s">
        <v>129</v>
      </c>
      <c r="E649" s="62">
        <v>45818</v>
      </c>
      <c r="F649" s="62">
        <v>46182</v>
      </c>
      <c r="G649" s="37" t="s">
        <v>1431</v>
      </c>
      <c r="H649" s="36">
        <v>2357</v>
      </c>
      <c r="I649" s="63">
        <v>31304</v>
      </c>
      <c r="J649" s="24" t="s">
        <v>1445</v>
      </c>
      <c r="K649" s="63">
        <f t="shared" ref="K649:K661" si="228">N649</f>
        <v>45839</v>
      </c>
      <c r="L649" s="55">
        <f t="shared" ref="L649:L661" si="229">IF(K649&gt;=DATE(2022,4,1),4%,5%)</f>
        <v>0.04</v>
      </c>
      <c r="M649" s="76">
        <v>0.22500000000000001</v>
      </c>
      <c r="N649" s="62">
        <v>45839</v>
      </c>
      <c r="O649" s="62">
        <v>46182</v>
      </c>
      <c r="P649" s="63"/>
      <c r="Q649" s="63"/>
      <c r="R649" s="82">
        <v>39</v>
      </c>
      <c r="S649" s="63" t="str">
        <f>VLOOKUP(R649,SA!$B$5:$C$11,2,1)</f>
        <v>36-45</v>
      </c>
      <c r="T649" s="38" t="s">
        <v>97</v>
      </c>
      <c r="U649" s="24" t="s">
        <v>115</v>
      </c>
      <c r="V649" s="24">
        <v>300000</v>
      </c>
      <c r="W649" s="39">
        <f t="shared" ref="W649:W661" si="230">IF(U649="self",V649,0)</f>
        <v>0</v>
      </c>
      <c r="X649" s="29">
        <f t="shared" ref="X649:X661" si="231">IF(U649="self",1,0)</f>
        <v>0</v>
      </c>
      <c r="Y649" s="40">
        <f t="shared" ref="Y649:Y661" si="232">O649-N649+1</f>
        <v>344</v>
      </c>
      <c r="Z649" s="38">
        <f t="shared" si="193"/>
        <v>46081</v>
      </c>
      <c r="AA649" s="41">
        <f t="shared" ref="AA649:AA661" si="233">IF(MIN((Z649-N649)+1,Y649)&lt;0,0,MIN((Z649-N649)+1,Y649))</f>
        <v>243</v>
      </c>
      <c r="AB649" s="24" t="s">
        <v>125</v>
      </c>
      <c r="AC649" s="41">
        <f t="shared" ref="AC649:AC661" si="234">AE649+AF649+AG649+AH649</f>
        <v>4728.6566093150686</v>
      </c>
      <c r="AD649" s="41">
        <v>1</v>
      </c>
      <c r="AE649" s="72">
        <f>IFERROR(INDEX(SA!$C$4:$E$11,MATCH(Details!S649,SA!$C$4:$C$11,0),MATCH(Details!V649,SA!$C$4:$E$4,0)),0)*Y649/(F649-E649+1)</f>
        <v>4007.3361095890414</v>
      </c>
      <c r="AF649" s="41">
        <f t="shared" ref="AF649:AF661" si="235">IF(AB649="Karnataka",AE649*9%,0)</f>
        <v>0</v>
      </c>
      <c r="AG649" s="41">
        <f t="shared" ref="AG649:AG661" si="236">IF(AB649="Karnataka",AE649*9%,0)</f>
        <v>0</v>
      </c>
      <c r="AH649" s="41">
        <f t="shared" ref="AH649:AH661" si="237">IF(AF649+AG649&gt;0,0,AE649*18%)</f>
        <v>721.32049972602738</v>
      </c>
      <c r="AI649" s="60">
        <f t="shared" ref="AI649:AI661" si="238">AE649*L649</f>
        <v>160.29344438356165</v>
      </c>
      <c r="AJ649" s="60">
        <f t="shared" ref="AJ649:AJ661" si="239">$AE649*M649</f>
        <v>901.65062465753431</v>
      </c>
      <c r="AK649" s="60">
        <f t="shared" ref="AK649:AK661" si="240">(AE649)*AA649/Y649</f>
        <v>2830.7635890410961</v>
      </c>
      <c r="AL649" s="60">
        <f t="shared" ref="AL649:AL661" si="241">AK649*(1-L649-M649)</f>
        <v>2080.6112379452056</v>
      </c>
      <c r="AM649" s="41">
        <f t="shared" ref="AM649:AM661" si="242">AE649-AI649-AL649-AJ649</f>
        <v>864.78080260273987</v>
      </c>
      <c r="AN649" s="42">
        <f t="shared" ref="AN649:AN661" si="243">Z649-366</f>
        <v>45715</v>
      </c>
      <c r="AO649" s="43">
        <f t="shared" ref="AO649:AO661" si="244">IF(AND(O649&gt;Z649,N649&gt;AN649),AE649,0)</f>
        <v>4007.3361095890414</v>
      </c>
      <c r="AP649" s="24"/>
    </row>
    <row r="650" spans="1:42" ht="15" customHeight="1" x14ac:dyDescent="0.35">
      <c r="A650" s="36" t="s">
        <v>27</v>
      </c>
      <c r="B650" s="36">
        <v>202507</v>
      </c>
      <c r="C650" s="24" t="s">
        <v>128</v>
      </c>
      <c r="D650" s="24" t="s">
        <v>129</v>
      </c>
      <c r="E650" s="62">
        <v>45818</v>
      </c>
      <c r="F650" s="62">
        <v>46182</v>
      </c>
      <c r="G650" s="37" t="s">
        <v>1432</v>
      </c>
      <c r="H650" s="36">
        <v>2357</v>
      </c>
      <c r="I650" s="63">
        <v>39579</v>
      </c>
      <c r="J650" s="24" t="s">
        <v>1446</v>
      </c>
      <c r="K650" s="63">
        <f t="shared" si="228"/>
        <v>45839</v>
      </c>
      <c r="L650" s="55">
        <f t="shared" si="229"/>
        <v>0.04</v>
      </c>
      <c r="M650" s="76">
        <v>0.22500000000000001</v>
      </c>
      <c r="N650" s="62">
        <v>45839</v>
      </c>
      <c r="O650" s="62">
        <v>46182</v>
      </c>
      <c r="P650" s="63"/>
      <c r="Q650" s="63"/>
      <c r="R650" s="82">
        <v>17</v>
      </c>
      <c r="S650" s="63" t="str">
        <f>VLOOKUP(R650,SA!$B$5:$C$11,2,1)</f>
        <v>0-35</v>
      </c>
      <c r="T650" s="38" t="s">
        <v>96</v>
      </c>
      <c r="U650" s="24" t="s">
        <v>114</v>
      </c>
      <c r="V650" s="24">
        <v>300000</v>
      </c>
      <c r="W650" s="39">
        <f t="shared" si="230"/>
        <v>0</v>
      </c>
      <c r="X650" s="29">
        <f t="shared" si="231"/>
        <v>0</v>
      </c>
      <c r="Y650" s="40">
        <f t="shared" si="232"/>
        <v>344</v>
      </c>
      <c r="Z650" s="38">
        <f t="shared" si="193"/>
        <v>46081</v>
      </c>
      <c r="AA650" s="41">
        <f t="shared" si="233"/>
        <v>243</v>
      </c>
      <c r="AB650" s="24" t="s">
        <v>125</v>
      </c>
      <c r="AC650" s="41">
        <f t="shared" si="234"/>
        <v>3651.3115660273975</v>
      </c>
      <c r="AD650" s="41">
        <v>1</v>
      </c>
      <c r="AE650" s="72">
        <f>IFERROR(INDEX(SA!$C$4:$E$11,MATCH(Details!S650,SA!$C$4:$C$11,0),MATCH(Details!V650,SA!$C$4:$E$4,0)),0)*Y650/(F650-E650+1)</f>
        <v>3094.3318356164386</v>
      </c>
      <c r="AF650" s="41">
        <f t="shared" si="235"/>
        <v>0</v>
      </c>
      <c r="AG650" s="41">
        <f t="shared" si="236"/>
        <v>0</v>
      </c>
      <c r="AH650" s="41">
        <f t="shared" si="237"/>
        <v>556.97973041095895</v>
      </c>
      <c r="AI650" s="60">
        <f t="shared" si="238"/>
        <v>123.77327342465755</v>
      </c>
      <c r="AJ650" s="60">
        <f t="shared" si="239"/>
        <v>696.22466301369866</v>
      </c>
      <c r="AK650" s="60">
        <f t="shared" si="240"/>
        <v>2185.8216164383562</v>
      </c>
      <c r="AL650" s="60">
        <f t="shared" si="241"/>
        <v>1606.5788880821917</v>
      </c>
      <c r="AM650" s="41">
        <f t="shared" si="242"/>
        <v>667.75501109589084</v>
      </c>
      <c r="AN650" s="42">
        <f t="shared" si="243"/>
        <v>45715</v>
      </c>
      <c r="AO650" s="43">
        <f t="shared" si="244"/>
        <v>3094.3318356164386</v>
      </c>
      <c r="AP650" s="24"/>
    </row>
    <row r="651" spans="1:42" ht="15" customHeight="1" x14ac:dyDescent="0.35">
      <c r="A651" s="36" t="s">
        <v>27</v>
      </c>
      <c r="B651" s="36">
        <v>202507</v>
      </c>
      <c r="C651" s="24" t="s">
        <v>128</v>
      </c>
      <c r="D651" s="24" t="s">
        <v>129</v>
      </c>
      <c r="E651" s="62">
        <v>45818</v>
      </c>
      <c r="F651" s="62">
        <v>46182</v>
      </c>
      <c r="G651" s="37" t="s">
        <v>1433</v>
      </c>
      <c r="H651" s="36">
        <v>2357</v>
      </c>
      <c r="I651" s="63">
        <v>42580</v>
      </c>
      <c r="J651" s="24" t="s">
        <v>1447</v>
      </c>
      <c r="K651" s="63">
        <f t="shared" si="228"/>
        <v>45839</v>
      </c>
      <c r="L651" s="55">
        <f t="shared" si="229"/>
        <v>0.04</v>
      </c>
      <c r="M651" s="76">
        <v>0.22500000000000001</v>
      </c>
      <c r="N651" s="62">
        <v>45839</v>
      </c>
      <c r="O651" s="62">
        <v>46182</v>
      </c>
      <c r="P651" s="63"/>
      <c r="Q651" s="63"/>
      <c r="R651" s="82">
        <v>8</v>
      </c>
      <c r="S651" s="63" t="str">
        <f>VLOOKUP(R651,SA!$B$5:$C$11,2,1)</f>
        <v>0-35</v>
      </c>
      <c r="T651" s="38" t="s">
        <v>97</v>
      </c>
      <c r="U651" s="24" t="s">
        <v>113</v>
      </c>
      <c r="V651" s="24">
        <v>300000</v>
      </c>
      <c r="W651" s="39">
        <f t="shared" si="230"/>
        <v>0</v>
      </c>
      <c r="X651" s="29">
        <f t="shared" si="231"/>
        <v>0</v>
      </c>
      <c r="Y651" s="40">
        <f t="shared" si="232"/>
        <v>344</v>
      </c>
      <c r="Z651" s="38">
        <f t="shared" si="193"/>
        <v>46081</v>
      </c>
      <c r="AA651" s="41">
        <f t="shared" si="233"/>
        <v>243</v>
      </c>
      <c r="AB651" s="24" t="s">
        <v>125</v>
      </c>
      <c r="AC651" s="41">
        <f t="shared" si="234"/>
        <v>3651.3115660273975</v>
      </c>
      <c r="AD651" s="41">
        <v>1</v>
      </c>
      <c r="AE651" s="72">
        <f>IFERROR(INDEX(SA!$C$4:$E$11,MATCH(Details!S651,SA!$C$4:$C$11,0),MATCH(Details!V651,SA!$C$4:$E$4,0)),0)*Y651/(F651-E651+1)</f>
        <v>3094.3318356164386</v>
      </c>
      <c r="AF651" s="41">
        <f t="shared" si="235"/>
        <v>0</v>
      </c>
      <c r="AG651" s="41">
        <f t="shared" si="236"/>
        <v>0</v>
      </c>
      <c r="AH651" s="41">
        <f t="shared" si="237"/>
        <v>556.97973041095895</v>
      </c>
      <c r="AI651" s="60">
        <f t="shared" si="238"/>
        <v>123.77327342465755</v>
      </c>
      <c r="AJ651" s="60">
        <f t="shared" si="239"/>
        <v>696.22466301369866</v>
      </c>
      <c r="AK651" s="60">
        <f t="shared" si="240"/>
        <v>2185.8216164383562</v>
      </c>
      <c r="AL651" s="60">
        <f t="shared" si="241"/>
        <v>1606.5788880821917</v>
      </c>
      <c r="AM651" s="41">
        <f t="shared" si="242"/>
        <v>667.75501109589084</v>
      </c>
      <c r="AN651" s="42">
        <f t="shared" si="243"/>
        <v>45715</v>
      </c>
      <c r="AO651" s="43">
        <f t="shared" si="244"/>
        <v>3094.3318356164386</v>
      </c>
      <c r="AP651" s="24"/>
    </row>
    <row r="652" spans="1:42" ht="15" customHeight="1" x14ac:dyDescent="0.35">
      <c r="A652" s="36" t="s">
        <v>27</v>
      </c>
      <c r="B652" s="36">
        <v>202507</v>
      </c>
      <c r="C652" s="24" t="s">
        <v>128</v>
      </c>
      <c r="D652" s="24" t="s">
        <v>129</v>
      </c>
      <c r="E652" s="62">
        <v>45818</v>
      </c>
      <c r="F652" s="62">
        <v>46182</v>
      </c>
      <c r="G652" s="37" t="s">
        <v>1434</v>
      </c>
      <c r="H652" s="36">
        <v>2356</v>
      </c>
      <c r="I652" s="63">
        <v>32882</v>
      </c>
      <c r="J652" s="24" t="s">
        <v>1448</v>
      </c>
      <c r="K652" s="63">
        <f t="shared" si="228"/>
        <v>45839</v>
      </c>
      <c r="L652" s="55">
        <f t="shared" si="229"/>
        <v>0.04</v>
      </c>
      <c r="M652" s="76">
        <v>0.22500000000000001</v>
      </c>
      <c r="N652" s="62">
        <v>45839</v>
      </c>
      <c r="O652" s="62">
        <v>46182</v>
      </c>
      <c r="P652" s="63"/>
      <c r="Q652" s="63"/>
      <c r="R652" s="82">
        <v>35</v>
      </c>
      <c r="S652" s="63" t="str">
        <f>VLOOKUP(R652,SA!$B$5:$C$11,2,1)</f>
        <v>0-35</v>
      </c>
      <c r="T652" s="38" t="s">
        <v>96</v>
      </c>
      <c r="U652" s="24" t="s">
        <v>56</v>
      </c>
      <c r="V652" s="24">
        <v>300000</v>
      </c>
      <c r="W652" s="39">
        <f t="shared" si="230"/>
        <v>300000</v>
      </c>
      <c r="X652" s="29">
        <f t="shared" si="231"/>
        <v>1</v>
      </c>
      <c r="Y652" s="40">
        <f t="shared" si="232"/>
        <v>344</v>
      </c>
      <c r="Z652" s="38">
        <f t="shared" si="193"/>
        <v>46081</v>
      </c>
      <c r="AA652" s="41">
        <f t="shared" si="233"/>
        <v>243</v>
      </c>
      <c r="AB652" s="24" t="s">
        <v>125</v>
      </c>
      <c r="AC652" s="41">
        <f t="shared" si="234"/>
        <v>3651.3115660273975</v>
      </c>
      <c r="AD652" s="41">
        <v>1</v>
      </c>
      <c r="AE652" s="72">
        <f>IFERROR(INDEX(SA!$C$4:$E$11,MATCH(Details!S652,SA!$C$4:$C$11,0),MATCH(Details!V652,SA!$C$4:$E$4,0)),0)*Y652/(F652-E652+1)</f>
        <v>3094.3318356164386</v>
      </c>
      <c r="AF652" s="41">
        <f t="shared" si="235"/>
        <v>0</v>
      </c>
      <c r="AG652" s="41">
        <f t="shared" si="236"/>
        <v>0</v>
      </c>
      <c r="AH652" s="41">
        <f t="shared" si="237"/>
        <v>556.97973041095895</v>
      </c>
      <c r="AI652" s="60">
        <f t="shared" si="238"/>
        <v>123.77327342465755</v>
      </c>
      <c r="AJ652" s="60">
        <f t="shared" si="239"/>
        <v>696.22466301369866</v>
      </c>
      <c r="AK652" s="60">
        <f t="shared" si="240"/>
        <v>2185.8216164383562</v>
      </c>
      <c r="AL652" s="60">
        <f t="shared" si="241"/>
        <v>1606.5788880821917</v>
      </c>
      <c r="AM652" s="41">
        <f t="shared" si="242"/>
        <v>667.75501109589084</v>
      </c>
      <c r="AN652" s="42">
        <f t="shared" si="243"/>
        <v>45715</v>
      </c>
      <c r="AO652" s="43">
        <f t="shared" si="244"/>
        <v>3094.3318356164386</v>
      </c>
      <c r="AP652" s="24"/>
    </row>
    <row r="653" spans="1:42" ht="15" customHeight="1" x14ac:dyDescent="0.35">
      <c r="A653" s="36" t="s">
        <v>27</v>
      </c>
      <c r="B653" s="36">
        <v>202507</v>
      </c>
      <c r="C653" s="24" t="s">
        <v>128</v>
      </c>
      <c r="D653" s="24" t="s">
        <v>129</v>
      </c>
      <c r="E653" s="62">
        <v>45818</v>
      </c>
      <c r="F653" s="62">
        <v>46182</v>
      </c>
      <c r="G653" s="37" t="s">
        <v>1435</v>
      </c>
      <c r="H653" s="36">
        <v>2356</v>
      </c>
      <c r="I653" s="63">
        <v>34809</v>
      </c>
      <c r="J653" s="24" t="s">
        <v>1449</v>
      </c>
      <c r="K653" s="63">
        <f t="shared" si="228"/>
        <v>45839</v>
      </c>
      <c r="L653" s="55">
        <f t="shared" si="229"/>
        <v>0.04</v>
      </c>
      <c r="M653" s="76">
        <v>0.22500000000000001</v>
      </c>
      <c r="N653" s="62">
        <v>45839</v>
      </c>
      <c r="O653" s="62">
        <v>46182</v>
      </c>
      <c r="P653" s="63"/>
      <c r="Q653" s="63"/>
      <c r="R653" s="82">
        <v>30</v>
      </c>
      <c r="S653" s="63" t="str">
        <f>VLOOKUP(R653,SA!$B$5:$C$11,2,1)</f>
        <v>0-35</v>
      </c>
      <c r="T653" s="38" t="s">
        <v>97</v>
      </c>
      <c r="U653" s="24" t="s">
        <v>115</v>
      </c>
      <c r="V653" s="24">
        <v>300000</v>
      </c>
      <c r="W653" s="39">
        <f t="shared" si="230"/>
        <v>0</v>
      </c>
      <c r="X653" s="29">
        <f t="shared" si="231"/>
        <v>0</v>
      </c>
      <c r="Y653" s="40">
        <f t="shared" si="232"/>
        <v>344</v>
      </c>
      <c r="Z653" s="38">
        <f t="shared" si="193"/>
        <v>46081</v>
      </c>
      <c r="AA653" s="41">
        <f t="shared" si="233"/>
        <v>243</v>
      </c>
      <c r="AB653" s="24" t="s">
        <v>125</v>
      </c>
      <c r="AC653" s="41">
        <f t="shared" si="234"/>
        <v>3651.3115660273975</v>
      </c>
      <c r="AD653" s="41">
        <v>1</v>
      </c>
      <c r="AE653" s="72">
        <f>IFERROR(INDEX(SA!$C$4:$E$11,MATCH(Details!S653,SA!$C$4:$C$11,0),MATCH(Details!V653,SA!$C$4:$E$4,0)),0)*Y653/(F653-E653+1)</f>
        <v>3094.3318356164386</v>
      </c>
      <c r="AF653" s="41">
        <f t="shared" si="235"/>
        <v>0</v>
      </c>
      <c r="AG653" s="41">
        <f t="shared" si="236"/>
        <v>0</v>
      </c>
      <c r="AH653" s="41">
        <f t="shared" si="237"/>
        <v>556.97973041095895</v>
      </c>
      <c r="AI653" s="60">
        <f t="shared" si="238"/>
        <v>123.77327342465755</v>
      </c>
      <c r="AJ653" s="60">
        <f t="shared" si="239"/>
        <v>696.22466301369866</v>
      </c>
      <c r="AK653" s="60">
        <f t="shared" si="240"/>
        <v>2185.8216164383562</v>
      </c>
      <c r="AL653" s="60">
        <f t="shared" si="241"/>
        <v>1606.5788880821917</v>
      </c>
      <c r="AM653" s="41">
        <f t="shared" si="242"/>
        <v>667.75501109589084</v>
      </c>
      <c r="AN653" s="42">
        <f t="shared" si="243"/>
        <v>45715</v>
      </c>
      <c r="AO653" s="43">
        <f t="shared" si="244"/>
        <v>3094.3318356164386</v>
      </c>
      <c r="AP653" s="24"/>
    </row>
    <row r="654" spans="1:42" ht="15" customHeight="1" x14ac:dyDescent="0.35">
      <c r="A654" s="36" t="s">
        <v>27</v>
      </c>
      <c r="B654" s="36">
        <v>202507</v>
      </c>
      <c r="C654" s="24" t="s">
        <v>128</v>
      </c>
      <c r="D654" s="24" t="s">
        <v>129</v>
      </c>
      <c r="E654" s="62">
        <v>45818</v>
      </c>
      <c r="F654" s="62">
        <v>46182</v>
      </c>
      <c r="G654" s="37" t="s">
        <v>1436</v>
      </c>
      <c r="H654" s="36">
        <v>2356</v>
      </c>
      <c r="I654" s="63">
        <v>43020</v>
      </c>
      <c r="J654" s="24" t="s">
        <v>1450</v>
      </c>
      <c r="K654" s="63">
        <f t="shared" si="228"/>
        <v>45839</v>
      </c>
      <c r="L654" s="55">
        <f t="shared" si="229"/>
        <v>0.04</v>
      </c>
      <c r="M654" s="76">
        <v>0.22500000000000001</v>
      </c>
      <c r="N654" s="62">
        <v>45839</v>
      </c>
      <c r="O654" s="62">
        <v>46182</v>
      </c>
      <c r="P654" s="63"/>
      <c r="Q654" s="63"/>
      <c r="R654" s="82">
        <v>7</v>
      </c>
      <c r="S654" s="63" t="str">
        <f>VLOOKUP(R654,SA!$B$5:$C$11,2,1)</f>
        <v>0-35</v>
      </c>
      <c r="T654" s="38" t="s">
        <v>96</v>
      </c>
      <c r="U654" s="24" t="s">
        <v>114</v>
      </c>
      <c r="V654" s="24">
        <v>300000</v>
      </c>
      <c r="W654" s="39">
        <f t="shared" si="230"/>
        <v>0</v>
      </c>
      <c r="X654" s="29">
        <f t="shared" si="231"/>
        <v>0</v>
      </c>
      <c r="Y654" s="40">
        <f t="shared" si="232"/>
        <v>344</v>
      </c>
      <c r="Z654" s="38">
        <f t="shared" si="193"/>
        <v>46081</v>
      </c>
      <c r="AA654" s="41">
        <f t="shared" si="233"/>
        <v>243</v>
      </c>
      <c r="AB654" s="24" t="s">
        <v>125</v>
      </c>
      <c r="AC654" s="41">
        <f t="shared" si="234"/>
        <v>3651.3115660273975</v>
      </c>
      <c r="AD654" s="41">
        <v>1</v>
      </c>
      <c r="AE654" s="72">
        <f>IFERROR(INDEX(SA!$C$4:$E$11,MATCH(Details!S654,SA!$C$4:$C$11,0),MATCH(Details!V654,SA!$C$4:$E$4,0)),0)*Y654/(F654-E654+1)</f>
        <v>3094.3318356164386</v>
      </c>
      <c r="AF654" s="41">
        <f t="shared" si="235"/>
        <v>0</v>
      </c>
      <c r="AG654" s="41">
        <f t="shared" si="236"/>
        <v>0</v>
      </c>
      <c r="AH654" s="41">
        <f t="shared" si="237"/>
        <v>556.97973041095895</v>
      </c>
      <c r="AI654" s="60">
        <f t="shared" si="238"/>
        <v>123.77327342465755</v>
      </c>
      <c r="AJ654" s="60">
        <f t="shared" si="239"/>
        <v>696.22466301369866</v>
      </c>
      <c r="AK654" s="60">
        <f t="shared" si="240"/>
        <v>2185.8216164383562</v>
      </c>
      <c r="AL654" s="60">
        <f t="shared" si="241"/>
        <v>1606.5788880821917</v>
      </c>
      <c r="AM654" s="41">
        <f t="shared" si="242"/>
        <v>667.75501109589084</v>
      </c>
      <c r="AN654" s="42">
        <f t="shared" si="243"/>
        <v>45715</v>
      </c>
      <c r="AO654" s="43">
        <f t="shared" si="244"/>
        <v>3094.3318356164386</v>
      </c>
      <c r="AP654" s="24"/>
    </row>
    <row r="655" spans="1:42" ht="15" customHeight="1" x14ac:dyDescent="0.35">
      <c r="A655" s="36" t="s">
        <v>27</v>
      </c>
      <c r="B655" s="36">
        <v>202507</v>
      </c>
      <c r="C655" s="24" t="s">
        <v>128</v>
      </c>
      <c r="D655" s="24" t="s">
        <v>129</v>
      </c>
      <c r="E655" s="62">
        <v>45818</v>
      </c>
      <c r="F655" s="62">
        <v>46182</v>
      </c>
      <c r="G655" s="37" t="s">
        <v>1437</v>
      </c>
      <c r="H655" s="36">
        <v>2354</v>
      </c>
      <c r="I655" s="63">
        <v>33644</v>
      </c>
      <c r="J655" s="24" t="s">
        <v>1451</v>
      </c>
      <c r="K655" s="63">
        <f t="shared" si="228"/>
        <v>45839</v>
      </c>
      <c r="L655" s="55">
        <f t="shared" si="229"/>
        <v>0.04</v>
      </c>
      <c r="M655" s="76">
        <v>0.22500000000000001</v>
      </c>
      <c r="N655" s="62">
        <v>45839</v>
      </c>
      <c r="O655" s="62">
        <v>46182</v>
      </c>
      <c r="P655" s="63"/>
      <c r="Q655" s="63"/>
      <c r="R655" s="82">
        <v>33</v>
      </c>
      <c r="S655" s="63" t="str">
        <f>VLOOKUP(R655,SA!$B$5:$C$11,2,1)</f>
        <v>0-35</v>
      </c>
      <c r="T655" s="38" t="s">
        <v>96</v>
      </c>
      <c r="U655" s="24" t="s">
        <v>56</v>
      </c>
      <c r="V655" s="24">
        <v>300000</v>
      </c>
      <c r="W655" s="39">
        <f t="shared" si="230"/>
        <v>300000</v>
      </c>
      <c r="X655" s="29">
        <f t="shared" si="231"/>
        <v>1</v>
      </c>
      <c r="Y655" s="40">
        <f t="shared" si="232"/>
        <v>344</v>
      </c>
      <c r="Z655" s="38">
        <f t="shared" si="193"/>
        <v>46081</v>
      </c>
      <c r="AA655" s="41">
        <f t="shared" si="233"/>
        <v>243</v>
      </c>
      <c r="AB655" s="24" t="s">
        <v>125</v>
      </c>
      <c r="AC655" s="41">
        <f t="shared" si="234"/>
        <v>3651.3115660273975</v>
      </c>
      <c r="AD655" s="41">
        <v>1</v>
      </c>
      <c r="AE655" s="72">
        <f>IFERROR(INDEX(SA!$C$4:$E$11,MATCH(Details!S655,SA!$C$4:$C$11,0),MATCH(Details!V655,SA!$C$4:$E$4,0)),0)*Y655/(F655-E655+1)</f>
        <v>3094.3318356164386</v>
      </c>
      <c r="AF655" s="41">
        <f t="shared" si="235"/>
        <v>0</v>
      </c>
      <c r="AG655" s="41">
        <f t="shared" si="236"/>
        <v>0</v>
      </c>
      <c r="AH655" s="41">
        <f t="shared" si="237"/>
        <v>556.97973041095895</v>
      </c>
      <c r="AI655" s="60">
        <f t="shared" si="238"/>
        <v>123.77327342465755</v>
      </c>
      <c r="AJ655" s="60">
        <f t="shared" si="239"/>
        <v>696.22466301369866</v>
      </c>
      <c r="AK655" s="60">
        <f t="shared" si="240"/>
        <v>2185.8216164383562</v>
      </c>
      <c r="AL655" s="60">
        <f t="shared" si="241"/>
        <v>1606.5788880821917</v>
      </c>
      <c r="AM655" s="41">
        <f t="shared" si="242"/>
        <v>667.75501109589084</v>
      </c>
      <c r="AN655" s="42">
        <f t="shared" si="243"/>
        <v>45715</v>
      </c>
      <c r="AO655" s="43">
        <f t="shared" si="244"/>
        <v>3094.3318356164386</v>
      </c>
      <c r="AP655" s="24"/>
    </row>
    <row r="656" spans="1:42" ht="15" customHeight="1" x14ac:dyDescent="0.35">
      <c r="A656" s="36" t="s">
        <v>27</v>
      </c>
      <c r="B656" s="36">
        <v>202507</v>
      </c>
      <c r="C656" s="24" t="s">
        <v>128</v>
      </c>
      <c r="D656" s="24" t="s">
        <v>129</v>
      </c>
      <c r="E656" s="62">
        <v>45818</v>
      </c>
      <c r="F656" s="62">
        <v>46182</v>
      </c>
      <c r="G656" s="37" t="s">
        <v>1438</v>
      </c>
      <c r="H656" s="36">
        <v>2354</v>
      </c>
      <c r="I656" s="63">
        <v>34242</v>
      </c>
      <c r="J656" s="24" t="s">
        <v>1452</v>
      </c>
      <c r="K656" s="63">
        <f t="shared" si="228"/>
        <v>45839</v>
      </c>
      <c r="L656" s="55">
        <f t="shared" si="229"/>
        <v>0.04</v>
      </c>
      <c r="M656" s="76">
        <v>0.22500000000000001</v>
      </c>
      <c r="N656" s="62">
        <v>45839</v>
      </c>
      <c r="O656" s="62">
        <v>46182</v>
      </c>
      <c r="P656" s="63"/>
      <c r="Q656" s="63"/>
      <c r="R656" s="82">
        <v>31</v>
      </c>
      <c r="S656" s="63" t="str">
        <f>VLOOKUP(R656,SA!$B$5:$C$11,2,1)</f>
        <v>0-35</v>
      </c>
      <c r="T656" s="38" t="s">
        <v>97</v>
      </c>
      <c r="U656" s="24" t="s">
        <v>115</v>
      </c>
      <c r="V656" s="24">
        <v>300000</v>
      </c>
      <c r="W656" s="39">
        <f t="shared" si="230"/>
        <v>0</v>
      </c>
      <c r="X656" s="29">
        <f t="shared" si="231"/>
        <v>0</v>
      </c>
      <c r="Y656" s="40">
        <f t="shared" si="232"/>
        <v>344</v>
      </c>
      <c r="Z656" s="38">
        <f t="shared" si="193"/>
        <v>46081</v>
      </c>
      <c r="AA656" s="41">
        <f t="shared" si="233"/>
        <v>243</v>
      </c>
      <c r="AB656" s="24" t="s">
        <v>125</v>
      </c>
      <c r="AC656" s="41">
        <f t="shared" si="234"/>
        <v>3651.3115660273975</v>
      </c>
      <c r="AD656" s="41">
        <v>1</v>
      </c>
      <c r="AE656" s="72">
        <f>IFERROR(INDEX(SA!$C$4:$E$11,MATCH(Details!S656,SA!$C$4:$C$11,0),MATCH(Details!V656,SA!$C$4:$E$4,0)),0)*Y656/(F656-E656+1)</f>
        <v>3094.3318356164386</v>
      </c>
      <c r="AF656" s="41">
        <f t="shared" si="235"/>
        <v>0</v>
      </c>
      <c r="AG656" s="41">
        <f t="shared" si="236"/>
        <v>0</v>
      </c>
      <c r="AH656" s="41">
        <f t="shared" si="237"/>
        <v>556.97973041095895</v>
      </c>
      <c r="AI656" s="60">
        <f t="shared" si="238"/>
        <v>123.77327342465755</v>
      </c>
      <c r="AJ656" s="60">
        <f t="shared" si="239"/>
        <v>696.22466301369866</v>
      </c>
      <c r="AK656" s="60">
        <f t="shared" si="240"/>
        <v>2185.8216164383562</v>
      </c>
      <c r="AL656" s="60">
        <f t="shared" si="241"/>
        <v>1606.5788880821917</v>
      </c>
      <c r="AM656" s="41">
        <f t="shared" si="242"/>
        <v>667.75501109589084</v>
      </c>
      <c r="AN656" s="42">
        <f t="shared" si="243"/>
        <v>45715</v>
      </c>
      <c r="AO656" s="43">
        <f t="shared" si="244"/>
        <v>3094.3318356164386</v>
      </c>
      <c r="AP656" s="24"/>
    </row>
    <row r="657" spans="1:42" ht="15" customHeight="1" x14ac:dyDescent="0.35">
      <c r="A657" s="36" t="s">
        <v>27</v>
      </c>
      <c r="B657" s="36">
        <v>202507</v>
      </c>
      <c r="C657" s="24" t="s">
        <v>128</v>
      </c>
      <c r="D657" s="24" t="s">
        <v>129</v>
      </c>
      <c r="E657" s="62">
        <v>45818</v>
      </c>
      <c r="F657" s="62">
        <v>46182</v>
      </c>
      <c r="G657" s="37" t="s">
        <v>1439</v>
      </c>
      <c r="H657" s="36">
        <v>2354</v>
      </c>
      <c r="I657" s="63">
        <v>44154</v>
      </c>
      <c r="J657" s="24" t="s">
        <v>1453</v>
      </c>
      <c r="K657" s="63">
        <f t="shared" si="228"/>
        <v>45839</v>
      </c>
      <c r="L657" s="55">
        <f t="shared" si="229"/>
        <v>0.04</v>
      </c>
      <c r="M657" s="76">
        <v>0.22500000000000001</v>
      </c>
      <c r="N657" s="62">
        <v>45839</v>
      </c>
      <c r="O657" s="62">
        <v>46182</v>
      </c>
      <c r="P657" s="63"/>
      <c r="Q657" s="63"/>
      <c r="R657" s="82">
        <v>4</v>
      </c>
      <c r="S657" s="63" t="str">
        <f>VLOOKUP(R657,SA!$B$5:$C$11,2,1)</f>
        <v>0-35</v>
      </c>
      <c r="T657" s="38" t="s">
        <v>96</v>
      </c>
      <c r="U657" s="24" t="s">
        <v>114</v>
      </c>
      <c r="V657" s="24">
        <v>300000</v>
      </c>
      <c r="W657" s="39">
        <f t="shared" si="230"/>
        <v>0</v>
      </c>
      <c r="X657" s="29">
        <f t="shared" si="231"/>
        <v>0</v>
      </c>
      <c r="Y657" s="40">
        <f t="shared" si="232"/>
        <v>344</v>
      </c>
      <c r="Z657" s="38">
        <f t="shared" si="193"/>
        <v>46081</v>
      </c>
      <c r="AA657" s="41">
        <f t="shared" si="233"/>
        <v>243</v>
      </c>
      <c r="AB657" s="24" t="s">
        <v>125</v>
      </c>
      <c r="AC657" s="41">
        <f t="shared" si="234"/>
        <v>3651.3115660273975</v>
      </c>
      <c r="AD657" s="41">
        <v>1</v>
      </c>
      <c r="AE657" s="72">
        <f>IFERROR(INDEX(SA!$C$4:$E$11,MATCH(Details!S657,SA!$C$4:$C$11,0),MATCH(Details!V657,SA!$C$4:$E$4,0)),0)*Y657/(F657-E657+1)</f>
        <v>3094.3318356164386</v>
      </c>
      <c r="AF657" s="41">
        <f t="shared" si="235"/>
        <v>0</v>
      </c>
      <c r="AG657" s="41">
        <f t="shared" si="236"/>
        <v>0</v>
      </c>
      <c r="AH657" s="41">
        <f t="shared" si="237"/>
        <v>556.97973041095895</v>
      </c>
      <c r="AI657" s="60">
        <f t="shared" si="238"/>
        <v>123.77327342465755</v>
      </c>
      <c r="AJ657" s="60">
        <f t="shared" si="239"/>
        <v>696.22466301369866</v>
      </c>
      <c r="AK657" s="60">
        <f t="shared" si="240"/>
        <v>2185.8216164383562</v>
      </c>
      <c r="AL657" s="60">
        <f t="shared" si="241"/>
        <v>1606.5788880821917</v>
      </c>
      <c r="AM657" s="41">
        <f t="shared" si="242"/>
        <v>667.75501109589084</v>
      </c>
      <c r="AN657" s="42">
        <f t="shared" si="243"/>
        <v>45715</v>
      </c>
      <c r="AO657" s="43">
        <f t="shared" si="244"/>
        <v>3094.3318356164386</v>
      </c>
      <c r="AP657" s="24"/>
    </row>
    <row r="658" spans="1:42" ht="15" customHeight="1" x14ac:dyDescent="0.35">
      <c r="A658" s="36" t="s">
        <v>27</v>
      </c>
      <c r="B658" s="36">
        <v>202507</v>
      </c>
      <c r="C658" s="24" t="s">
        <v>128</v>
      </c>
      <c r="D658" s="24" t="s">
        <v>129</v>
      </c>
      <c r="E658" s="62">
        <v>45818</v>
      </c>
      <c r="F658" s="62">
        <v>46182</v>
      </c>
      <c r="G658" s="37" t="s">
        <v>1440</v>
      </c>
      <c r="H658" s="36">
        <v>2355</v>
      </c>
      <c r="I658" s="63">
        <v>30625</v>
      </c>
      <c r="J658" s="24" t="s">
        <v>1454</v>
      </c>
      <c r="K658" s="63">
        <f t="shared" si="228"/>
        <v>45839</v>
      </c>
      <c r="L658" s="55">
        <f t="shared" si="229"/>
        <v>0.04</v>
      </c>
      <c r="M658" s="76">
        <v>0.22500000000000001</v>
      </c>
      <c r="N658" s="62">
        <v>45839</v>
      </c>
      <c r="O658" s="62">
        <v>46182</v>
      </c>
      <c r="P658" s="63"/>
      <c r="Q658" s="63"/>
      <c r="R658" s="82">
        <v>41</v>
      </c>
      <c r="S658" s="63" t="str">
        <f>VLOOKUP(R658,SA!$B$5:$C$11,2,1)</f>
        <v>36-45</v>
      </c>
      <c r="T658" s="38" t="s">
        <v>96</v>
      </c>
      <c r="U658" s="24" t="s">
        <v>56</v>
      </c>
      <c r="V658" s="24">
        <v>300000</v>
      </c>
      <c r="W658" s="39">
        <f t="shared" si="230"/>
        <v>300000</v>
      </c>
      <c r="X658" s="29">
        <f t="shared" si="231"/>
        <v>1</v>
      </c>
      <c r="Y658" s="40">
        <f t="shared" si="232"/>
        <v>344</v>
      </c>
      <c r="Z658" s="38">
        <f t="shared" si="193"/>
        <v>46081</v>
      </c>
      <c r="AA658" s="41">
        <f t="shared" si="233"/>
        <v>243</v>
      </c>
      <c r="AB658" s="24" t="s">
        <v>125</v>
      </c>
      <c r="AC658" s="41">
        <f t="shared" si="234"/>
        <v>4728.6566093150686</v>
      </c>
      <c r="AD658" s="41">
        <v>1</v>
      </c>
      <c r="AE658" s="72">
        <f>IFERROR(INDEX(SA!$C$4:$E$11,MATCH(Details!S658,SA!$C$4:$C$11,0),MATCH(Details!V658,SA!$C$4:$E$4,0)),0)*Y658/(F658-E658+1)</f>
        <v>4007.3361095890414</v>
      </c>
      <c r="AF658" s="41">
        <f t="shared" si="235"/>
        <v>0</v>
      </c>
      <c r="AG658" s="41">
        <f t="shared" si="236"/>
        <v>0</v>
      </c>
      <c r="AH658" s="41">
        <f t="shared" si="237"/>
        <v>721.32049972602738</v>
      </c>
      <c r="AI658" s="60">
        <f t="shared" si="238"/>
        <v>160.29344438356165</v>
      </c>
      <c r="AJ658" s="60">
        <f t="shared" si="239"/>
        <v>901.65062465753431</v>
      </c>
      <c r="AK658" s="60">
        <f t="shared" si="240"/>
        <v>2830.7635890410961</v>
      </c>
      <c r="AL658" s="60">
        <f t="shared" si="241"/>
        <v>2080.6112379452056</v>
      </c>
      <c r="AM658" s="41">
        <f t="shared" si="242"/>
        <v>864.78080260273987</v>
      </c>
      <c r="AN658" s="42">
        <f t="shared" si="243"/>
        <v>45715</v>
      </c>
      <c r="AO658" s="43">
        <f t="shared" si="244"/>
        <v>4007.3361095890414</v>
      </c>
      <c r="AP658" s="24"/>
    </row>
    <row r="659" spans="1:42" ht="15" customHeight="1" x14ac:dyDescent="0.35">
      <c r="A659" s="36" t="s">
        <v>27</v>
      </c>
      <c r="B659" s="36">
        <v>202507</v>
      </c>
      <c r="C659" s="24" t="s">
        <v>128</v>
      </c>
      <c r="D659" s="24" t="s">
        <v>129</v>
      </c>
      <c r="E659" s="62">
        <v>45818</v>
      </c>
      <c r="F659" s="62">
        <v>46182</v>
      </c>
      <c r="G659" s="37" t="s">
        <v>1441</v>
      </c>
      <c r="H659" s="36">
        <v>2355</v>
      </c>
      <c r="I659" s="63">
        <v>32543</v>
      </c>
      <c r="J659" s="24" t="s">
        <v>1455</v>
      </c>
      <c r="K659" s="63">
        <f t="shared" si="228"/>
        <v>45839</v>
      </c>
      <c r="L659" s="55">
        <f t="shared" si="229"/>
        <v>0.04</v>
      </c>
      <c r="M659" s="76">
        <v>0.22500000000000001</v>
      </c>
      <c r="N659" s="62">
        <v>45839</v>
      </c>
      <c r="O659" s="62">
        <v>46182</v>
      </c>
      <c r="P659" s="63"/>
      <c r="Q659" s="63"/>
      <c r="R659" s="82">
        <v>36</v>
      </c>
      <c r="S659" s="63" t="str">
        <f>VLOOKUP(R659,SA!$B$5:$C$11,2,1)</f>
        <v>36-45</v>
      </c>
      <c r="T659" s="38" t="s">
        <v>97</v>
      </c>
      <c r="U659" s="24" t="s">
        <v>115</v>
      </c>
      <c r="V659" s="24">
        <v>300000</v>
      </c>
      <c r="W659" s="39">
        <f t="shared" si="230"/>
        <v>0</v>
      </c>
      <c r="X659" s="29">
        <f t="shared" si="231"/>
        <v>0</v>
      </c>
      <c r="Y659" s="40">
        <f t="shared" si="232"/>
        <v>344</v>
      </c>
      <c r="Z659" s="38">
        <f t="shared" si="193"/>
        <v>46081</v>
      </c>
      <c r="AA659" s="41">
        <f t="shared" si="233"/>
        <v>243</v>
      </c>
      <c r="AB659" s="24" t="s">
        <v>125</v>
      </c>
      <c r="AC659" s="41">
        <f t="shared" si="234"/>
        <v>4728.6566093150686</v>
      </c>
      <c r="AD659" s="41">
        <v>1</v>
      </c>
      <c r="AE659" s="72">
        <f>IFERROR(INDEX(SA!$C$4:$E$11,MATCH(Details!S659,SA!$C$4:$C$11,0),MATCH(Details!V659,SA!$C$4:$E$4,0)),0)*Y659/(F659-E659+1)</f>
        <v>4007.3361095890414</v>
      </c>
      <c r="AF659" s="41">
        <f t="shared" si="235"/>
        <v>0</v>
      </c>
      <c r="AG659" s="41">
        <f t="shared" si="236"/>
        <v>0</v>
      </c>
      <c r="AH659" s="41">
        <f t="shared" si="237"/>
        <v>721.32049972602738</v>
      </c>
      <c r="AI659" s="60">
        <f t="shared" si="238"/>
        <v>160.29344438356165</v>
      </c>
      <c r="AJ659" s="60">
        <f t="shared" si="239"/>
        <v>901.65062465753431</v>
      </c>
      <c r="AK659" s="60">
        <f t="shared" si="240"/>
        <v>2830.7635890410961</v>
      </c>
      <c r="AL659" s="60">
        <f t="shared" si="241"/>
        <v>2080.6112379452056</v>
      </c>
      <c r="AM659" s="41">
        <f t="shared" si="242"/>
        <v>864.78080260273987</v>
      </c>
      <c r="AN659" s="42">
        <f t="shared" si="243"/>
        <v>45715</v>
      </c>
      <c r="AO659" s="43">
        <f t="shared" si="244"/>
        <v>4007.3361095890414</v>
      </c>
      <c r="AP659" s="24"/>
    </row>
    <row r="660" spans="1:42" ht="15" customHeight="1" x14ac:dyDescent="0.35">
      <c r="A660" s="36" t="s">
        <v>27</v>
      </c>
      <c r="B660" s="36">
        <v>202507</v>
      </c>
      <c r="C660" s="24" t="s">
        <v>128</v>
      </c>
      <c r="D660" s="24" t="s">
        <v>129</v>
      </c>
      <c r="E660" s="62">
        <v>45818</v>
      </c>
      <c r="F660" s="62">
        <v>46182</v>
      </c>
      <c r="G660" s="37" t="s">
        <v>1442</v>
      </c>
      <c r="H660" s="36">
        <v>2355</v>
      </c>
      <c r="I660" s="63">
        <v>42709</v>
      </c>
      <c r="J660" s="24" t="s">
        <v>1456</v>
      </c>
      <c r="K660" s="63">
        <f t="shared" si="228"/>
        <v>45839</v>
      </c>
      <c r="L660" s="55">
        <f t="shared" si="229"/>
        <v>0.04</v>
      </c>
      <c r="M660" s="76">
        <v>0.22500000000000001</v>
      </c>
      <c r="N660" s="62">
        <v>45839</v>
      </c>
      <c r="O660" s="62">
        <v>46182</v>
      </c>
      <c r="P660" s="63"/>
      <c r="Q660" s="63"/>
      <c r="R660" s="82">
        <v>8</v>
      </c>
      <c r="S660" s="63" t="str">
        <f>VLOOKUP(R660,SA!$B$5:$C$11,2,1)</f>
        <v>0-35</v>
      </c>
      <c r="T660" s="38" t="s">
        <v>96</v>
      </c>
      <c r="U660" s="24" t="s">
        <v>114</v>
      </c>
      <c r="V660" s="24">
        <v>300000</v>
      </c>
      <c r="W660" s="39">
        <f t="shared" si="230"/>
        <v>0</v>
      </c>
      <c r="X660" s="29">
        <f t="shared" si="231"/>
        <v>0</v>
      </c>
      <c r="Y660" s="40">
        <f t="shared" si="232"/>
        <v>344</v>
      </c>
      <c r="Z660" s="38">
        <f t="shared" si="193"/>
        <v>46081</v>
      </c>
      <c r="AA660" s="41">
        <f t="shared" si="233"/>
        <v>243</v>
      </c>
      <c r="AB660" s="24" t="s">
        <v>125</v>
      </c>
      <c r="AC660" s="41">
        <f t="shared" si="234"/>
        <v>3651.3115660273975</v>
      </c>
      <c r="AD660" s="41">
        <v>1</v>
      </c>
      <c r="AE660" s="72">
        <f>IFERROR(INDEX(SA!$C$4:$E$11,MATCH(Details!S660,SA!$C$4:$C$11,0),MATCH(Details!V660,SA!$C$4:$E$4,0)),0)*Y660/(F660-E660+1)</f>
        <v>3094.3318356164386</v>
      </c>
      <c r="AF660" s="41">
        <f t="shared" si="235"/>
        <v>0</v>
      </c>
      <c r="AG660" s="41">
        <f t="shared" si="236"/>
        <v>0</v>
      </c>
      <c r="AH660" s="41">
        <f t="shared" si="237"/>
        <v>556.97973041095895</v>
      </c>
      <c r="AI660" s="60">
        <f t="shared" si="238"/>
        <v>123.77327342465755</v>
      </c>
      <c r="AJ660" s="60">
        <f t="shared" si="239"/>
        <v>696.22466301369866</v>
      </c>
      <c r="AK660" s="60">
        <f t="shared" si="240"/>
        <v>2185.8216164383562</v>
      </c>
      <c r="AL660" s="60">
        <f t="shared" si="241"/>
        <v>1606.5788880821917</v>
      </c>
      <c r="AM660" s="41">
        <f t="shared" si="242"/>
        <v>667.75501109589084</v>
      </c>
      <c r="AN660" s="42">
        <f t="shared" si="243"/>
        <v>45715</v>
      </c>
      <c r="AO660" s="43">
        <f t="shared" si="244"/>
        <v>3094.3318356164386</v>
      </c>
      <c r="AP660" s="24"/>
    </row>
    <row r="661" spans="1:42" ht="15" customHeight="1" x14ac:dyDescent="0.35">
      <c r="A661" s="36" t="s">
        <v>27</v>
      </c>
      <c r="B661" s="36">
        <v>202507</v>
      </c>
      <c r="C661" s="24" t="s">
        <v>128</v>
      </c>
      <c r="D661" s="24" t="s">
        <v>129</v>
      </c>
      <c r="E661" s="62">
        <v>45818</v>
      </c>
      <c r="F661" s="62">
        <v>46182</v>
      </c>
      <c r="G661" s="37" t="s">
        <v>1443</v>
      </c>
      <c r="H661" s="36">
        <v>2277</v>
      </c>
      <c r="I661" s="63">
        <v>36951</v>
      </c>
      <c r="J661" s="24" t="s">
        <v>1457</v>
      </c>
      <c r="K661" s="63">
        <f t="shared" si="228"/>
        <v>45839</v>
      </c>
      <c r="L661" s="55">
        <f t="shared" si="229"/>
        <v>0.04</v>
      </c>
      <c r="M661" s="76">
        <v>0.22500000000000001</v>
      </c>
      <c r="N661" s="62">
        <v>45839</v>
      </c>
      <c r="O661" s="62">
        <v>46182</v>
      </c>
      <c r="P661" s="63"/>
      <c r="Q661" s="63"/>
      <c r="R661" s="82">
        <v>24</v>
      </c>
      <c r="S661" s="63" t="str">
        <f>VLOOKUP(R661,SA!$B$5:$C$11,2,1)</f>
        <v>0-35</v>
      </c>
      <c r="T661" s="38" t="s">
        <v>96</v>
      </c>
      <c r="U661" s="24" t="s">
        <v>56</v>
      </c>
      <c r="V661" s="24">
        <v>300000</v>
      </c>
      <c r="W661" s="39">
        <f t="shared" si="230"/>
        <v>300000</v>
      </c>
      <c r="X661" s="29">
        <f t="shared" si="231"/>
        <v>1</v>
      </c>
      <c r="Y661" s="40">
        <f t="shared" si="232"/>
        <v>344</v>
      </c>
      <c r="Z661" s="38">
        <f t="shared" si="193"/>
        <v>46081</v>
      </c>
      <c r="AA661" s="41">
        <f t="shared" si="233"/>
        <v>243</v>
      </c>
      <c r="AB661" s="24" t="s">
        <v>125</v>
      </c>
      <c r="AC661" s="41">
        <f t="shared" si="234"/>
        <v>3651.3115660273975</v>
      </c>
      <c r="AD661" s="41">
        <v>1</v>
      </c>
      <c r="AE661" s="72">
        <f>IFERROR(INDEX(SA!$C$4:$E$11,MATCH(Details!S661,SA!$C$4:$C$11,0),MATCH(Details!V661,SA!$C$4:$E$4,0)),0)*Y661/(F661-E661+1)</f>
        <v>3094.3318356164386</v>
      </c>
      <c r="AF661" s="41">
        <f t="shared" si="235"/>
        <v>0</v>
      </c>
      <c r="AG661" s="41">
        <f t="shared" si="236"/>
        <v>0</v>
      </c>
      <c r="AH661" s="41">
        <f t="shared" si="237"/>
        <v>556.97973041095895</v>
      </c>
      <c r="AI661" s="60">
        <f t="shared" si="238"/>
        <v>123.77327342465755</v>
      </c>
      <c r="AJ661" s="60">
        <f t="shared" si="239"/>
        <v>696.22466301369866</v>
      </c>
      <c r="AK661" s="60">
        <f t="shared" si="240"/>
        <v>2185.8216164383562</v>
      </c>
      <c r="AL661" s="60">
        <f t="shared" si="241"/>
        <v>1606.5788880821917</v>
      </c>
      <c r="AM661" s="41">
        <f t="shared" si="242"/>
        <v>667.75501109589084</v>
      </c>
      <c r="AN661" s="42">
        <f t="shared" si="243"/>
        <v>45715</v>
      </c>
      <c r="AO661" s="43">
        <f t="shared" si="244"/>
        <v>3094.3318356164386</v>
      </c>
      <c r="AP661" s="24"/>
    </row>
    <row r="662" spans="1:42" ht="15" customHeight="1" x14ac:dyDescent="0.35">
      <c r="A662" s="36" t="s">
        <v>27</v>
      </c>
      <c r="B662" s="36">
        <v>202507</v>
      </c>
      <c r="C662" s="24" t="s">
        <v>128</v>
      </c>
      <c r="D662" s="24" t="s">
        <v>129</v>
      </c>
      <c r="E662" s="62">
        <v>45818</v>
      </c>
      <c r="F662" s="62">
        <v>46182</v>
      </c>
      <c r="G662" s="37" t="s">
        <v>1458</v>
      </c>
      <c r="H662" s="36" t="s">
        <v>777</v>
      </c>
      <c r="I662" s="63">
        <v>36484</v>
      </c>
      <c r="J662" s="24" t="s">
        <v>1459</v>
      </c>
      <c r="K662" s="63">
        <f t="shared" ref="K662" si="245">N662</f>
        <v>45839</v>
      </c>
      <c r="L662" s="55">
        <f t="shared" ref="L662" si="246">IF(K662&gt;=DATE(2022,4,1),4%,5%)</f>
        <v>0.04</v>
      </c>
      <c r="M662" s="76">
        <v>0.22500000000000001</v>
      </c>
      <c r="N662" s="62">
        <v>45839</v>
      </c>
      <c r="O662" s="62">
        <v>46182</v>
      </c>
      <c r="P662" s="63"/>
      <c r="Q662" s="63"/>
      <c r="R662" s="82">
        <v>25</v>
      </c>
      <c r="S662" s="63" t="str">
        <f>VLOOKUP(R662,SA!$B$5:$C$11,2,1)</f>
        <v>0-35</v>
      </c>
      <c r="T662" s="38" t="s">
        <v>97</v>
      </c>
      <c r="U662" s="24" t="s">
        <v>115</v>
      </c>
      <c r="V662" s="24">
        <v>300000</v>
      </c>
      <c r="W662" s="39">
        <f t="shared" ref="W662" si="247">IF(U662="self",V662,0)</f>
        <v>0</v>
      </c>
      <c r="X662" s="29">
        <f t="shared" ref="X662" si="248">IF(U662="self",1,0)</f>
        <v>0</v>
      </c>
      <c r="Y662" s="40">
        <f t="shared" ref="Y662" si="249">O662-N662+1</f>
        <v>344</v>
      </c>
      <c r="Z662" s="38">
        <f t="shared" si="193"/>
        <v>46081</v>
      </c>
      <c r="AA662" s="41">
        <f t="shared" ref="AA662" si="250">IF(MIN((Z662-N662)+1,Y662)&lt;0,0,MIN((Z662-N662)+1,Y662))</f>
        <v>243</v>
      </c>
      <c r="AB662" s="24" t="s">
        <v>125</v>
      </c>
      <c r="AC662" s="41">
        <f t="shared" ref="AC662" si="251">AE662+AF662+AG662+AH662</f>
        <v>3651.3115660273975</v>
      </c>
      <c r="AD662" s="41">
        <v>1</v>
      </c>
      <c r="AE662" s="72">
        <f>IFERROR(INDEX(SA!$C$4:$E$11,MATCH(Details!S662,SA!$C$4:$C$11,0),MATCH(Details!V662,SA!$C$4:$E$4,0)),0)*Y662/(F662-E662+1)</f>
        <v>3094.3318356164386</v>
      </c>
      <c r="AF662" s="41">
        <f t="shared" ref="AF662" si="252">IF(AB662="Karnataka",AE662*9%,0)</f>
        <v>0</v>
      </c>
      <c r="AG662" s="41">
        <f t="shared" ref="AG662" si="253">IF(AB662="Karnataka",AE662*9%,0)</f>
        <v>0</v>
      </c>
      <c r="AH662" s="41">
        <f t="shared" ref="AH662" si="254">IF(AF662+AG662&gt;0,0,AE662*18%)</f>
        <v>556.97973041095895</v>
      </c>
      <c r="AI662" s="60">
        <f t="shared" ref="AI662" si="255">AE662*L662</f>
        <v>123.77327342465755</v>
      </c>
      <c r="AJ662" s="60">
        <f t="shared" ref="AJ662" si="256">$AE662*M662</f>
        <v>696.22466301369866</v>
      </c>
      <c r="AK662" s="60">
        <f t="shared" ref="AK662" si="257">(AE662)*AA662/Y662</f>
        <v>2185.8216164383562</v>
      </c>
      <c r="AL662" s="60">
        <f t="shared" ref="AL662" si="258">AK662*(1-L662-M662)</f>
        <v>1606.5788880821917</v>
      </c>
      <c r="AM662" s="41">
        <f t="shared" ref="AM662" si="259">AE662-AI662-AL662-AJ662</f>
        <v>667.75501109589084</v>
      </c>
      <c r="AN662" s="42">
        <f t="shared" ref="AN662" si="260">Z662-366</f>
        <v>45715</v>
      </c>
      <c r="AO662" s="43">
        <f t="shared" ref="AO662" si="261">IF(AND(O662&gt;Z662,N662&gt;AN662),AE662,0)</f>
        <v>3094.3318356164386</v>
      </c>
      <c r="AP662" s="24"/>
    </row>
    <row r="663" spans="1:42" ht="15" customHeight="1" x14ac:dyDescent="0.35">
      <c r="A663" s="36" t="s">
        <v>27</v>
      </c>
      <c r="B663" s="36">
        <v>202508</v>
      </c>
      <c r="C663" s="24" t="s">
        <v>128</v>
      </c>
      <c r="D663" s="24" t="s">
        <v>129</v>
      </c>
      <c r="E663" s="62">
        <v>45818</v>
      </c>
      <c r="F663" s="62">
        <v>46182</v>
      </c>
      <c r="G663" s="37" t="s">
        <v>1462</v>
      </c>
      <c r="H663" s="36">
        <v>2220</v>
      </c>
      <c r="I663" s="63">
        <v>31262</v>
      </c>
      <c r="J663" s="24" t="s">
        <v>1470</v>
      </c>
      <c r="K663" s="63">
        <f t="shared" ref="K663" si="262">N663</f>
        <v>45856</v>
      </c>
      <c r="L663" s="55">
        <f t="shared" ref="L663" si="263">IF(K663&gt;=DATE(2022,4,1),4%,5%)</f>
        <v>0.04</v>
      </c>
      <c r="M663" s="76">
        <v>0.22500000000000001</v>
      </c>
      <c r="N663" s="62">
        <v>45856</v>
      </c>
      <c r="O663" s="62">
        <v>46182</v>
      </c>
      <c r="P663" s="63"/>
      <c r="Q663" s="63"/>
      <c r="R663" s="82">
        <v>39</v>
      </c>
      <c r="S663" s="63" t="str">
        <f>VLOOKUP(R663,SA!$B$5:$C$11,2,1)</f>
        <v>36-45</v>
      </c>
      <c r="T663" s="38" t="s">
        <v>96</v>
      </c>
      <c r="U663" s="24" t="s">
        <v>56</v>
      </c>
      <c r="V663" s="24">
        <v>300000</v>
      </c>
      <c r="W663" s="39">
        <f t="shared" ref="W663" si="264">IF(U663="self",V663,0)</f>
        <v>300000</v>
      </c>
      <c r="X663" s="29">
        <f t="shared" ref="X663" si="265">IF(U663="self",1,0)</f>
        <v>1</v>
      </c>
      <c r="Y663" s="40">
        <f t="shared" ref="Y663" si="266">O663-N663+1</f>
        <v>327</v>
      </c>
      <c r="Z663" s="38">
        <f t="shared" si="193"/>
        <v>46081</v>
      </c>
      <c r="AA663" s="41">
        <f t="shared" ref="AA663" si="267">IF(MIN((Z663-N663)+1,Y663)&lt;0,0,MIN((Z663-N663)+1,Y663))</f>
        <v>226</v>
      </c>
      <c r="AB663" s="24" t="s">
        <v>125</v>
      </c>
      <c r="AC663" s="41">
        <f t="shared" ref="AC663" si="268">AE663+AF663+AG663+AH663</f>
        <v>4494.9729978082196</v>
      </c>
      <c r="AD663" s="41">
        <v>1</v>
      </c>
      <c r="AE663" s="72">
        <f>IFERROR(INDEX(SA!$C$4:$E$11,MATCH(Details!S663,SA!$C$4:$C$11,0),MATCH(Details!V663,SA!$C$4:$E$4,0)),0)*Y663/(F663-E663+1)</f>
        <v>3809.2991506849321</v>
      </c>
      <c r="AF663" s="41">
        <f t="shared" ref="AF663" si="269">IF(AB663="Karnataka",AE663*9%,0)</f>
        <v>0</v>
      </c>
      <c r="AG663" s="41">
        <f t="shared" ref="AG663" si="270">IF(AB663="Karnataka",AE663*9%,0)</f>
        <v>0</v>
      </c>
      <c r="AH663" s="41">
        <f t="shared" ref="AH663" si="271">IF(AF663+AG663&gt;0,0,AE663*18%)</f>
        <v>685.67384712328771</v>
      </c>
      <c r="AI663" s="60">
        <f t="shared" ref="AI663" si="272">AE663*L663</f>
        <v>152.37196602739729</v>
      </c>
      <c r="AJ663" s="60">
        <f t="shared" ref="AJ663" si="273">$AE663*M663</f>
        <v>857.0923089041097</v>
      </c>
      <c r="AK663" s="60">
        <f t="shared" ref="AK663" si="274">(AE663)*AA663/Y663</f>
        <v>2632.7266301369864</v>
      </c>
      <c r="AL663" s="60">
        <f t="shared" ref="AL663" si="275">AK663*(1-L663-M663)</f>
        <v>1935.0540731506849</v>
      </c>
      <c r="AM663" s="41">
        <f t="shared" ref="AM663" si="276">AE663-AI663-AL663-AJ663</f>
        <v>864.78080260274021</v>
      </c>
      <c r="AN663" s="42">
        <f t="shared" ref="AN663" si="277">Z663-366</f>
        <v>45715</v>
      </c>
      <c r="AO663" s="43">
        <f t="shared" ref="AO663" si="278">IF(AND(O663&gt;Z663,N663&gt;AN663),AE663,0)</f>
        <v>3809.2991506849321</v>
      </c>
      <c r="AP663" s="24"/>
    </row>
    <row r="664" spans="1:42" ht="15" customHeight="1" x14ac:dyDescent="0.35">
      <c r="A664" s="36" t="s">
        <v>27</v>
      </c>
      <c r="B664" s="36">
        <v>202508</v>
      </c>
      <c r="C664" s="24" t="s">
        <v>128</v>
      </c>
      <c r="D664" s="24" t="s">
        <v>129</v>
      </c>
      <c r="E664" s="62">
        <v>45818</v>
      </c>
      <c r="F664" s="62">
        <v>46182</v>
      </c>
      <c r="G664" s="37" t="s">
        <v>1463</v>
      </c>
      <c r="H664" s="36">
        <v>2220</v>
      </c>
      <c r="I664" s="63">
        <v>33105</v>
      </c>
      <c r="J664" s="24" t="s">
        <v>1471</v>
      </c>
      <c r="K664" s="63">
        <f t="shared" ref="K664:K670" si="279">N664</f>
        <v>45856</v>
      </c>
      <c r="L664" s="55">
        <f t="shared" ref="L664:L670" si="280">IF(K664&gt;=DATE(2022,4,1),4%,5%)</f>
        <v>0.04</v>
      </c>
      <c r="M664" s="76">
        <v>0.22500000000000001</v>
      </c>
      <c r="N664" s="62">
        <v>45856</v>
      </c>
      <c r="O664" s="62">
        <v>46182</v>
      </c>
      <c r="P664" s="63"/>
      <c r="Q664" s="63"/>
      <c r="R664" s="82">
        <v>34</v>
      </c>
      <c r="S664" s="63" t="str">
        <f>VLOOKUP(R664,SA!$B$5:$C$11,2,1)</f>
        <v>0-35</v>
      </c>
      <c r="T664" s="38" t="s">
        <v>97</v>
      </c>
      <c r="U664" s="24" t="s">
        <v>115</v>
      </c>
      <c r="V664" s="24">
        <v>300000</v>
      </c>
      <c r="W664" s="39">
        <f t="shared" ref="W664:W670" si="281">IF(U664="self",V664,0)</f>
        <v>0</v>
      </c>
      <c r="X664" s="29">
        <f t="shared" ref="X664:X670" si="282">IF(U664="self",1,0)</f>
        <v>0</v>
      </c>
      <c r="Y664" s="40">
        <f t="shared" ref="Y664:Y670" si="283">O664-N664+1</f>
        <v>327</v>
      </c>
      <c r="Z664" s="38">
        <f t="shared" si="193"/>
        <v>46081</v>
      </c>
      <c r="AA664" s="41">
        <f t="shared" ref="AA664:AA670" si="284">IF(MIN((Z664-N664)+1,Y664)&lt;0,0,MIN((Z664-N664)+1,Y664))</f>
        <v>226</v>
      </c>
      <c r="AB664" s="24" t="s">
        <v>125</v>
      </c>
      <c r="AC664" s="41">
        <f t="shared" ref="AC664:AC670" si="285">AE664+AF664+AG664+AH664</f>
        <v>3470.8688432876711</v>
      </c>
      <c r="AD664" s="41">
        <v>1</v>
      </c>
      <c r="AE664" s="72">
        <f>IFERROR(INDEX(SA!$C$4:$E$11,MATCH(Details!S664,SA!$C$4:$C$11,0),MATCH(Details!V664,SA!$C$4:$E$4,0)),0)*Y664/(F664-E664+1)</f>
        <v>2941.4142739726026</v>
      </c>
      <c r="AF664" s="41">
        <f t="shared" ref="AF664:AF670" si="286">IF(AB664="Karnataka",AE664*9%,0)</f>
        <v>0</v>
      </c>
      <c r="AG664" s="41">
        <f t="shared" ref="AG664:AG670" si="287">IF(AB664="Karnataka",AE664*9%,0)</f>
        <v>0</v>
      </c>
      <c r="AH664" s="41">
        <f t="shared" ref="AH664:AH670" si="288">IF(AF664+AG664&gt;0,0,AE664*18%)</f>
        <v>529.4545693150684</v>
      </c>
      <c r="AI664" s="60">
        <f t="shared" ref="AI664:AI670" si="289">AE664*L664</f>
        <v>117.65657095890411</v>
      </c>
      <c r="AJ664" s="60">
        <f t="shared" ref="AJ664:AJ670" si="290">$AE664*M664</f>
        <v>661.81821164383564</v>
      </c>
      <c r="AK664" s="60">
        <f t="shared" ref="AK664:AK670" si="291">(AE664)*AA664/Y664</f>
        <v>2032.9040547945203</v>
      </c>
      <c r="AL664" s="60">
        <f t="shared" ref="AL664:AL670" si="292">AK664*(1-L664-M664)</f>
        <v>1494.1844802739724</v>
      </c>
      <c r="AM664" s="41">
        <f t="shared" ref="AM664:AM670" si="293">AE664-AI664-AL664-AJ664</f>
        <v>667.7550110958905</v>
      </c>
      <c r="AN664" s="42">
        <f t="shared" ref="AN664:AN670" si="294">Z664-366</f>
        <v>45715</v>
      </c>
      <c r="AO664" s="43">
        <f t="shared" ref="AO664:AO670" si="295">IF(AND(O664&gt;Z664,N664&gt;AN664),AE664,0)</f>
        <v>2941.4142739726026</v>
      </c>
    </row>
    <row r="665" spans="1:42" ht="15" customHeight="1" x14ac:dyDescent="0.35">
      <c r="A665" s="36" t="s">
        <v>27</v>
      </c>
      <c r="B665" s="36">
        <v>202508</v>
      </c>
      <c r="C665" s="24" t="s">
        <v>128</v>
      </c>
      <c r="D665" s="24" t="s">
        <v>129</v>
      </c>
      <c r="E665" s="62">
        <v>45818</v>
      </c>
      <c r="F665" s="62">
        <v>46182</v>
      </c>
      <c r="G665" s="37" t="s">
        <v>1464</v>
      </c>
      <c r="H665" s="36">
        <v>2220</v>
      </c>
      <c r="I665" s="63">
        <v>41722</v>
      </c>
      <c r="J665" s="24" t="s">
        <v>1472</v>
      </c>
      <c r="K665" s="63">
        <f t="shared" si="279"/>
        <v>45856</v>
      </c>
      <c r="L665" s="55">
        <f t="shared" si="280"/>
        <v>0.04</v>
      </c>
      <c r="M665" s="76">
        <v>0.22500000000000001</v>
      </c>
      <c r="N665" s="62">
        <v>45856</v>
      </c>
      <c r="O665" s="62">
        <v>46182</v>
      </c>
      <c r="P665" s="63"/>
      <c r="Q665" s="63"/>
      <c r="R665" s="82">
        <v>11</v>
      </c>
      <c r="S665" s="63" t="str">
        <f>VLOOKUP(R665,SA!$B$5:$C$11,2,1)</f>
        <v>0-35</v>
      </c>
      <c r="T665" s="38" t="s">
        <v>96</v>
      </c>
      <c r="U665" s="24" t="s">
        <v>114</v>
      </c>
      <c r="V665" s="24">
        <v>300000</v>
      </c>
      <c r="W665" s="39">
        <f t="shared" si="281"/>
        <v>0</v>
      </c>
      <c r="X665" s="29">
        <f t="shared" si="282"/>
        <v>0</v>
      </c>
      <c r="Y665" s="40">
        <f t="shared" si="283"/>
        <v>327</v>
      </c>
      <c r="Z665" s="38">
        <f t="shared" si="193"/>
        <v>46081</v>
      </c>
      <c r="AA665" s="41">
        <f t="shared" si="284"/>
        <v>226</v>
      </c>
      <c r="AB665" s="24" t="s">
        <v>125</v>
      </c>
      <c r="AC665" s="41">
        <f t="shared" si="285"/>
        <v>3470.8688432876711</v>
      </c>
      <c r="AD665" s="41">
        <v>1</v>
      </c>
      <c r="AE665" s="72">
        <f>IFERROR(INDEX(SA!$C$4:$E$11,MATCH(Details!S665,SA!$C$4:$C$11,0),MATCH(Details!V665,SA!$C$4:$E$4,0)),0)*Y665/(F665-E665+1)</f>
        <v>2941.4142739726026</v>
      </c>
      <c r="AF665" s="41">
        <f t="shared" si="286"/>
        <v>0</v>
      </c>
      <c r="AG665" s="41">
        <f t="shared" si="287"/>
        <v>0</v>
      </c>
      <c r="AH665" s="41">
        <f t="shared" si="288"/>
        <v>529.4545693150684</v>
      </c>
      <c r="AI665" s="60">
        <f t="shared" si="289"/>
        <v>117.65657095890411</v>
      </c>
      <c r="AJ665" s="60">
        <f t="shared" si="290"/>
        <v>661.81821164383564</v>
      </c>
      <c r="AK665" s="60">
        <f t="shared" si="291"/>
        <v>2032.9040547945203</v>
      </c>
      <c r="AL665" s="60">
        <f t="shared" si="292"/>
        <v>1494.1844802739724</v>
      </c>
      <c r="AM665" s="41">
        <f t="shared" si="293"/>
        <v>667.7550110958905</v>
      </c>
      <c r="AN665" s="42">
        <f t="shared" si="294"/>
        <v>45715</v>
      </c>
      <c r="AO665" s="43">
        <f t="shared" si="295"/>
        <v>2941.4142739726026</v>
      </c>
    </row>
    <row r="666" spans="1:42" ht="15" customHeight="1" x14ac:dyDescent="0.35">
      <c r="A666" s="36" t="s">
        <v>27</v>
      </c>
      <c r="B666" s="36">
        <v>202508</v>
      </c>
      <c r="C666" s="24" t="s">
        <v>128</v>
      </c>
      <c r="D666" s="24" t="s">
        <v>129</v>
      </c>
      <c r="E666" s="62">
        <v>45818</v>
      </c>
      <c r="F666" s="62">
        <v>46182</v>
      </c>
      <c r="G666" s="37" t="s">
        <v>1465</v>
      </c>
      <c r="H666" s="36">
        <v>2353</v>
      </c>
      <c r="I666" s="63">
        <v>31959</v>
      </c>
      <c r="J666" s="24" t="s">
        <v>1473</v>
      </c>
      <c r="K666" s="63">
        <f t="shared" si="279"/>
        <v>45856</v>
      </c>
      <c r="L666" s="55">
        <f t="shared" si="280"/>
        <v>0.04</v>
      </c>
      <c r="M666" s="76">
        <v>0.22500000000000001</v>
      </c>
      <c r="N666" s="62">
        <v>45856</v>
      </c>
      <c r="O666" s="62">
        <v>46182</v>
      </c>
      <c r="P666" s="63"/>
      <c r="Q666" s="63"/>
      <c r="R666" s="82">
        <v>38</v>
      </c>
      <c r="S666" s="63" t="str">
        <f>VLOOKUP(R666,SA!$B$5:$C$11,2,1)</f>
        <v>36-45</v>
      </c>
      <c r="T666" s="38" t="s">
        <v>97</v>
      </c>
      <c r="U666" s="24" t="s">
        <v>56</v>
      </c>
      <c r="V666" s="24">
        <v>300000</v>
      </c>
      <c r="W666" s="39">
        <f t="shared" si="281"/>
        <v>300000</v>
      </c>
      <c r="X666" s="29">
        <f t="shared" si="282"/>
        <v>1</v>
      </c>
      <c r="Y666" s="40">
        <f t="shared" si="283"/>
        <v>327</v>
      </c>
      <c r="Z666" s="38">
        <f t="shared" si="193"/>
        <v>46081</v>
      </c>
      <c r="AA666" s="41">
        <f t="shared" si="284"/>
        <v>226</v>
      </c>
      <c r="AB666" s="24" t="s">
        <v>125</v>
      </c>
      <c r="AC666" s="41">
        <f t="shared" si="285"/>
        <v>4494.9729978082196</v>
      </c>
      <c r="AD666" s="41">
        <v>1</v>
      </c>
      <c r="AE666" s="72">
        <f>IFERROR(INDEX(SA!$C$4:$E$11,MATCH(Details!S666,SA!$C$4:$C$11,0),MATCH(Details!V666,SA!$C$4:$E$4,0)),0)*Y666/(F666-E666+1)</f>
        <v>3809.2991506849321</v>
      </c>
      <c r="AF666" s="41">
        <f t="shared" si="286"/>
        <v>0</v>
      </c>
      <c r="AG666" s="41">
        <f t="shared" si="287"/>
        <v>0</v>
      </c>
      <c r="AH666" s="41">
        <f t="shared" si="288"/>
        <v>685.67384712328771</v>
      </c>
      <c r="AI666" s="60">
        <f t="shared" si="289"/>
        <v>152.37196602739729</v>
      </c>
      <c r="AJ666" s="60">
        <f t="shared" si="290"/>
        <v>857.0923089041097</v>
      </c>
      <c r="AK666" s="60">
        <f t="shared" si="291"/>
        <v>2632.7266301369864</v>
      </c>
      <c r="AL666" s="60">
        <f t="shared" si="292"/>
        <v>1935.0540731506849</v>
      </c>
      <c r="AM666" s="41">
        <f t="shared" si="293"/>
        <v>864.78080260274021</v>
      </c>
      <c r="AN666" s="42">
        <f t="shared" si="294"/>
        <v>45715</v>
      </c>
      <c r="AO666" s="43">
        <f t="shared" si="295"/>
        <v>3809.2991506849321</v>
      </c>
    </row>
    <row r="667" spans="1:42" ht="15" customHeight="1" x14ac:dyDescent="0.35">
      <c r="A667" s="36" t="s">
        <v>27</v>
      </c>
      <c r="B667" s="36">
        <v>202508</v>
      </c>
      <c r="C667" s="24" t="s">
        <v>128</v>
      </c>
      <c r="D667" s="24" t="s">
        <v>129</v>
      </c>
      <c r="E667" s="62">
        <v>45818</v>
      </c>
      <c r="F667" s="62">
        <v>46182</v>
      </c>
      <c r="G667" s="37" t="s">
        <v>1466</v>
      </c>
      <c r="H667" s="36">
        <v>2353</v>
      </c>
      <c r="I667" s="63">
        <v>45061</v>
      </c>
      <c r="J667" s="24" t="s">
        <v>1474</v>
      </c>
      <c r="K667" s="63">
        <f t="shared" si="279"/>
        <v>45856</v>
      </c>
      <c r="L667" s="55">
        <f t="shared" si="280"/>
        <v>0.04</v>
      </c>
      <c r="M667" s="76">
        <v>0.22500000000000001</v>
      </c>
      <c r="N667" s="62">
        <v>45856</v>
      </c>
      <c r="O667" s="62">
        <v>46182</v>
      </c>
      <c r="P667" s="63"/>
      <c r="Q667" s="63"/>
      <c r="R667" s="82">
        <v>2</v>
      </c>
      <c r="S667" s="63" t="str">
        <f>VLOOKUP(R667,SA!$B$5:$C$11,2,1)</f>
        <v>0-35</v>
      </c>
      <c r="T667" s="38" t="s">
        <v>96</v>
      </c>
      <c r="U667" s="24" t="s">
        <v>113</v>
      </c>
      <c r="V667" s="24">
        <v>300000</v>
      </c>
      <c r="W667" s="39">
        <f t="shared" si="281"/>
        <v>0</v>
      </c>
      <c r="X667" s="29">
        <f t="shared" si="282"/>
        <v>0</v>
      </c>
      <c r="Y667" s="40">
        <f t="shared" si="283"/>
        <v>327</v>
      </c>
      <c r="Z667" s="38">
        <f t="shared" si="193"/>
        <v>46081</v>
      </c>
      <c r="AA667" s="41">
        <f t="shared" si="284"/>
        <v>226</v>
      </c>
      <c r="AB667" s="24" t="s">
        <v>125</v>
      </c>
      <c r="AC667" s="41">
        <f t="shared" si="285"/>
        <v>3470.8688432876711</v>
      </c>
      <c r="AD667" s="41">
        <v>1</v>
      </c>
      <c r="AE667" s="72">
        <f>IFERROR(INDEX(SA!$C$4:$E$11,MATCH(Details!S667,SA!$C$4:$C$11,0),MATCH(Details!V667,SA!$C$4:$E$4,0)),0)*Y667/(F667-E667+1)</f>
        <v>2941.4142739726026</v>
      </c>
      <c r="AF667" s="41">
        <f t="shared" si="286"/>
        <v>0</v>
      </c>
      <c r="AG667" s="41">
        <f t="shared" si="287"/>
        <v>0</v>
      </c>
      <c r="AH667" s="41">
        <f t="shared" si="288"/>
        <v>529.4545693150684</v>
      </c>
      <c r="AI667" s="60">
        <f t="shared" si="289"/>
        <v>117.65657095890411</v>
      </c>
      <c r="AJ667" s="60">
        <f t="shared" si="290"/>
        <v>661.81821164383564</v>
      </c>
      <c r="AK667" s="60">
        <f t="shared" si="291"/>
        <v>2032.9040547945203</v>
      </c>
      <c r="AL667" s="60">
        <f t="shared" si="292"/>
        <v>1494.1844802739724</v>
      </c>
      <c r="AM667" s="41">
        <f t="shared" si="293"/>
        <v>667.7550110958905</v>
      </c>
      <c r="AN667" s="42">
        <f t="shared" si="294"/>
        <v>45715</v>
      </c>
      <c r="AO667" s="43">
        <f t="shared" si="295"/>
        <v>2941.4142739726026</v>
      </c>
    </row>
    <row r="668" spans="1:42" ht="15" customHeight="1" x14ac:dyDescent="0.35">
      <c r="A668" s="36" t="s">
        <v>27</v>
      </c>
      <c r="B668" s="36">
        <v>202508</v>
      </c>
      <c r="C668" s="24" t="s">
        <v>128</v>
      </c>
      <c r="D668" s="24" t="s">
        <v>129</v>
      </c>
      <c r="E668" s="62">
        <v>45818</v>
      </c>
      <c r="F668" s="62">
        <v>46182</v>
      </c>
      <c r="G668" s="37" t="s">
        <v>1467</v>
      </c>
      <c r="H668" s="36">
        <v>2353</v>
      </c>
      <c r="I668" s="63">
        <v>43816</v>
      </c>
      <c r="J668" s="24" t="s">
        <v>1475</v>
      </c>
      <c r="K668" s="63">
        <f t="shared" si="279"/>
        <v>45856</v>
      </c>
      <c r="L668" s="55">
        <f t="shared" si="280"/>
        <v>0.04</v>
      </c>
      <c r="M668" s="76">
        <v>0.22500000000000001</v>
      </c>
      <c r="N668" s="62">
        <v>45856</v>
      </c>
      <c r="O668" s="62">
        <v>46182</v>
      </c>
      <c r="P668" s="63"/>
      <c r="Q668" s="63"/>
      <c r="R668" s="82">
        <v>5</v>
      </c>
      <c r="S668" s="63" t="str">
        <f>VLOOKUP(R668,SA!$B$5:$C$11,2,1)</f>
        <v>0-35</v>
      </c>
      <c r="T668" s="38" t="s">
        <v>97</v>
      </c>
      <c r="U668" s="24" t="s">
        <v>114</v>
      </c>
      <c r="V668" s="24">
        <v>300000</v>
      </c>
      <c r="W668" s="39">
        <f t="shared" si="281"/>
        <v>0</v>
      </c>
      <c r="X668" s="29">
        <f t="shared" si="282"/>
        <v>0</v>
      </c>
      <c r="Y668" s="40">
        <f t="shared" si="283"/>
        <v>327</v>
      </c>
      <c r="Z668" s="38">
        <f t="shared" si="193"/>
        <v>46081</v>
      </c>
      <c r="AA668" s="41">
        <f t="shared" si="284"/>
        <v>226</v>
      </c>
      <c r="AB668" s="24" t="s">
        <v>125</v>
      </c>
      <c r="AC668" s="41">
        <f t="shared" si="285"/>
        <v>3470.8688432876711</v>
      </c>
      <c r="AD668" s="41">
        <v>1</v>
      </c>
      <c r="AE668" s="72">
        <f>IFERROR(INDEX(SA!$C$4:$E$11,MATCH(Details!S668,SA!$C$4:$C$11,0),MATCH(Details!V668,SA!$C$4:$E$4,0)),0)*Y668/(F668-E668+1)</f>
        <v>2941.4142739726026</v>
      </c>
      <c r="AF668" s="41">
        <f t="shared" si="286"/>
        <v>0</v>
      </c>
      <c r="AG668" s="41">
        <f t="shared" si="287"/>
        <v>0</v>
      </c>
      <c r="AH668" s="41">
        <f t="shared" si="288"/>
        <v>529.4545693150684</v>
      </c>
      <c r="AI668" s="60">
        <f t="shared" si="289"/>
        <v>117.65657095890411</v>
      </c>
      <c r="AJ668" s="60">
        <f t="shared" si="290"/>
        <v>661.81821164383564</v>
      </c>
      <c r="AK668" s="60">
        <f t="shared" si="291"/>
        <v>2032.9040547945203</v>
      </c>
      <c r="AL668" s="60">
        <f t="shared" si="292"/>
        <v>1494.1844802739724</v>
      </c>
      <c r="AM668" s="41">
        <f t="shared" si="293"/>
        <v>667.7550110958905</v>
      </c>
      <c r="AN668" s="42">
        <f t="shared" si="294"/>
        <v>45715</v>
      </c>
      <c r="AO668" s="43">
        <f t="shared" si="295"/>
        <v>2941.4142739726026</v>
      </c>
    </row>
    <row r="669" spans="1:42" ht="15" customHeight="1" x14ac:dyDescent="0.35">
      <c r="A669" s="36" t="s">
        <v>27</v>
      </c>
      <c r="B669" s="36">
        <v>202508</v>
      </c>
      <c r="C669" s="24" t="s">
        <v>128</v>
      </c>
      <c r="D669" s="24" t="s">
        <v>129</v>
      </c>
      <c r="E669" s="62">
        <v>45818</v>
      </c>
      <c r="F669" s="62">
        <v>46182</v>
      </c>
      <c r="G669" s="37" t="s">
        <v>1468</v>
      </c>
      <c r="H669" s="36">
        <v>2353</v>
      </c>
      <c r="I669" s="63">
        <v>34974</v>
      </c>
      <c r="J669" s="24" t="s">
        <v>1476</v>
      </c>
      <c r="K669" s="63">
        <f t="shared" si="279"/>
        <v>45856</v>
      </c>
      <c r="L669" s="55">
        <f t="shared" si="280"/>
        <v>0.04</v>
      </c>
      <c r="M669" s="76">
        <v>0.22500000000000001</v>
      </c>
      <c r="N669" s="62">
        <v>45856</v>
      </c>
      <c r="O669" s="62">
        <v>46182</v>
      </c>
      <c r="P669" s="63"/>
      <c r="Q669" s="63"/>
      <c r="R669" s="82">
        <v>29</v>
      </c>
      <c r="S669" s="63" t="str">
        <f>VLOOKUP(R669,SA!$B$5:$C$11,2,1)</f>
        <v>0-35</v>
      </c>
      <c r="T669" s="38" t="s">
        <v>96</v>
      </c>
      <c r="U669" s="24" t="s">
        <v>115</v>
      </c>
      <c r="V669" s="24">
        <v>300000</v>
      </c>
      <c r="W669" s="39">
        <f t="shared" si="281"/>
        <v>0</v>
      </c>
      <c r="X669" s="29">
        <f t="shared" si="282"/>
        <v>0</v>
      </c>
      <c r="Y669" s="40">
        <f t="shared" si="283"/>
        <v>327</v>
      </c>
      <c r="Z669" s="38">
        <f t="shared" si="193"/>
        <v>46081</v>
      </c>
      <c r="AA669" s="41">
        <f t="shared" si="284"/>
        <v>226</v>
      </c>
      <c r="AB669" s="24" t="s">
        <v>125</v>
      </c>
      <c r="AC669" s="41">
        <f t="shared" si="285"/>
        <v>3470.8688432876711</v>
      </c>
      <c r="AD669" s="41">
        <v>1</v>
      </c>
      <c r="AE669" s="72">
        <f>IFERROR(INDEX(SA!$C$4:$E$11,MATCH(Details!S669,SA!$C$4:$C$11,0),MATCH(Details!V669,SA!$C$4:$E$4,0)),0)*Y669/(F669-E669+1)</f>
        <v>2941.4142739726026</v>
      </c>
      <c r="AF669" s="41">
        <f t="shared" si="286"/>
        <v>0</v>
      </c>
      <c r="AG669" s="41">
        <f t="shared" si="287"/>
        <v>0</v>
      </c>
      <c r="AH669" s="41">
        <f t="shared" si="288"/>
        <v>529.4545693150684</v>
      </c>
      <c r="AI669" s="60">
        <f t="shared" si="289"/>
        <v>117.65657095890411</v>
      </c>
      <c r="AJ669" s="60">
        <f t="shared" si="290"/>
        <v>661.81821164383564</v>
      </c>
      <c r="AK669" s="60">
        <f t="shared" si="291"/>
        <v>2032.9040547945203</v>
      </c>
      <c r="AL669" s="60">
        <f t="shared" si="292"/>
        <v>1494.1844802739724</v>
      </c>
      <c r="AM669" s="41">
        <f t="shared" si="293"/>
        <v>667.7550110958905</v>
      </c>
      <c r="AN669" s="42">
        <f t="shared" si="294"/>
        <v>45715</v>
      </c>
      <c r="AO669" s="43">
        <f t="shared" si="295"/>
        <v>2941.4142739726026</v>
      </c>
    </row>
    <row r="670" spans="1:42" ht="15" customHeight="1" x14ac:dyDescent="0.35">
      <c r="A670" s="36" t="s">
        <v>27</v>
      </c>
      <c r="B670" s="36">
        <v>202508</v>
      </c>
      <c r="C670" s="24" t="s">
        <v>128</v>
      </c>
      <c r="D670" s="24" t="s">
        <v>129</v>
      </c>
      <c r="E670" s="62">
        <v>45818</v>
      </c>
      <c r="F670" s="62">
        <v>46182</v>
      </c>
      <c r="G670" s="37" t="s">
        <v>1469</v>
      </c>
      <c r="H670" s="36">
        <v>2352</v>
      </c>
      <c r="I670" s="63">
        <v>33950</v>
      </c>
      <c r="J670" s="24" t="s">
        <v>1477</v>
      </c>
      <c r="K670" s="63">
        <f t="shared" si="279"/>
        <v>45856</v>
      </c>
      <c r="L670" s="55">
        <f t="shared" si="280"/>
        <v>0.04</v>
      </c>
      <c r="M670" s="76">
        <v>0.22500000000000001</v>
      </c>
      <c r="N670" s="62">
        <v>45856</v>
      </c>
      <c r="O670" s="62">
        <v>46182</v>
      </c>
      <c r="P670" s="63"/>
      <c r="Q670" s="63"/>
      <c r="R670" s="82">
        <v>32</v>
      </c>
      <c r="S670" s="63" t="str">
        <f>VLOOKUP(R670,SA!$B$5:$C$11,2,1)</f>
        <v>0-35</v>
      </c>
      <c r="T670" s="38" t="s">
        <v>96</v>
      </c>
      <c r="U670" s="24" t="s">
        <v>56</v>
      </c>
      <c r="V670" s="24">
        <v>300000</v>
      </c>
      <c r="W670" s="39">
        <f t="shared" si="281"/>
        <v>300000</v>
      </c>
      <c r="X670" s="29">
        <f t="shared" si="282"/>
        <v>1</v>
      </c>
      <c r="Y670" s="40">
        <f t="shared" si="283"/>
        <v>327</v>
      </c>
      <c r="Z670" s="38">
        <f t="shared" si="193"/>
        <v>46081</v>
      </c>
      <c r="AA670" s="41">
        <f t="shared" si="284"/>
        <v>226</v>
      </c>
      <c r="AB670" s="24" t="s">
        <v>125</v>
      </c>
      <c r="AC670" s="41">
        <f t="shared" si="285"/>
        <v>3470.8688432876711</v>
      </c>
      <c r="AD670" s="41">
        <v>1</v>
      </c>
      <c r="AE670" s="72">
        <f>IFERROR(INDEX(SA!$C$4:$E$11,MATCH(Details!S670,SA!$C$4:$C$11,0),MATCH(Details!V670,SA!$C$4:$E$4,0)),0)*Y670/(F670-E670+1)</f>
        <v>2941.4142739726026</v>
      </c>
      <c r="AF670" s="41">
        <f t="shared" si="286"/>
        <v>0</v>
      </c>
      <c r="AG670" s="41">
        <f t="shared" si="287"/>
        <v>0</v>
      </c>
      <c r="AH670" s="41">
        <f t="shared" si="288"/>
        <v>529.4545693150684</v>
      </c>
      <c r="AI670" s="60">
        <f t="shared" si="289"/>
        <v>117.65657095890411</v>
      </c>
      <c r="AJ670" s="60">
        <f t="shared" si="290"/>
        <v>661.81821164383564</v>
      </c>
      <c r="AK670" s="60">
        <f t="shared" si="291"/>
        <v>2032.9040547945203</v>
      </c>
      <c r="AL670" s="60">
        <f t="shared" si="292"/>
        <v>1494.1844802739724</v>
      </c>
      <c r="AM670" s="41">
        <f t="shared" si="293"/>
        <v>667.7550110958905</v>
      </c>
      <c r="AN670" s="42">
        <f t="shared" si="294"/>
        <v>45715</v>
      </c>
      <c r="AO670" s="43">
        <f t="shared" si="295"/>
        <v>2941.4142739726026</v>
      </c>
    </row>
    <row r="671" spans="1:42" ht="15" customHeight="1" x14ac:dyDescent="0.35">
      <c r="A671" s="36" t="s">
        <v>1480</v>
      </c>
      <c r="B671" s="36">
        <v>202508</v>
      </c>
      <c r="C671" s="24" t="s">
        <v>128</v>
      </c>
      <c r="D671" s="24" t="s">
        <v>129</v>
      </c>
      <c r="E671" s="62">
        <v>45818</v>
      </c>
      <c r="F671" s="62">
        <v>46182</v>
      </c>
      <c r="G671" s="37" t="s">
        <v>572</v>
      </c>
      <c r="H671" s="36">
        <v>2221</v>
      </c>
      <c r="I671" s="63">
        <v>32502</v>
      </c>
      <c r="J671" s="24" t="s">
        <v>1221</v>
      </c>
      <c r="K671" s="63">
        <f t="shared" ref="K671" si="296">N671</f>
        <v>45818</v>
      </c>
      <c r="L671" s="55">
        <f t="shared" ref="L671" si="297">IF(K671&gt;=DATE(2022,4,1),4%,5%)</f>
        <v>0.04</v>
      </c>
      <c r="M671" s="76">
        <v>0.22500000000000001</v>
      </c>
      <c r="N671" s="62">
        <v>45818</v>
      </c>
      <c r="O671" s="62">
        <v>46182</v>
      </c>
      <c r="P671" s="63">
        <v>45869</v>
      </c>
      <c r="Q671" s="63">
        <f>P671+1</f>
        <v>45870</v>
      </c>
      <c r="R671" s="82">
        <v>36</v>
      </c>
      <c r="S671" s="63" t="str">
        <f>VLOOKUP(R671,SA!$B$5:$C$11,2,1)</f>
        <v>36-45</v>
      </c>
      <c r="T671" s="38" t="s">
        <v>96</v>
      </c>
      <c r="U671" s="24" t="s">
        <v>56</v>
      </c>
      <c r="V671" s="24">
        <v>-300000</v>
      </c>
      <c r="W671" s="39">
        <f t="shared" ref="W671" si="298">IF(U671="self",V671,0)</f>
        <v>-300000</v>
      </c>
      <c r="X671" s="29">
        <f>IF(U671="self",-1,0)</f>
        <v>-1</v>
      </c>
      <c r="Y671" s="40">
        <f>O671-Q671+1</f>
        <v>313</v>
      </c>
      <c r="Z671" s="38">
        <f t="shared" si="193"/>
        <v>46081</v>
      </c>
      <c r="AA671" s="41">
        <f>IF(MIN((Z671-Q671)+1,Y671)&lt;0,0,MIN((Z671-Q671)+1,Y671))</f>
        <v>212</v>
      </c>
      <c r="AB671" s="24" t="s">
        <v>125</v>
      </c>
      <c r="AC671" s="41">
        <f t="shared" ref="AC671" si="299">AE671+AF671+AG671+AH671</f>
        <v>0</v>
      </c>
      <c r="AD671" s="41">
        <v>-1</v>
      </c>
      <c r="AE671" s="83">
        <f>IFERROR(INDEX(SA!$C$4:$E$11,MATCH(Details!S671,SA!$C$4:$C$11,0),MATCH(Details!V671,SA!$C$4:$E$4,0)),0)*Y671/(F671-E671+1)*0</f>
        <v>0</v>
      </c>
      <c r="AF671" s="41">
        <f t="shared" ref="AF671" si="300">IF(AB671="Karnataka",AE671*9%,0)</f>
        <v>0</v>
      </c>
      <c r="AG671" s="41">
        <f t="shared" ref="AG671" si="301">IF(AB671="Karnataka",AE671*9%,0)</f>
        <v>0</v>
      </c>
      <c r="AH671" s="41">
        <f t="shared" ref="AH671" si="302">IF(AF671+AG671&gt;0,0,AE671*18%)</f>
        <v>0</v>
      </c>
      <c r="AI671" s="60">
        <f t="shared" ref="AI671" si="303">AE671*L671</f>
        <v>0</v>
      </c>
      <c r="AJ671" s="60">
        <f t="shared" ref="AJ671" si="304">$AE671*M671</f>
        <v>0</v>
      </c>
      <c r="AK671" s="60">
        <f t="shared" ref="AK671" si="305">(AE671)*AA671/Y671</f>
        <v>0</v>
      </c>
      <c r="AL671" s="60">
        <f t="shared" ref="AL671" si="306">AK671*(1-L671-M671)</f>
        <v>0</v>
      </c>
      <c r="AM671" s="41">
        <f t="shared" ref="AM671" si="307">AE671-AI671-AL671-AJ671</f>
        <v>0</v>
      </c>
      <c r="AN671" s="42">
        <f t="shared" ref="AN671" si="308">Z671-366</f>
        <v>45715</v>
      </c>
      <c r="AO671" s="43">
        <f t="shared" ref="AO671" si="309">IF(AND(O671&gt;Z671,N671&gt;AN671),AE671,0)</f>
        <v>0</v>
      </c>
      <c r="AP671" s="3" t="s">
        <v>1481</v>
      </c>
    </row>
    <row r="672" spans="1:42" ht="15" customHeight="1" x14ac:dyDescent="0.35">
      <c r="A672" s="36" t="s">
        <v>1480</v>
      </c>
      <c r="B672" s="36">
        <v>202508</v>
      </c>
      <c r="C672" s="24" t="s">
        <v>128</v>
      </c>
      <c r="D672" s="24" t="s">
        <v>129</v>
      </c>
      <c r="E672" s="62">
        <v>45818</v>
      </c>
      <c r="F672" s="62">
        <v>46182</v>
      </c>
      <c r="G672" s="37" t="s">
        <v>573</v>
      </c>
      <c r="H672" s="36">
        <v>2221</v>
      </c>
      <c r="I672" s="63">
        <v>32976</v>
      </c>
      <c r="J672" s="24" t="s">
        <v>1222</v>
      </c>
      <c r="K672" s="63">
        <f t="shared" ref="K672:K673" si="310">N672</f>
        <v>45818</v>
      </c>
      <c r="L672" s="55">
        <f t="shared" ref="L672:L673" si="311">IF(K672&gt;=DATE(2022,4,1),4%,5%)</f>
        <v>0.04</v>
      </c>
      <c r="M672" s="76">
        <v>0.22500000000000001</v>
      </c>
      <c r="N672" s="62">
        <v>45818</v>
      </c>
      <c r="O672" s="62">
        <v>46182</v>
      </c>
      <c r="P672" s="63">
        <v>45869</v>
      </c>
      <c r="Q672" s="63">
        <f t="shared" ref="Q672:Q673" si="312">P672+1</f>
        <v>45870</v>
      </c>
      <c r="R672" s="82">
        <v>35</v>
      </c>
      <c r="S672" s="63" t="str">
        <f>VLOOKUP(R672,SA!$B$5:$C$11,2,1)</f>
        <v>0-35</v>
      </c>
      <c r="T672" s="38" t="s">
        <v>97</v>
      </c>
      <c r="U672" s="24" t="s">
        <v>115</v>
      </c>
      <c r="V672" s="24">
        <v>-300000</v>
      </c>
      <c r="W672" s="39">
        <f t="shared" ref="W672:W673" si="313">IF(U672="self",V672,0)</f>
        <v>0</v>
      </c>
      <c r="X672" s="29">
        <f>IF(U672="self",-1,0)</f>
        <v>0</v>
      </c>
      <c r="Y672" s="40">
        <f>O672-Q672+1</f>
        <v>313</v>
      </c>
      <c r="Z672" s="38">
        <f t="shared" si="193"/>
        <v>46081</v>
      </c>
      <c r="AA672" s="41">
        <f>IF(MIN((Z672-Q672)+1,Y672)&lt;0,0,MIN((Z672-Q672)+1,Y672))</f>
        <v>212</v>
      </c>
      <c r="AB672" s="24" t="s">
        <v>125</v>
      </c>
      <c r="AC672" s="41">
        <f t="shared" ref="AC672:AC673" si="314">AE672+AF672+AG672+AH672</f>
        <v>0</v>
      </c>
      <c r="AD672" s="41">
        <v>-1</v>
      </c>
      <c r="AE672" s="83">
        <f>IFERROR(INDEX(SA!$C$4:$E$11,MATCH(Details!S672,SA!$C$4:$C$11,0),MATCH(Details!V672,SA!$C$4:$E$4,0)),0)*Y672/(F672-E672+1)*0</f>
        <v>0</v>
      </c>
      <c r="AF672" s="41">
        <f t="shared" ref="AF672:AF673" si="315">IF(AB672="Karnataka",AE672*9%,0)</f>
        <v>0</v>
      </c>
      <c r="AG672" s="41">
        <f t="shared" ref="AG672:AG673" si="316">IF(AB672="Karnataka",AE672*9%,0)</f>
        <v>0</v>
      </c>
      <c r="AH672" s="41">
        <f t="shared" ref="AH672:AH673" si="317">IF(AF672+AG672&gt;0,0,AE672*18%)</f>
        <v>0</v>
      </c>
      <c r="AI672" s="60">
        <f t="shared" ref="AI672:AI673" si="318">AE672*L672</f>
        <v>0</v>
      </c>
      <c r="AJ672" s="60">
        <f t="shared" ref="AJ672:AJ673" si="319">$AE672*M672</f>
        <v>0</v>
      </c>
      <c r="AK672" s="60">
        <f t="shared" ref="AK672:AK673" si="320">(AE672)*AA672/Y672</f>
        <v>0</v>
      </c>
      <c r="AL672" s="60">
        <f t="shared" ref="AL672:AL673" si="321">AK672*(1-L672-M672)</f>
        <v>0</v>
      </c>
      <c r="AM672" s="41">
        <f t="shared" ref="AM672:AM673" si="322">AE672-AI672-AL672-AJ672</f>
        <v>0</v>
      </c>
      <c r="AN672" s="42">
        <f t="shared" ref="AN672:AN673" si="323">Z672-366</f>
        <v>45715</v>
      </c>
      <c r="AO672" s="43">
        <f t="shared" ref="AO672:AO673" si="324">IF(AND(O672&gt;Z672,N672&gt;AN672),AE672,0)</f>
        <v>0</v>
      </c>
      <c r="AP672" s="3" t="s">
        <v>1481</v>
      </c>
    </row>
    <row r="673" spans="1:42" ht="15" customHeight="1" x14ac:dyDescent="0.35">
      <c r="A673" s="36" t="s">
        <v>1480</v>
      </c>
      <c r="B673" s="36">
        <v>202508</v>
      </c>
      <c r="C673" s="24" t="s">
        <v>128</v>
      </c>
      <c r="D673" s="24" t="s">
        <v>129</v>
      </c>
      <c r="E673" s="62">
        <v>45818</v>
      </c>
      <c r="F673" s="62">
        <v>46182</v>
      </c>
      <c r="G673" s="37" t="s">
        <v>574</v>
      </c>
      <c r="H673" s="36">
        <v>2221</v>
      </c>
      <c r="I673" s="63">
        <v>44680</v>
      </c>
      <c r="J673" s="24" t="s">
        <v>1223</v>
      </c>
      <c r="K673" s="63">
        <f t="shared" si="310"/>
        <v>45818</v>
      </c>
      <c r="L673" s="55">
        <f t="shared" si="311"/>
        <v>0.04</v>
      </c>
      <c r="M673" s="76">
        <v>0.22500000000000001</v>
      </c>
      <c r="N673" s="62">
        <v>45818</v>
      </c>
      <c r="O673" s="62">
        <v>46182</v>
      </c>
      <c r="P673" s="63">
        <v>45869</v>
      </c>
      <c r="Q673" s="63">
        <f t="shared" si="312"/>
        <v>45870</v>
      </c>
      <c r="R673" s="82">
        <v>3</v>
      </c>
      <c r="S673" s="63" t="str">
        <f>VLOOKUP(R673,SA!$B$5:$C$11,2,1)</f>
        <v>0-35</v>
      </c>
      <c r="T673" s="38" t="s">
        <v>97</v>
      </c>
      <c r="U673" s="24" t="s">
        <v>113</v>
      </c>
      <c r="V673" s="24">
        <v>-300000</v>
      </c>
      <c r="W673" s="39">
        <f t="shared" si="313"/>
        <v>0</v>
      </c>
      <c r="X673" s="29">
        <f>IF(U673="self",-1,0)</f>
        <v>0</v>
      </c>
      <c r="Y673" s="40">
        <f>O673-Q673+1</f>
        <v>313</v>
      </c>
      <c r="Z673" s="38">
        <f t="shared" si="193"/>
        <v>46081</v>
      </c>
      <c r="AA673" s="41">
        <f>IF(MIN((Z673-Q673)+1,Y673)&lt;0,0,MIN((Z673-Q673)+1,Y673))</f>
        <v>212</v>
      </c>
      <c r="AB673" s="24" t="s">
        <v>125</v>
      </c>
      <c r="AC673" s="41">
        <f t="shared" si="314"/>
        <v>0</v>
      </c>
      <c r="AD673" s="41">
        <v>-1</v>
      </c>
      <c r="AE673" s="83">
        <f>IFERROR(INDEX(SA!$C$4:$E$11,MATCH(Details!S673,SA!$C$4:$C$11,0),MATCH(Details!V673,SA!$C$4:$E$4,0)),0)*Y673/(F673-E673+1)*0</f>
        <v>0</v>
      </c>
      <c r="AF673" s="41">
        <f t="shared" si="315"/>
        <v>0</v>
      </c>
      <c r="AG673" s="41">
        <f t="shared" si="316"/>
        <v>0</v>
      </c>
      <c r="AH673" s="41">
        <f t="shared" si="317"/>
        <v>0</v>
      </c>
      <c r="AI673" s="60">
        <f t="shared" si="318"/>
        <v>0</v>
      </c>
      <c r="AJ673" s="60">
        <f t="shared" si="319"/>
        <v>0</v>
      </c>
      <c r="AK673" s="60">
        <f t="shared" si="320"/>
        <v>0</v>
      </c>
      <c r="AL673" s="60">
        <f t="shared" si="321"/>
        <v>0</v>
      </c>
      <c r="AM673" s="41">
        <f t="shared" si="322"/>
        <v>0</v>
      </c>
      <c r="AN673" s="42">
        <f t="shared" si="323"/>
        <v>45715</v>
      </c>
      <c r="AO673" s="43">
        <f t="shared" si="324"/>
        <v>0</v>
      </c>
      <c r="AP673" s="3" t="s">
        <v>1481</v>
      </c>
    </row>
    <row r="674" spans="1:42" ht="15" customHeight="1" x14ac:dyDescent="0.35">
      <c r="A674" s="36" t="s">
        <v>27</v>
      </c>
      <c r="B674" s="36">
        <v>202509</v>
      </c>
      <c r="C674" s="24" t="s">
        <v>128</v>
      </c>
      <c r="D674" s="24" t="s">
        <v>129</v>
      </c>
      <c r="E674" s="62">
        <v>45818</v>
      </c>
      <c r="F674" s="62">
        <v>46182</v>
      </c>
      <c r="G674" s="37" t="s">
        <v>1483</v>
      </c>
      <c r="H674" s="36">
        <v>2359</v>
      </c>
      <c r="I674" s="63" t="s">
        <v>1484</v>
      </c>
      <c r="J674" s="24" t="s">
        <v>1491</v>
      </c>
      <c r="K674" s="63">
        <f t="shared" ref="K674" si="325">N674</f>
        <v>45888</v>
      </c>
      <c r="L674" s="55">
        <f t="shared" ref="L674" si="326">IF(K674&gt;=DATE(2022,4,1),4%,5%)</f>
        <v>0.04</v>
      </c>
      <c r="M674" s="76">
        <v>0.22500000000000001</v>
      </c>
      <c r="N674" s="62">
        <v>45888</v>
      </c>
      <c r="O674" s="62">
        <v>46182</v>
      </c>
      <c r="P674" s="63"/>
      <c r="Q674" s="63"/>
      <c r="R674" s="82">
        <v>36</v>
      </c>
      <c r="S674" s="63" t="str">
        <f>VLOOKUP(R674,SA!$B$5:$C$11,2,1)</f>
        <v>36-45</v>
      </c>
      <c r="T674" s="38" t="s">
        <v>1495</v>
      </c>
      <c r="U674" s="24" t="s">
        <v>56</v>
      </c>
      <c r="V674" s="24">
        <v>300000</v>
      </c>
      <c r="W674" s="39">
        <f t="shared" ref="W674" si="327">IF(U674="self",V674,0)</f>
        <v>300000</v>
      </c>
      <c r="X674" s="29">
        <f t="shared" ref="X674" si="328">IF(U674="self",1,0)</f>
        <v>1</v>
      </c>
      <c r="Y674" s="40">
        <f t="shared" ref="Y674" si="329">O674-N674+1</f>
        <v>295</v>
      </c>
      <c r="Z674" s="38">
        <f t="shared" si="193"/>
        <v>46081</v>
      </c>
      <c r="AA674" s="41">
        <f t="shared" ref="AA674" si="330">IF(MIN((Z674-N674)+1,Y674)&lt;0,0,MIN((Z674-N674)+1,Y674))</f>
        <v>194</v>
      </c>
      <c r="AB674" s="24" t="s">
        <v>125</v>
      </c>
      <c r="AC674" s="41">
        <f t="shared" ref="AC674" si="331">AE674+AF674+AG674+AH674</f>
        <v>4055.0979643835622</v>
      </c>
      <c r="AD674" s="41">
        <v>1</v>
      </c>
      <c r="AE674" s="72">
        <f>IFERROR(INDEX(SA!$C$4:$E$11,MATCH(Details!S674,SA!$C$4:$C$11,0),MATCH(Details!V674,SA!$C$4:$E$4,0)),0)*Y674/(F674-E674+1)</f>
        <v>3436.5236986301375</v>
      </c>
      <c r="AF674" s="41">
        <f t="shared" ref="AF674" si="332">IF(AB674="Karnataka",AE674*9%,0)</f>
        <v>0</v>
      </c>
      <c r="AG674" s="41">
        <f t="shared" ref="AG674" si="333">IF(AB674="Karnataka",AE674*9%,0)</f>
        <v>0</v>
      </c>
      <c r="AH674" s="41">
        <f t="shared" ref="AH674" si="334">IF(AF674+AG674&gt;0,0,AE674*18%)</f>
        <v>618.5742657534247</v>
      </c>
      <c r="AI674" s="60">
        <f t="shared" ref="AI674" si="335">AE674*L674</f>
        <v>137.4609479452055</v>
      </c>
      <c r="AJ674" s="60">
        <f t="shared" ref="AJ674" si="336">$AE674*M674</f>
        <v>773.21783219178099</v>
      </c>
      <c r="AK674" s="60">
        <f t="shared" ref="AK674" si="337">(AE674)*AA674/Y674</f>
        <v>2259.9511780821917</v>
      </c>
      <c r="AL674" s="60">
        <f t="shared" ref="AL674" si="338">AK674*(1-L674-M674)</f>
        <v>1661.0641158904109</v>
      </c>
      <c r="AM674" s="41">
        <f t="shared" ref="AM674" si="339">AE674-AI674-AL674-AJ674</f>
        <v>864.78080260273998</v>
      </c>
      <c r="AN674" s="42">
        <f t="shared" ref="AN674" si="340">Z674-366</f>
        <v>45715</v>
      </c>
      <c r="AO674" s="43">
        <f t="shared" ref="AO674" si="341">IF(AND(O674&gt;Z674,N674&gt;AN674),AE674,0)</f>
        <v>3436.5236986301375</v>
      </c>
    </row>
    <row r="675" spans="1:42" ht="15" customHeight="1" x14ac:dyDescent="0.35">
      <c r="A675" s="36" t="s">
        <v>27</v>
      </c>
      <c r="B675" s="36">
        <v>202509</v>
      </c>
      <c r="C675" s="24" t="s">
        <v>128</v>
      </c>
      <c r="D675" s="24" t="s">
        <v>129</v>
      </c>
      <c r="E675" s="62">
        <v>45818</v>
      </c>
      <c r="F675" s="62">
        <v>46182</v>
      </c>
      <c r="G675" s="37" t="s">
        <v>1485</v>
      </c>
      <c r="H675" s="36">
        <v>2359</v>
      </c>
      <c r="I675" s="63" t="s">
        <v>1486</v>
      </c>
      <c r="J675" s="24" t="s">
        <v>1492</v>
      </c>
      <c r="K675" s="63">
        <f t="shared" ref="K675:K677" si="342">N675</f>
        <v>45888</v>
      </c>
      <c r="L675" s="55">
        <f t="shared" ref="L675:L677" si="343">IF(K675&gt;=DATE(2022,4,1),4%,5%)</f>
        <v>0.04</v>
      </c>
      <c r="M675" s="76">
        <v>0.22500000000000001</v>
      </c>
      <c r="N675" s="62">
        <v>45888</v>
      </c>
      <c r="O675" s="62">
        <v>46182</v>
      </c>
      <c r="P675" s="63"/>
      <c r="Q675" s="63"/>
      <c r="R675" s="82">
        <v>33</v>
      </c>
      <c r="S675" s="63" t="str">
        <f>VLOOKUP(R675,SA!$B$5:$C$11,2,1)</f>
        <v>0-35</v>
      </c>
      <c r="T675" s="38" t="s">
        <v>1496</v>
      </c>
      <c r="U675" s="24" t="s">
        <v>115</v>
      </c>
      <c r="V675" s="24">
        <v>300000</v>
      </c>
      <c r="W675" s="39">
        <f t="shared" ref="W675:W677" si="344">IF(U675="self",V675,0)</f>
        <v>0</v>
      </c>
      <c r="X675" s="29">
        <f t="shared" ref="X675:X677" si="345">IF(U675="self",1,0)</f>
        <v>0</v>
      </c>
      <c r="Y675" s="40">
        <f t="shared" ref="Y675:Y677" si="346">O675-N675+1</f>
        <v>295</v>
      </c>
      <c r="Z675" s="38">
        <f t="shared" si="193"/>
        <v>46081</v>
      </c>
      <c r="AA675" s="41">
        <f t="shared" ref="AA675:AA677" si="347">IF(MIN((Z675-N675)+1,Y675)&lt;0,0,MIN((Z675-N675)+1,Y675))</f>
        <v>194</v>
      </c>
      <c r="AB675" s="24" t="s">
        <v>125</v>
      </c>
      <c r="AC675" s="41">
        <f t="shared" ref="AC675:AC677" si="348">AE675+AF675+AG675+AH675</f>
        <v>3131.2119534246576</v>
      </c>
      <c r="AD675" s="41">
        <v>1</v>
      </c>
      <c r="AE675" s="72">
        <f>IFERROR(INDEX(SA!$C$4:$E$11,MATCH(Details!S675,SA!$C$4:$C$11,0),MATCH(Details!V675,SA!$C$4:$E$4,0)),0)*Y675/(F675-E675+1)</f>
        <v>2653.5694520547945</v>
      </c>
      <c r="AF675" s="41">
        <f t="shared" ref="AF675:AF677" si="349">IF(AB675="Karnataka",AE675*9%,0)</f>
        <v>0</v>
      </c>
      <c r="AG675" s="41">
        <f t="shared" ref="AG675:AG677" si="350">IF(AB675="Karnataka",AE675*9%,0)</f>
        <v>0</v>
      </c>
      <c r="AH675" s="41">
        <f t="shared" ref="AH675:AH677" si="351">IF(AF675+AG675&gt;0,0,AE675*18%)</f>
        <v>477.642501369863</v>
      </c>
      <c r="AI675" s="60">
        <f t="shared" ref="AI675:AI677" si="352">AE675*L675</f>
        <v>106.14277808219178</v>
      </c>
      <c r="AJ675" s="60">
        <f t="shared" ref="AJ675:AJ677" si="353">$AE675*M675</f>
        <v>597.05312671232878</v>
      </c>
      <c r="AK675" s="60">
        <f t="shared" ref="AK675:AK677" si="354">(AE675)*AA675/Y675</f>
        <v>1745.0592328767123</v>
      </c>
      <c r="AL675" s="60">
        <f t="shared" ref="AL675:AL677" si="355">AK675*(1-L675-M675)</f>
        <v>1282.6185361643834</v>
      </c>
      <c r="AM675" s="41">
        <f t="shared" ref="AM675:AM677" si="356">AE675-AI675-AL675-AJ675</f>
        <v>667.7550110958905</v>
      </c>
      <c r="AN675" s="42">
        <f t="shared" ref="AN675:AN677" si="357">Z675-366</f>
        <v>45715</v>
      </c>
      <c r="AO675" s="43">
        <f t="shared" ref="AO675:AO677" si="358">IF(AND(O675&gt;Z675,N675&gt;AN675),AE675,0)</f>
        <v>2653.5694520547945</v>
      </c>
    </row>
    <row r="676" spans="1:42" ht="15" customHeight="1" x14ac:dyDescent="0.35">
      <c r="A676" s="36" t="s">
        <v>27</v>
      </c>
      <c r="B676" s="36">
        <v>202509</v>
      </c>
      <c r="C676" s="24" t="s">
        <v>128</v>
      </c>
      <c r="D676" s="24" t="s">
        <v>129</v>
      </c>
      <c r="E676" s="62">
        <v>45818</v>
      </c>
      <c r="F676" s="62">
        <v>46182</v>
      </c>
      <c r="G676" s="37" t="s">
        <v>1487</v>
      </c>
      <c r="H676" s="36">
        <v>2359</v>
      </c>
      <c r="I676" s="63" t="s">
        <v>1488</v>
      </c>
      <c r="J676" s="24" t="s">
        <v>1493</v>
      </c>
      <c r="K676" s="63">
        <f t="shared" si="342"/>
        <v>45888</v>
      </c>
      <c r="L676" s="55">
        <f t="shared" si="343"/>
        <v>0.04</v>
      </c>
      <c r="M676" s="76">
        <v>0.22500000000000001</v>
      </c>
      <c r="N676" s="62">
        <v>45888</v>
      </c>
      <c r="O676" s="62">
        <v>46182</v>
      </c>
      <c r="P676" s="63"/>
      <c r="Q676" s="63"/>
      <c r="R676" s="82">
        <v>12</v>
      </c>
      <c r="S676" s="63" t="str">
        <f>VLOOKUP(R676,SA!$B$5:$C$11,2,1)</f>
        <v>0-35</v>
      </c>
      <c r="T676" s="38" t="s">
        <v>1495</v>
      </c>
      <c r="U676" s="24" t="s">
        <v>114</v>
      </c>
      <c r="V676" s="24">
        <v>300000</v>
      </c>
      <c r="W676" s="39">
        <f t="shared" si="344"/>
        <v>0</v>
      </c>
      <c r="X676" s="29">
        <f t="shared" si="345"/>
        <v>0</v>
      </c>
      <c r="Y676" s="40">
        <f t="shared" si="346"/>
        <v>295</v>
      </c>
      <c r="Z676" s="38">
        <f t="shared" si="193"/>
        <v>46081</v>
      </c>
      <c r="AA676" s="41">
        <f t="shared" si="347"/>
        <v>194</v>
      </c>
      <c r="AB676" s="24" t="s">
        <v>125</v>
      </c>
      <c r="AC676" s="41">
        <f t="shared" si="348"/>
        <v>3131.2119534246576</v>
      </c>
      <c r="AD676" s="41">
        <v>1</v>
      </c>
      <c r="AE676" s="72">
        <f>IFERROR(INDEX(SA!$C$4:$E$11,MATCH(Details!S676,SA!$C$4:$C$11,0),MATCH(Details!V676,SA!$C$4:$E$4,0)),0)*Y676/(F676-E676+1)</f>
        <v>2653.5694520547945</v>
      </c>
      <c r="AF676" s="41">
        <f t="shared" si="349"/>
        <v>0</v>
      </c>
      <c r="AG676" s="41">
        <f t="shared" si="350"/>
        <v>0</v>
      </c>
      <c r="AH676" s="41">
        <f t="shared" si="351"/>
        <v>477.642501369863</v>
      </c>
      <c r="AI676" s="60">
        <f t="shared" si="352"/>
        <v>106.14277808219178</v>
      </c>
      <c r="AJ676" s="60">
        <f t="shared" si="353"/>
        <v>597.05312671232878</v>
      </c>
      <c r="AK676" s="60">
        <f t="shared" si="354"/>
        <v>1745.0592328767123</v>
      </c>
      <c r="AL676" s="60">
        <f t="shared" si="355"/>
        <v>1282.6185361643834</v>
      </c>
      <c r="AM676" s="41">
        <f t="shared" si="356"/>
        <v>667.7550110958905</v>
      </c>
      <c r="AN676" s="42">
        <f t="shared" si="357"/>
        <v>45715</v>
      </c>
      <c r="AO676" s="43">
        <f t="shared" si="358"/>
        <v>2653.5694520547945</v>
      </c>
    </row>
    <row r="677" spans="1:42" ht="15" customHeight="1" x14ac:dyDescent="0.35">
      <c r="A677" s="36" t="s">
        <v>27</v>
      </c>
      <c r="B677" s="36">
        <v>202509</v>
      </c>
      <c r="C677" s="24" t="s">
        <v>128</v>
      </c>
      <c r="D677" s="24" t="s">
        <v>129</v>
      </c>
      <c r="E677" s="62">
        <v>45818</v>
      </c>
      <c r="F677" s="62">
        <v>46182</v>
      </c>
      <c r="G677" s="37" t="s">
        <v>1489</v>
      </c>
      <c r="H677" s="36">
        <v>2359</v>
      </c>
      <c r="I677" s="63" t="s">
        <v>1490</v>
      </c>
      <c r="J677" s="24" t="s">
        <v>1494</v>
      </c>
      <c r="K677" s="63">
        <f t="shared" si="342"/>
        <v>45888</v>
      </c>
      <c r="L677" s="55">
        <f t="shared" si="343"/>
        <v>0.04</v>
      </c>
      <c r="M677" s="76">
        <v>0.22500000000000001</v>
      </c>
      <c r="N677" s="62">
        <v>45888</v>
      </c>
      <c r="O677" s="62">
        <v>46182</v>
      </c>
      <c r="P677" s="63"/>
      <c r="Q677" s="63"/>
      <c r="R677" s="82">
        <v>7</v>
      </c>
      <c r="S677" s="63" t="str">
        <f>VLOOKUP(R677,SA!$B$5:$C$11,2,1)</f>
        <v>0-35</v>
      </c>
      <c r="T677" s="38" t="s">
        <v>1496</v>
      </c>
      <c r="U677" s="24" t="s">
        <v>113</v>
      </c>
      <c r="V677" s="24">
        <v>300000</v>
      </c>
      <c r="W677" s="39">
        <f t="shared" si="344"/>
        <v>0</v>
      </c>
      <c r="X677" s="29">
        <f t="shared" si="345"/>
        <v>0</v>
      </c>
      <c r="Y677" s="40">
        <f t="shared" si="346"/>
        <v>295</v>
      </c>
      <c r="Z677" s="38">
        <f t="shared" si="193"/>
        <v>46081</v>
      </c>
      <c r="AA677" s="41">
        <f t="shared" si="347"/>
        <v>194</v>
      </c>
      <c r="AB677" s="24" t="s">
        <v>125</v>
      </c>
      <c r="AC677" s="41">
        <f t="shared" si="348"/>
        <v>3131.2119534246576</v>
      </c>
      <c r="AD677" s="41">
        <v>1</v>
      </c>
      <c r="AE677" s="72">
        <f>IFERROR(INDEX(SA!$C$4:$E$11,MATCH(Details!S677,SA!$C$4:$C$11,0),MATCH(Details!V677,SA!$C$4:$E$4,0)),0)*Y677/(F677-E677+1)</f>
        <v>2653.5694520547945</v>
      </c>
      <c r="AF677" s="41">
        <f t="shared" si="349"/>
        <v>0</v>
      </c>
      <c r="AG677" s="41">
        <f t="shared" si="350"/>
        <v>0</v>
      </c>
      <c r="AH677" s="41">
        <f t="shared" si="351"/>
        <v>477.642501369863</v>
      </c>
      <c r="AI677" s="60">
        <f t="shared" si="352"/>
        <v>106.14277808219178</v>
      </c>
      <c r="AJ677" s="60">
        <f t="shared" si="353"/>
        <v>597.05312671232878</v>
      </c>
      <c r="AK677" s="60">
        <f t="shared" si="354"/>
        <v>1745.0592328767123</v>
      </c>
      <c r="AL677" s="60">
        <f t="shared" si="355"/>
        <v>1282.6185361643834</v>
      </c>
      <c r="AM677" s="41">
        <f t="shared" si="356"/>
        <v>667.7550110958905</v>
      </c>
      <c r="AN677" s="42">
        <f t="shared" si="357"/>
        <v>45715</v>
      </c>
      <c r="AO677" s="43">
        <f t="shared" si="358"/>
        <v>2653.5694520547945</v>
      </c>
    </row>
    <row r="678" spans="1:42" ht="15" customHeight="1" x14ac:dyDescent="0.35">
      <c r="A678" s="36" t="s">
        <v>1480</v>
      </c>
      <c r="B678" s="36">
        <v>202509</v>
      </c>
      <c r="C678" s="24" t="s">
        <v>128</v>
      </c>
      <c r="D678" s="24" t="s">
        <v>129</v>
      </c>
      <c r="E678" s="62">
        <v>45818</v>
      </c>
      <c r="F678" s="62">
        <v>46182</v>
      </c>
      <c r="G678" s="37" t="s">
        <v>1483</v>
      </c>
      <c r="H678" s="36">
        <v>2359</v>
      </c>
      <c r="I678" s="63" t="s">
        <v>1484</v>
      </c>
      <c r="J678" s="24" t="s">
        <v>1491</v>
      </c>
      <c r="K678" s="63">
        <f t="shared" ref="K678" si="359">N678</f>
        <v>45888</v>
      </c>
      <c r="L678" s="55">
        <f t="shared" ref="L678" si="360">IF(K678&gt;=DATE(2022,4,1),4%,5%)</f>
        <v>0.04</v>
      </c>
      <c r="M678" s="76">
        <v>0.22500000000000001</v>
      </c>
      <c r="N678" s="62">
        <v>45888</v>
      </c>
      <c r="O678" s="62">
        <v>46182</v>
      </c>
      <c r="P678" s="63">
        <v>45887</v>
      </c>
      <c r="Q678" s="63">
        <f t="shared" ref="Q678" si="361">P678+1</f>
        <v>45888</v>
      </c>
      <c r="R678" s="82">
        <v>36</v>
      </c>
      <c r="S678" s="63" t="str">
        <f>VLOOKUP(R678,SA!$B$5:$C$11,2,1)</f>
        <v>36-45</v>
      </c>
      <c r="T678" s="38" t="s">
        <v>1495</v>
      </c>
      <c r="U678" s="24" t="s">
        <v>56</v>
      </c>
      <c r="V678" s="24">
        <v>-300000</v>
      </c>
      <c r="W678" s="39">
        <f t="shared" ref="W678" si="362">IF(U678="self",V678,0)</f>
        <v>-300000</v>
      </c>
      <c r="X678" s="29">
        <f>IF(U678="self",-1,0)</f>
        <v>-1</v>
      </c>
      <c r="Y678" s="40">
        <f>O678-Q678+1</f>
        <v>295</v>
      </c>
      <c r="Z678" s="38">
        <f t="shared" si="193"/>
        <v>46081</v>
      </c>
      <c r="AA678" s="41">
        <f>IF(MIN((Z678-Q678)+1,Y678)&lt;0,0,MIN((Z678-Q678)+1,Y678))</f>
        <v>194</v>
      </c>
      <c r="AB678" s="24" t="s">
        <v>125</v>
      </c>
      <c r="AC678" s="41">
        <f t="shared" ref="AC678" si="363">AE678+AF678+AG678+AH678</f>
        <v>-4055.0979643835622</v>
      </c>
      <c r="AD678" s="41">
        <v>-1</v>
      </c>
      <c r="AE678" s="72">
        <f>-IFERROR(INDEX(SA!$C$4:$E$11,MATCH(Details!S678,SA!$C$4:$C$11,0),MATCH(-Details!V678,SA!$C$4:$E$4,0)),0)*Y678/(F678-E678+1)</f>
        <v>-3436.5236986301375</v>
      </c>
      <c r="AF678" s="41">
        <f t="shared" ref="AF678" si="364">IF(AB678="Karnataka",AE678*9%,0)</f>
        <v>0</v>
      </c>
      <c r="AG678" s="41">
        <f t="shared" ref="AG678" si="365">IF(AB678="Karnataka",AE678*9%,0)</f>
        <v>0</v>
      </c>
      <c r="AH678" s="41">
        <f t="shared" ref="AH678" si="366">IF(AF678+AG678&gt;0,0,AE678*18%)</f>
        <v>-618.5742657534247</v>
      </c>
      <c r="AI678" s="60">
        <f t="shared" ref="AI678" si="367">AE678*L678</f>
        <v>-137.4609479452055</v>
      </c>
      <c r="AJ678" s="60">
        <f t="shared" ref="AJ678" si="368">$AE678*M678</f>
        <v>-773.21783219178099</v>
      </c>
      <c r="AK678" s="60">
        <f t="shared" ref="AK678" si="369">(AE678)*AA678/Y678</f>
        <v>-2259.9511780821917</v>
      </c>
      <c r="AL678" s="60">
        <f t="shared" ref="AL678" si="370">AK678*(1-L678-M678)</f>
        <v>-1661.0641158904109</v>
      </c>
      <c r="AM678" s="41">
        <f t="shared" ref="AM678" si="371">AE678-AI678-AL678-AJ678</f>
        <v>-864.78080260273998</v>
      </c>
      <c r="AN678" s="42">
        <f t="shared" ref="AN678" si="372">Z678-366</f>
        <v>45715</v>
      </c>
      <c r="AO678" s="43">
        <f t="shared" ref="AO678" si="373">IF(AND(O678&gt;Z678,N678&gt;AN678),AE678,0)</f>
        <v>-3436.5236986301375</v>
      </c>
      <c r="AP678" s="3" t="s">
        <v>1497</v>
      </c>
    </row>
    <row r="679" spans="1:42" ht="15" customHeight="1" x14ac:dyDescent="0.35">
      <c r="A679" s="36" t="s">
        <v>1480</v>
      </c>
      <c r="B679" s="36">
        <v>202509</v>
      </c>
      <c r="C679" s="24" t="s">
        <v>128</v>
      </c>
      <c r="D679" s="24" t="s">
        <v>129</v>
      </c>
      <c r="E679" s="62">
        <v>45818</v>
      </c>
      <c r="F679" s="62">
        <v>46182</v>
      </c>
      <c r="G679" s="37" t="s">
        <v>1485</v>
      </c>
      <c r="H679" s="36">
        <v>2359</v>
      </c>
      <c r="I679" s="63" t="s">
        <v>1486</v>
      </c>
      <c r="J679" s="24" t="s">
        <v>1492</v>
      </c>
      <c r="K679" s="63">
        <f t="shared" ref="K679:K681" si="374">N679</f>
        <v>45888</v>
      </c>
      <c r="L679" s="55">
        <f t="shared" ref="L679:L681" si="375">IF(K679&gt;=DATE(2022,4,1),4%,5%)</f>
        <v>0.04</v>
      </c>
      <c r="M679" s="76">
        <v>0.22500000000000001</v>
      </c>
      <c r="N679" s="62">
        <v>45888</v>
      </c>
      <c r="O679" s="62">
        <v>46182</v>
      </c>
      <c r="P679" s="63">
        <v>45887</v>
      </c>
      <c r="Q679" s="63">
        <f t="shared" ref="Q679:Q681" si="376">P679+1</f>
        <v>45888</v>
      </c>
      <c r="R679" s="82">
        <v>33</v>
      </c>
      <c r="S679" s="63" t="str">
        <f>VLOOKUP(R679,SA!$B$5:$C$11,2,1)</f>
        <v>0-35</v>
      </c>
      <c r="T679" s="38" t="s">
        <v>1496</v>
      </c>
      <c r="U679" s="24" t="s">
        <v>115</v>
      </c>
      <c r="V679" s="24">
        <v>-300000</v>
      </c>
      <c r="W679" s="39">
        <f t="shared" ref="W679:W681" si="377">IF(U679="self",V679,0)</f>
        <v>0</v>
      </c>
      <c r="X679" s="29">
        <f t="shared" ref="X679:X681" si="378">IF(U679="self",-1,0)</f>
        <v>0</v>
      </c>
      <c r="Y679" s="40">
        <f t="shared" ref="Y679:Y681" si="379">O679-Q679+1</f>
        <v>295</v>
      </c>
      <c r="Z679" s="38">
        <f t="shared" si="193"/>
        <v>46081</v>
      </c>
      <c r="AA679" s="41">
        <f t="shared" ref="AA679:AA681" si="380">IF(MIN((Z679-Q679)+1,Y679)&lt;0,0,MIN((Z679-Q679)+1,Y679))</f>
        <v>194</v>
      </c>
      <c r="AB679" s="24" t="s">
        <v>125</v>
      </c>
      <c r="AC679" s="41">
        <f t="shared" ref="AC679:AC681" si="381">AE679+AF679+AG679+AH679</f>
        <v>-3131.2119534246576</v>
      </c>
      <c r="AD679" s="41">
        <v>-1</v>
      </c>
      <c r="AE679" s="72">
        <f>-IFERROR(INDEX(SA!$C$4:$E$11,MATCH(Details!S679,SA!$C$4:$C$11,0),MATCH(-Details!V679,SA!$C$4:$E$4,0)),0)*Y679/(F679-E679+1)</f>
        <v>-2653.5694520547945</v>
      </c>
      <c r="AF679" s="41">
        <f t="shared" ref="AF679:AF681" si="382">IF(AB679="Karnataka",AE679*9%,0)</f>
        <v>0</v>
      </c>
      <c r="AG679" s="41">
        <f t="shared" ref="AG679:AG681" si="383">IF(AB679="Karnataka",AE679*9%,0)</f>
        <v>0</v>
      </c>
      <c r="AH679" s="41">
        <f t="shared" ref="AH679:AH681" si="384">IF(AF679+AG679&gt;0,0,AE679*18%)</f>
        <v>-477.642501369863</v>
      </c>
      <c r="AI679" s="60">
        <f t="shared" ref="AI679:AI681" si="385">AE679*L679</f>
        <v>-106.14277808219178</v>
      </c>
      <c r="AJ679" s="60">
        <f t="shared" ref="AJ679:AJ681" si="386">$AE679*M679</f>
        <v>-597.05312671232878</v>
      </c>
      <c r="AK679" s="60">
        <f t="shared" ref="AK679:AK681" si="387">(AE679)*AA679/Y679</f>
        <v>-1745.0592328767123</v>
      </c>
      <c r="AL679" s="60">
        <f t="shared" ref="AL679:AL681" si="388">AK679*(1-L679-M679)</f>
        <v>-1282.6185361643834</v>
      </c>
      <c r="AM679" s="41">
        <f t="shared" ref="AM679:AM681" si="389">AE679-AI679-AL679-AJ679</f>
        <v>-667.7550110958905</v>
      </c>
      <c r="AN679" s="42">
        <f t="shared" ref="AN679:AN681" si="390">Z679-366</f>
        <v>45715</v>
      </c>
      <c r="AO679" s="43">
        <f t="shared" ref="AO679:AO681" si="391">IF(AND(O679&gt;Z679,N679&gt;AN679),AE679,0)</f>
        <v>-2653.5694520547945</v>
      </c>
      <c r="AP679" s="3" t="s">
        <v>1497</v>
      </c>
    </row>
    <row r="680" spans="1:42" ht="15" customHeight="1" x14ac:dyDescent="0.35">
      <c r="A680" s="36" t="s">
        <v>1480</v>
      </c>
      <c r="B680" s="36">
        <v>202509</v>
      </c>
      <c r="C680" s="24" t="s">
        <v>128</v>
      </c>
      <c r="D680" s="24" t="s">
        <v>129</v>
      </c>
      <c r="E680" s="62">
        <v>45818</v>
      </c>
      <c r="F680" s="62">
        <v>46182</v>
      </c>
      <c r="G680" s="37" t="s">
        <v>1487</v>
      </c>
      <c r="H680" s="36">
        <v>2359</v>
      </c>
      <c r="I680" s="63" t="s">
        <v>1488</v>
      </c>
      <c r="J680" s="24" t="s">
        <v>1493</v>
      </c>
      <c r="K680" s="63">
        <f t="shared" si="374"/>
        <v>45888</v>
      </c>
      <c r="L680" s="55">
        <f t="shared" si="375"/>
        <v>0.04</v>
      </c>
      <c r="M680" s="76">
        <v>0.22500000000000001</v>
      </c>
      <c r="N680" s="62">
        <v>45888</v>
      </c>
      <c r="O680" s="62">
        <v>46182</v>
      </c>
      <c r="P680" s="63">
        <v>45887</v>
      </c>
      <c r="Q680" s="63">
        <f t="shared" si="376"/>
        <v>45888</v>
      </c>
      <c r="R680" s="82">
        <v>12</v>
      </c>
      <c r="S680" s="63" t="str">
        <f>VLOOKUP(R680,SA!$B$5:$C$11,2,1)</f>
        <v>0-35</v>
      </c>
      <c r="T680" s="38" t="s">
        <v>1495</v>
      </c>
      <c r="U680" s="24" t="s">
        <v>114</v>
      </c>
      <c r="V680" s="24">
        <v>-300000</v>
      </c>
      <c r="W680" s="39">
        <f t="shared" si="377"/>
        <v>0</v>
      </c>
      <c r="X680" s="29">
        <f t="shared" si="378"/>
        <v>0</v>
      </c>
      <c r="Y680" s="40">
        <f t="shared" si="379"/>
        <v>295</v>
      </c>
      <c r="Z680" s="38">
        <f t="shared" si="193"/>
        <v>46081</v>
      </c>
      <c r="AA680" s="41">
        <f t="shared" si="380"/>
        <v>194</v>
      </c>
      <c r="AB680" s="24" t="s">
        <v>125</v>
      </c>
      <c r="AC680" s="41">
        <f t="shared" si="381"/>
        <v>-3131.2119534246576</v>
      </c>
      <c r="AD680" s="41">
        <v>-1</v>
      </c>
      <c r="AE680" s="72">
        <f>-IFERROR(INDEX(SA!$C$4:$E$11,MATCH(Details!S680,SA!$C$4:$C$11,0),MATCH(-Details!V680,SA!$C$4:$E$4,0)),0)*Y680/(F680-E680+1)</f>
        <v>-2653.5694520547945</v>
      </c>
      <c r="AF680" s="41">
        <f t="shared" si="382"/>
        <v>0</v>
      </c>
      <c r="AG680" s="41">
        <f t="shared" si="383"/>
        <v>0</v>
      </c>
      <c r="AH680" s="41">
        <f t="shared" si="384"/>
        <v>-477.642501369863</v>
      </c>
      <c r="AI680" s="60">
        <f t="shared" si="385"/>
        <v>-106.14277808219178</v>
      </c>
      <c r="AJ680" s="60">
        <f t="shared" si="386"/>
        <v>-597.05312671232878</v>
      </c>
      <c r="AK680" s="60">
        <f t="shared" si="387"/>
        <v>-1745.0592328767123</v>
      </c>
      <c r="AL680" s="60">
        <f t="shared" si="388"/>
        <v>-1282.6185361643834</v>
      </c>
      <c r="AM680" s="41">
        <f t="shared" si="389"/>
        <v>-667.7550110958905</v>
      </c>
      <c r="AN680" s="42">
        <f t="shared" si="390"/>
        <v>45715</v>
      </c>
      <c r="AO680" s="43">
        <f t="shared" si="391"/>
        <v>-2653.5694520547945</v>
      </c>
      <c r="AP680" s="3" t="s">
        <v>1497</v>
      </c>
    </row>
    <row r="681" spans="1:42" ht="15" customHeight="1" x14ac:dyDescent="0.35">
      <c r="A681" s="36" t="s">
        <v>1480</v>
      </c>
      <c r="B681" s="36">
        <v>202509</v>
      </c>
      <c r="C681" s="24" t="s">
        <v>128</v>
      </c>
      <c r="D681" s="24" t="s">
        <v>129</v>
      </c>
      <c r="E681" s="62">
        <v>45818</v>
      </c>
      <c r="F681" s="62">
        <v>46182</v>
      </c>
      <c r="G681" s="37" t="s">
        <v>1489</v>
      </c>
      <c r="H681" s="36">
        <v>2359</v>
      </c>
      <c r="I681" s="63" t="s">
        <v>1490</v>
      </c>
      <c r="J681" s="24" t="s">
        <v>1494</v>
      </c>
      <c r="K681" s="63">
        <f t="shared" si="374"/>
        <v>45888</v>
      </c>
      <c r="L681" s="55">
        <f t="shared" si="375"/>
        <v>0.04</v>
      </c>
      <c r="M681" s="76">
        <v>0.22500000000000001</v>
      </c>
      <c r="N681" s="62">
        <v>45888</v>
      </c>
      <c r="O681" s="62">
        <v>46182</v>
      </c>
      <c r="P681" s="63">
        <v>45887</v>
      </c>
      <c r="Q681" s="63">
        <f t="shared" si="376"/>
        <v>45888</v>
      </c>
      <c r="R681" s="82">
        <v>7</v>
      </c>
      <c r="S681" s="63" t="str">
        <f>VLOOKUP(R681,SA!$B$5:$C$11,2,1)</f>
        <v>0-35</v>
      </c>
      <c r="T681" s="38" t="s">
        <v>1496</v>
      </c>
      <c r="U681" s="24" t="s">
        <v>113</v>
      </c>
      <c r="V681" s="24">
        <v>-300000</v>
      </c>
      <c r="W681" s="39">
        <f t="shared" si="377"/>
        <v>0</v>
      </c>
      <c r="X681" s="29">
        <f t="shared" si="378"/>
        <v>0</v>
      </c>
      <c r="Y681" s="40">
        <f t="shared" si="379"/>
        <v>295</v>
      </c>
      <c r="Z681" s="38">
        <f t="shared" si="193"/>
        <v>46081</v>
      </c>
      <c r="AA681" s="41">
        <f t="shared" si="380"/>
        <v>194</v>
      </c>
      <c r="AB681" s="24" t="s">
        <v>125</v>
      </c>
      <c r="AC681" s="41">
        <f t="shared" si="381"/>
        <v>-3131.2119534246576</v>
      </c>
      <c r="AD681" s="41">
        <v>-1</v>
      </c>
      <c r="AE681" s="72">
        <f>-IFERROR(INDEX(SA!$C$4:$E$11,MATCH(Details!S681,SA!$C$4:$C$11,0),MATCH(-Details!V681,SA!$C$4:$E$4,0)),0)*Y681/(F681-E681+1)</f>
        <v>-2653.5694520547945</v>
      </c>
      <c r="AF681" s="41">
        <f t="shared" si="382"/>
        <v>0</v>
      </c>
      <c r="AG681" s="41">
        <f t="shared" si="383"/>
        <v>0</v>
      </c>
      <c r="AH681" s="41">
        <f t="shared" si="384"/>
        <v>-477.642501369863</v>
      </c>
      <c r="AI681" s="60">
        <f t="shared" si="385"/>
        <v>-106.14277808219178</v>
      </c>
      <c r="AJ681" s="60">
        <f t="shared" si="386"/>
        <v>-597.05312671232878</v>
      </c>
      <c r="AK681" s="60">
        <f t="shared" si="387"/>
        <v>-1745.0592328767123</v>
      </c>
      <c r="AL681" s="60">
        <f t="shared" si="388"/>
        <v>-1282.6185361643834</v>
      </c>
      <c r="AM681" s="41">
        <f t="shared" si="389"/>
        <v>-667.7550110958905</v>
      </c>
      <c r="AN681" s="42">
        <f t="shared" si="390"/>
        <v>45715</v>
      </c>
      <c r="AO681" s="43">
        <f t="shared" si="391"/>
        <v>-2653.5694520547945</v>
      </c>
      <c r="AP681" s="3" t="s">
        <v>1497</v>
      </c>
    </row>
    <row r="682" spans="1:42" ht="15" customHeight="1" x14ac:dyDescent="0.35">
      <c r="A682" s="36" t="s">
        <v>27</v>
      </c>
      <c r="B682" s="36">
        <v>202509</v>
      </c>
      <c r="C682" s="24" t="s">
        <v>128</v>
      </c>
      <c r="D682" s="24" t="s">
        <v>129</v>
      </c>
      <c r="E682" s="62">
        <v>45818</v>
      </c>
      <c r="F682" s="62">
        <v>46182</v>
      </c>
      <c r="G682" s="37" t="s">
        <v>1500</v>
      </c>
      <c r="H682" s="36">
        <v>2361</v>
      </c>
      <c r="I682" s="63">
        <v>31612</v>
      </c>
      <c r="J682" s="24" t="s">
        <v>1509</v>
      </c>
      <c r="K682" s="63">
        <f t="shared" ref="K682" si="392">N682</f>
        <v>45901</v>
      </c>
      <c r="L682" s="55">
        <f t="shared" ref="L682" si="393">IF(K682&gt;=DATE(2022,4,1),4%,5%)</f>
        <v>0.04</v>
      </c>
      <c r="M682" s="76">
        <v>0.22500000000000001</v>
      </c>
      <c r="N682" s="62">
        <v>45901</v>
      </c>
      <c r="O682" s="62">
        <v>46182</v>
      </c>
      <c r="P682" s="63"/>
      <c r="Q682" s="63"/>
      <c r="R682" s="82">
        <v>39</v>
      </c>
      <c r="S682" s="63" t="str">
        <f>VLOOKUP(R682,SA!$B$5:$C$11,2,1)</f>
        <v>36-45</v>
      </c>
      <c r="T682" s="38" t="s">
        <v>97</v>
      </c>
      <c r="U682" s="24" t="s">
        <v>56</v>
      </c>
      <c r="V682" s="24">
        <v>300000</v>
      </c>
      <c r="W682" s="39">
        <f t="shared" ref="W682" si="394">IF(U682="self",V682,0)</f>
        <v>300000</v>
      </c>
      <c r="X682" s="29">
        <f t="shared" ref="X682" si="395">IF(U682="self",1,0)</f>
        <v>1</v>
      </c>
      <c r="Y682" s="40">
        <f t="shared" ref="Y682" si="396">O682-N682+1</f>
        <v>282</v>
      </c>
      <c r="Z682" s="38">
        <f t="shared" ref="Z682:Z694" si="397">$Z$1</f>
        <v>46081</v>
      </c>
      <c r="AA682" s="41">
        <f t="shared" ref="AA682" si="398">IF(MIN((Z682-N682)+1,Y682)&lt;0,0,MIN((Z682-N682)+1,Y682))</f>
        <v>181</v>
      </c>
      <c r="AB682" s="24" t="s">
        <v>125</v>
      </c>
      <c r="AC682" s="41">
        <f t="shared" ref="AC682" si="399">AE682+AF682+AG682+AH682</f>
        <v>3876.3987320547949</v>
      </c>
      <c r="AD682" s="41">
        <v>1</v>
      </c>
      <c r="AE682" s="72">
        <f>IFERROR(INDEX(SA!$C$4:$E$11,MATCH(Details!S682,SA!$C$4:$C$11,0),MATCH(Details!V682,SA!$C$4:$E$4,0)),0)*Y682/(F682-E682+1)</f>
        <v>3285.0836712328769</v>
      </c>
      <c r="AF682" s="41">
        <f t="shared" ref="AF682" si="400">IF(AB682="Karnataka",AE682*9%,0)</f>
        <v>0</v>
      </c>
      <c r="AG682" s="41">
        <f t="shared" ref="AG682" si="401">IF(AB682="Karnataka",AE682*9%,0)</f>
        <v>0</v>
      </c>
      <c r="AH682" s="41">
        <f t="shared" ref="AH682" si="402">IF(AF682+AG682&gt;0,0,AE682*18%)</f>
        <v>591.31506082191777</v>
      </c>
      <c r="AI682" s="60">
        <f t="shared" ref="AI682" si="403">AE682*L682</f>
        <v>131.40334684931508</v>
      </c>
      <c r="AJ682" s="60">
        <f t="shared" ref="AJ682" si="404">$AE682*M682</f>
        <v>739.14382602739727</v>
      </c>
      <c r="AK682" s="60">
        <f t="shared" ref="AK682" si="405">(AE682)*AA682/Y682</f>
        <v>2108.5111506849316</v>
      </c>
      <c r="AL682" s="60">
        <f t="shared" ref="AL682" si="406">AK682*(1-L682-M682)</f>
        <v>1549.7556957534248</v>
      </c>
      <c r="AM682" s="41">
        <f t="shared" ref="AM682" si="407">AE682-AI682-AL682-AJ682</f>
        <v>864.78080260273998</v>
      </c>
      <c r="AN682" s="42">
        <f t="shared" ref="AN682" si="408">Z682-366</f>
        <v>45715</v>
      </c>
      <c r="AO682" s="43">
        <f t="shared" ref="AO682" si="409">IF(AND(O682&gt;Z682,N682&gt;AN682),AE682,0)</f>
        <v>3285.0836712328769</v>
      </c>
    </row>
    <row r="683" spans="1:42" ht="15" customHeight="1" x14ac:dyDescent="0.35">
      <c r="A683" s="36" t="s">
        <v>27</v>
      </c>
      <c r="B683" s="36">
        <v>202509</v>
      </c>
      <c r="C683" s="24" t="s">
        <v>128</v>
      </c>
      <c r="D683" s="24" t="s">
        <v>129</v>
      </c>
      <c r="E683" s="62">
        <v>45818</v>
      </c>
      <c r="F683" s="62">
        <v>46182</v>
      </c>
      <c r="G683" s="37" t="s">
        <v>1501</v>
      </c>
      <c r="H683" s="36">
        <v>2361</v>
      </c>
      <c r="I683" s="63">
        <v>33422</v>
      </c>
      <c r="J683" s="24" t="s">
        <v>1510</v>
      </c>
      <c r="K683" s="63">
        <f t="shared" ref="K683:K694" si="410">N683</f>
        <v>45901</v>
      </c>
      <c r="L683" s="55">
        <f t="shared" ref="L683:L694" si="411">IF(K683&gt;=DATE(2022,4,1),4%,5%)</f>
        <v>0.04</v>
      </c>
      <c r="M683" s="76">
        <v>0.22500000000000001</v>
      </c>
      <c r="N683" s="62">
        <v>45901</v>
      </c>
      <c r="O683" s="62">
        <v>46182</v>
      </c>
      <c r="P683" s="63"/>
      <c r="Q683" s="63"/>
      <c r="R683" s="82">
        <v>34</v>
      </c>
      <c r="S683" s="63" t="str">
        <f>VLOOKUP(R683,SA!$B$5:$C$11,2,1)</f>
        <v>0-35</v>
      </c>
      <c r="T683" s="38" t="s">
        <v>96</v>
      </c>
      <c r="U683" s="24" t="s">
        <v>115</v>
      </c>
      <c r="V683" s="24">
        <v>300000</v>
      </c>
      <c r="W683" s="39">
        <f t="shared" ref="W683:W694" si="412">IF(U683="self",V683,0)</f>
        <v>0</v>
      </c>
      <c r="X683" s="29">
        <f t="shared" ref="X683:X694" si="413">IF(U683="self",1,0)</f>
        <v>0</v>
      </c>
      <c r="Y683" s="40">
        <f t="shared" ref="Y683:Y694" si="414">O683-N683+1</f>
        <v>282</v>
      </c>
      <c r="Z683" s="38">
        <f t="shared" si="397"/>
        <v>46081</v>
      </c>
      <c r="AA683" s="41">
        <f t="shared" ref="AA683:AA694" si="415">IF(MIN((Z683-N683)+1,Y683)&lt;0,0,MIN((Z683-N683)+1,Y683))</f>
        <v>181</v>
      </c>
      <c r="AB683" s="24" t="s">
        <v>125</v>
      </c>
      <c r="AC683" s="41">
        <f t="shared" ref="AC683:AC694" si="416">AE683+AF683+AG683+AH683</f>
        <v>2993.226341917808</v>
      </c>
      <c r="AD683" s="41">
        <v>1</v>
      </c>
      <c r="AE683" s="72">
        <f>IFERROR(INDEX(SA!$C$4:$E$11,MATCH(Details!S683,SA!$C$4:$C$11,0),MATCH(Details!V683,SA!$C$4:$E$4,0)),0)*Y683/(F683-E683+1)</f>
        <v>2536.6324931506847</v>
      </c>
      <c r="AF683" s="41">
        <f t="shared" ref="AF683:AF694" si="417">IF(AB683="Karnataka",AE683*9%,0)</f>
        <v>0</v>
      </c>
      <c r="AG683" s="41">
        <f t="shared" ref="AG683:AG694" si="418">IF(AB683="Karnataka",AE683*9%,0)</f>
        <v>0</v>
      </c>
      <c r="AH683" s="41">
        <f t="shared" ref="AH683:AH694" si="419">IF(AF683+AG683&gt;0,0,AE683*18%)</f>
        <v>456.59384876712323</v>
      </c>
      <c r="AI683" s="60">
        <f t="shared" ref="AI683:AI694" si="420">AE683*L683</f>
        <v>101.4652997260274</v>
      </c>
      <c r="AJ683" s="60">
        <f t="shared" ref="AJ683:AJ694" si="421">$AE683*M683</f>
        <v>570.74231095890411</v>
      </c>
      <c r="AK683" s="60">
        <f t="shared" ref="AK683:AK694" si="422">(AE683)*AA683/Y683</f>
        <v>1628.1222739726027</v>
      </c>
      <c r="AL683" s="60">
        <f t="shared" ref="AL683:AL694" si="423">AK683*(1-L683-M683)</f>
        <v>1196.6698713698629</v>
      </c>
      <c r="AM683" s="41">
        <f t="shared" ref="AM683:AM694" si="424">AE683-AI683-AL683-AJ683</f>
        <v>667.75501109589038</v>
      </c>
      <c r="AN683" s="42">
        <f t="shared" ref="AN683:AN694" si="425">Z683-366</f>
        <v>45715</v>
      </c>
      <c r="AO683" s="43">
        <f t="shared" ref="AO683:AO694" si="426">IF(AND(O683&gt;Z683,N683&gt;AN683),AE683,0)</f>
        <v>2536.6324931506847</v>
      </c>
    </row>
    <row r="684" spans="1:42" ht="15" customHeight="1" x14ac:dyDescent="0.35">
      <c r="A684" s="36" t="s">
        <v>27</v>
      </c>
      <c r="B684" s="36">
        <v>202509</v>
      </c>
      <c r="C684" s="24" t="s">
        <v>128</v>
      </c>
      <c r="D684" s="24" t="s">
        <v>129</v>
      </c>
      <c r="E684" s="62">
        <v>45818</v>
      </c>
      <c r="F684" s="62">
        <v>46182</v>
      </c>
      <c r="G684" s="37" t="s">
        <v>1502</v>
      </c>
      <c r="H684" s="36">
        <v>2361</v>
      </c>
      <c r="I684" s="63">
        <v>44195</v>
      </c>
      <c r="J684" s="24" t="s">
        <v>1511</v>
      </c>
      <c r="K684" s="63">
        <f t="shared" si="410"/>
        <v>45901</v>
      </c>
      <c r="L684" s="55">
        <f t="shared" si="411"/>
        <v>0.04</v>
      </c>
      <c r="M684" s="76">
        <v>0.22500000000000001</v>
      </c>
      <c r="N684" s="62">
        <v>45901</v>
      </c>
      <c r="O684" s="62">
        <v>46182</v>
      </c>
      <c r="P684" s="63"/>
      <c r="Q684" s="63"/>
      <c r="R684" s="82">
        <v>4</v>
      </c>
      <c r="S684" s="63" t="str">
        <f>VLOOKUP(R684,SA!$B$5:$C$11,2,1)</f>
        <v>0-35</v>
      </c>
      <c r="T684" s="38" t="s">
        <v>97</v>
      </c>
      <c r="U684" s="24" t="s">
        <v>113</v>
      </c>
      <c r="V684" s="24">
        <v>300000</v>
      </c>
      <c r="W684" s="39">
        <f t="shared" si="412"/>
        <v>0</v>
      </c>
      <c r="X684" s="29">
        <f t="shared" si="413"/>
        <v>0</v>
      </c>
      <c r="Y684" s="40">
        <f t="shared" si="414"/>
        <v>282</v>
      </c>
      <c r="Z684" s="38">
        <f t="shared" si="397"/>
        <v>46081</v>
      </c>
      <c r="AA684" s="41">
        <f t="shared" si="415"/>
        <v>181</v>
      </c>
      <c r="AB684" s="24" t="s">
        <v>125</v>
      </c>
      <c r="AC684" s="41">
        <f t="shared" si="416"/>
        <v>2993.226341917808</v>
      </c>
      <c r="AD684" s="41">
        <v>1</v>
      </c>
      <c r="AE684" s="72">
        <f>IFERROR(INDEX(SA!$C$4:$E$11,MATCH(Details!S684,SA!$C$4:$C$11,0),MATCH(Details!V684,SA!$C$4:$E$4,0)),0)*Y684/(F684-E684+1)</f>
        <v>2536.6324931506847</v>
      </c>
      <c r="AF684" s="41">
        <f t="shared" si="417"/>
        <v>0</v>
      </c>
      <c r="AG684" s="41">
        <f t="shared" si="418"/>
        <v>0</v>
      </c>
      <c r="AH684" s="41">
        <f t="shared" si="419"/>
        <v>456.59384876712323</v>
      </c>
      <c r="AI684" s="60">
        <f t="shared" si="420"/>
        <v>101.4652997260274</v>
      </c>
      <c r="AJ684" s="60">
        <f t="shared" si="421"/>
        <v>570.74231095890411</v>
      </c>
      <c r="AK684" s="60">
        <f t="shared" si="422"/>
        <v>1628.1222739726027</v>
      </c>
      <c r="AL684" s="60">
        <f t="shared" si="423"/>
        <v>1196.6698713698629</v>
      </c>
      <c r="AM684" s="41">
        <f t="shared" si="424"/>
        <v>667.75501109589038</v>
      </c>
      <c r="AN684" s="42">
        <f t="shared" si="425"/>
        <v>45715</v>
      </c>
      <c r="AO684" s="43">
        <f t="shared" si="426"/>
        <v>2536.6324931506847</v>
      </c>
    </row>
    <row r="685" spans="1:42" ht="15" customHeight="1" x14ac:dyDescent="0.35">
      <c r="A685" s="36" t="s">
        <v>27</v>
      </c>
      <c r="B685" s="36">
        <v>202509</v>
      </c>
      <c r="C685" s="24" t="s">
        <v>128</v>
      </c>
      <c r="D685" s="24" t="s">
        <v>129</v>
      </c>
      <c r="E685" s="62">
        <v>45818</v>
      </c>
      <c r="F685" s="62">
        <v>46182</v>
      </c>
      <c r="G685" s="37" t="s">
        <v>1503</v>
      </c>
      <c r="H685" s="36">
        <v>2361</v>
      </c>
      <c r="I685" s="63">
        <v>44195</v>
      </c>
      <c r="J685" s="24" t="s">
        <v>1512</v>
      </c>
      <c r="K685" s="63">
        <f t="shared" si="410"/>
        <v>45901</v>
      </c>
      <c r="L685" s="55">
        <f t="shared" si="411"/>
        <v>0.04</v>
      </c>
      <c r="M685" s="76">
        <v>0.22500000000000001</v>
      </c>
      <c r="N685" s="62">
        <v>45901</v>
      </c>
      <c r="O685" s="62">
        <v>46182</v>
      </c>
      <c r="P685" s="63"/>
      <c r="Q685" s="63"/>
      <c r="R685" s="82">
        <v>4</v>
      </c>
      <c r="S685" s="63" t="str">
        <f>VLOOKUP(R685,SA!$B$5:$C$11,2,1)</f>
        <v>0-35</v>
      </c>
      <c r="T685" s="38" t="s">
        <v>96</v>
      </c>
      <c r="U685" s="24" t="s">
        <v>114</v>
      </c>
      <c r="V685" s="24">
        <v>300000</v>
      </c>
      <c r="W685" s="39">
        <f t="shared" si="412"/>
        <v>0</v>
      </c>
      <c r="X685" s="29">
        <f t="shared" si="413"/>
        <v>0</v>
      </c>
      <c r="Y685" s="40">
        <f t="shared" si="414"/>
        <v>282</v>
      </c>
      <c r="Z685" s="38">
        <f t="shared" si="397"/>
        <v>46081</v>
      </c>
      <c r="AA685" s="41">
        <f t="shared" si="415"/>
        <v>181</v>
      </c>
      <c r="AB685" s="24" t="s">
        <v>125</v>
      </c>
      <c r="AC685" s="41">
        <f t="shared" si="416"/>
        <v>2993.226341917808</v>
      </c>
      <c r="AD685" s="41">
        <v>1</v>
      </c>
      <c r="AE685" s="72">
        <f>IFERROR(INDEX(SA!$C$4:$E$11,MATCH(Details!S685,SA!$C$4:$C$11,0),MATCH(Details!V685,SA!$C$4:$E$4,0)),0)*Y685/(F685-E685+1)</f>
        <v>2536.6324931506847</v>
      </c>
      <c r="AF685" s="41">
        <f t="shared" si="417"/>
        <v>0</v>
      </c>
      <c r="AG685" s="41">
        <f t="shared" si="418"/>
        <v>0</v>
      </c>
      <c r="AH685" s="41">
        <f t="shared" si="419"/>
        <v>456.59384876712323</v>
      </c>
      <c r="AI685" s="60">
        <f t="shared" si="420"/>
        <v>101.4652997260274</v>
      </c>
      <c r="AJ685" s="60">
        <f t="shared" si="421"/>
        <v>570.74231095890411</v>
      </c>
      <c r="AK685" s="60">
        <f t="shared" si="422"/>
        <v>1628.1222739726027</v>
      </c>
      <c r="AL685" s="60">
        <f t="shared" si="423"/>
        <v>1196.6698713698629</v>
      </c>
      <c r="AM685" s="41">
        <f t="shared" si="424"/>
        <v>667.75501109589038</v>
      </c>
      <c r="AN685" s="42">
        <f t="shared" si="425"/>
        <v>45715</v>
      </c>
      <c r="AO685" s="43">
        <f t="shared" si="426"/>
        <v>2536.6324931506847</v>
      </c>
    </row>
    <row r="686" spans="1:42" ht="15" customHeight="1" x14ac:dyDescent="0.35">
      <c r="A686" s="36" t="s">
        <v>27</v>
      </c>
      <c r="B686" s="36">
        <v>202509</v>
      </c>
      <c r="C686" s="24" t="s">
        <v>128</v>
      </c>
      <c r="D686" s="24" t="s">
        <v>129</v>
      </c>
      <c r="E686" s="62">
        <v>45818</v>
      </c>
      <c r="F686" s="62">
        <v>46182</v>
      </c>
      <c r="G686" s="37" t="s">
        <v>1504</v>
      </c>
      <c r="H686" s="36">
        <v>2360</v>
      </c>
      <c r="I686" s="63">
        <v>35702</v>
      </c>
      <c r="J686" s="24" t="s">
        <v>1513</v>
      </c>
      <c r="K686" s="63">
        <f t="shared" si="410"/>
        <v>45901</v>
      </c>
      <c r="L686" s="55">
        <f t="shared" si="411"/>
        <v>0.04</v>
      </c>
      <c r="M686" s="76">
        <v>0.22500000000000001</v>
      </c>
      <c r="N686" s="62">
        <v>45901</v>
      </c>
      <c r="O686" s="62">
        <v>46182</v>
      </c>
      <c r="P686" s="63"/>
      <c r="Q686" s="63"/>
      <c r="R686" s="82">
        <v>27</v>
      </c>
      <c r="S686" s="63" t="str">
        <f>VLOOKUP(R686,SA!$B$5:$C$11,2,1)</f>
        <v>0-35</v>
      </c>
      <c r="T686" s="38" t="s">
        <v>96</v>
      </c>
      <c r="U686" s="24" t="s">
        <v>56</v>
      </c>
      <c r="V686" s="24">
        <v>300000</v>
      </c>
      <c r="W686" s="39">
        <f t="shared" si="412"/>
        <v>300000</v>
      </c>
      <c r="X686" s="29">
        <f t="shared" si="413"/>
        <v>1</v>
      </c>
      <c r="Y686" s="40">
        <f t="shared" si="414"/>
        <v>282</v>
      </c>
      <c r="Z686" s="38">
        <f t="shared" si="397"/>
        <v>46081</v>
      </c>
      <c r="AA686" s="41">
        <f t="shared" si="415"/>
        <v>181</v>
      </c>
      <c r="AB686" s="24" t="s">
        <v>125</v>
      </c>
      <c r="AC686" s="41">
        <f t="shared" si="416"/>
        <v>2993.226341917808</v>
      </c>
      <c r="AD686" s="41">
        <v>1</v>
      </c>
      <c r="AE686" s="72">
        <f>IFERROR(INDEX(SA!$C$4:$E$11,MATCH(Details!S686,SA!$C$4:$C$11,0),MATCH(Details!V686,SA!$C$4:$E$4,0)),0)*Y686/(F686-E686+1)</f>
        <v>2536.6324931506847</v>
      </c>
      <c r="AF686" s="41">
        <f t="shared" si="417"/>
        <v>0</v>
      </c>
      <c r="AG686" s="41">
        <f t="shared" si="418"/>
        <v>0</v>
      </c>
      <c r="AH686" s="41">
        <f t="shared" si="419"/>
        <v>456.59384876712323</v>
      </c>
      <c r="AI686" s="60">
        <f t="shared" si="420"/>
        <v>101.4652997260274</v>
      </c>
      <c r="AJ686" s="60">
        <f t="shared" si="421"/>
        <v>570.74231095890411</v>
      </c>
      <c r="AK686" s="60">
        <f t="shared" si="422"/>
        <v>1628.1222739726027</v>
      </c>
      <c r="AL686" s="60">
        <f t="shared" si="423"/>
        <v>1196.6698713698629</v>
      </c>
      <c r="AM686" s="41">
        <f t="shared" si="424"/>
        <v>667.75501109589038</v>
      </c>
      <c r="AN686" s="42">
        <f t="shared" si="425"/>
        <v>45715</v>
      </c>
      <c r="AO686" s="43">
        <f t="shared" si="426"/>
        <v>2536.6324931506847</v>
      </c>
    </row>
    <row r="687" spans="1:42" ht="15" customHeight="1" x14ac:dyDescent="0.35">
      <c r="A687" s="36" t="s">
        <v>27</v>
      </c>
      <c r="B687" s="36">
        <v>202509</v>
      </c>
      <c r="C687" s="24" t="s">
        <v>128</v>
      </c>
      <c r="D687" s="24" t="s">
        <v>129</v>
      </c>
      <c r="E687" s="62">
        <v>45818</v>
      </c>
      <c r="F687" s="62">
        <v>46182</v>
      </c>
      <c r="G687" s="37" t="s">
        <v>1505</v>
      </c>
      <c r="H687" s="36">
        <v>2362</v>
      </c>
      <c r="I687" s="63">
        <v>35872</v>
      </c>
      <c r="J687" s="24" t="s">
        <v>1514</v>
      </c>
      <c r="K687" s="63">
        <f t="shared" si="410"/>
        <v>45901</v>
      </c>
      <c r="L687" s="55">
        <f t="shared" si="411"/>
        <v>0.04</v>
      </c>
      <c r="M687" s="76">
        <v>0.22500000000000001</v>
      </c>
      <c r="N687" s="62">
        <v>45901</v>
      </c>
      <c r="O687" s="62">
        <v>46182</v>
      </c>
      <c r="P687" s="63"/>
      <c r="Q687" s="63"/>
      <c r="R687" s="82">
        <v>27</v>
      </c>
      <c r="S687" s="63" t="str">
        <f>VLOOKUP(R687,SA!$B$5:$C$11,2,1)</f>
        <v>0-35</v>
      </c>
      <c r="T687" s="38" t="s">
        <v>96</v>
      </c>
      <c r="U687" s="24" t="s">
        <v>56</v>
      </c>
      <c r="V687" s="24">
        <v>300000</v>
      </c>
      <c r="W687" s="39">
        <f t="shared" si="412"/>
        <v>300000</v>
      </c>
      <c r="X687" s="29">
        <f t="shared" si="413"/>
        <v>1</v>
      </c>
      <c r="Y687" s="40">
        <f t="shared" si="414"/>
        <v>282</v>
      </c>
      <c r="Z687" s="38">
        <f t="shared" si="397"/>
        <v>46081</v>
      </c>
      <c r="AA687" s="41">
        <f t="shared" si="415"/>
        <v>181</v>
      </c>
      <c r="AB687" s="24" t="s">
        <v>125</v>
      </c>
      <c r="AC687" s="41">
        <f t="shared" si="416"/>
        <v>2993.226341917808</v>
      </c>
      <c r="AD687" s="41">
        <v>1</v>
      </c>
      <c r="AE687" s="72">
        <f>IFERROR(INDEX(SA!$C$4:$E$11,MATCH(Details!S687,SA!$C$4:$C$11,0),MATCH(Details!V687,SA!$C$4:$E$4,0)),0)*Y687/(F687-E687+1)</f>
        <v>2536.6324931506847</v>
      </c>
      <c r="AF687" s="41">
        <f t="shared" si="417"/>
        <v>0</v>
      </c>
      <c r="AG687" s="41">
        <f t="shared" si="418"/>
        <v>0</v>
      </c>
      <c r="AH687" s="41">
        <f t="shared" si="419"/>
        <v>456.59384876712323</v>
      </c>
      <c r="AI687" s="60">
        <f t="shared" si="420"/>
        <v>101.4652997260274</v>
      </c>
      <c r="AJ687" s="60">
        <f t="shared" si="421"/>
        <v>570.74231095890411</v>
      </c>
      <c r="AK687" s="60">
        <f t="shared" si="422"/>
        <v>1628.1222739726027</v>
      </c>
      <c r="AL687" s="60">
        <f t="shared" si="423"/>
        <v>1196.6698713698629</v>
      </c>
      <c r="AM687" s="41">
        <f t="shared" si="424"/>
        <v>667.75501109589038</v>
      </c>
      <c r="AN687" s="42">
        <f t="shared" si="425"/>
        <v>45715</v>
      </c>
      <c r="AO687" s="43">
        <f t="shared" si="426"/>
        <v>2536.6324931506847</v>
      </c>
    </row>
    <row r="688" spans="1:42" ht="15" customHeight="1" x14ac:dyDescent="0.35">
      <c r="A688" s="36" t="s">
        <v>27</v>
      </c>
      <c r="B688" s="36">
        <v>202509</v>
      </c>
      <c r="C688" s="24" t="s">
        <v>128</v>
      </c>
      <c r="D688" s="24" t="s">
        <v>129</v>
      </c>
      <c r="E688" s="62">
        <v>45818</v>
      </c>
      <c r="F688" s="62">
        <v>46182</v>
      </c>
      <c r="G688" s="37" t="s">
        <v>1506</v>
      </c>
      <c r="H688" s="36">
        <v>2363</v>
      </c>
      <c r="I688" s="63">
        <v>33743</v>
      </c>
      <c r="J688" s="24" t="s">
        <v>1515</v>
      </c>
      <c r="K688" s="63">
        <f t="shared" si="410"/>
        <v>45903</v>
      </c>
      <c r="L688" s="55">
        <f t="shared" si="411"/>
        <v>0.04</v>
      </c>
      <c r="M688" s="76">
        <v>0.22500000000000001</v>
      </c>
      <c r="N688" s="62">
        <v>45903</v>
      </c>
      <c r="O688" s="62">
        <v>46182</v>
      </c>
      <c r="P688" s="63"/>
      <c r="Q688" s="63"/>
      <c r="R688" s="82">
        <v>33</v>
      </c>
      <c r="S688" s="63" t="str">
        <f>VLOOKUP(R688,SA!$B$5:$C$11,2,1)</f>
        <v>0-35</v>
      </c>
      <c r="T688" s="38" t="s">
        <v>96</v>
      </c>
      <c r="U688" s="24" t="s">
        <v>56</v>
      </c>
      <c r="V688" s="24">
        <v>300000</v>
      </c>
      <c r="W688" s="39">
        <f t="shared" si="412"/>
        <v>300000</v>
      </c>
      <c r="X688" s="29">
        <f t="shared" si="413"/>
        <v>1</v>
      </c>
      <c r="Y688" s="40">
        <f t="shared" si="414"/>
        <v>280</v>
      </c>
      <c r="Z688" s="38">
        <f t="shared" si="397"/>
        <v>46081</v>
      </c>
      <c r="AA688" s="41">
        <f t="shared" si="415"/>
        <v>179</v>
      </c>
      <c r="AB688" s="24" t="s">
        <v>125</v>
      </c>
      <c r="AC688" s="41">
        <f t="shared" si="416"/>
        <v>2971.9977863013701</v>
      </c>
      <c r="AD688" s="41">
        <v>1</v>
      </c>
      <c r="AE688" s="72">
        <f>IFERROR(INDEX(SA!$C$4:$E$11,MATCH(Details!S688,SA!$C$4:$C$11,0),MATCH(Details!V688,SA!$C$4:$E$4,0)),0)*Y688/(F688-E688+1)</f>
        <v>2518.642191780822</v>
      </c>
      <c r="AF688" s="41">
        <f t="shared" si="417"/>
        <v>0</v>
      </c>
      <c r="AG688" s="41">
        <f t="shared" si="418"/>
        <v>0</v>
      </c>
      <c r="AH688" s="41">
        <f t="shared" si="419"/>
        <v>453.35559452054792</v>
      </c>
      <c r="AI688" s="60">
        <f t="shared" si="420"/>
        <v>100.74568767123289</v>
      </c>
      <c r="AJ688" s="60">
        <f t="shared" si="421"/>
        <v>566.69449315068493</v>
      </c>
      <c r="AK688" s="60">
        <f t="shared" si="422"/>
        <v>1610.1319726027398</v>
      </c>
      <c r="AL688" s="60">
        <f t="shared" si="423"/>
        <v>1183.4469998630136</v>
      </c>
      <c r="AM688" s="41">
        <f t="shared" si="424"/>
        <v>667.75501109589038</v>
      </c>
      <c r="AN688" s="42">
        <f t="shared" si="425"/>
        <v>45715</v>
      </c>
      <c r="AO688" s="43">
        <f t="shared" si="426"/>
        <v>2518.642191780822</v>
      </c>
    </row>
    <row r="689" spans="1:42" ht="15" customHeight="1" x14ac:dyDescent="0.35">
      <c r="A689" s="36" t="s">
        <v>27</v>
      </c>
      <c r="B689" s="36">
        <v>202509</v>
      </c>
      <c r="C689" s="24" t="s">
        <v>128</v>
      </c>
      <c r="D689" s="24" t="s">
        <v>129</v>
      </c>
      <c r="E689" s="62">
        <v>45818</v>
      </c>
      <c r="F689" s="62">
        <v>46182</v>
      </c>
      <c r="G689" s="37" t="s">
        <v>1507</v>
      </c>
      <c r="H689" s="36">
        <v>2363</v>
      </c>
      <c r="I689" s="63">
        <v>35720</v>
      </c>
      <c r="J689" s="24" t="s">
        <v>1516</v>
      </c>
      <c r="K689" s="63">
        <f t="shared" si="410"/>
        <v>45903</v>
      </c>
      <c r="L689" s="55">
        <f t="shared" si="411"/>
        <v>0.04</v>
      </c>
      <c r="M689" s="76">
        <v>0.22500000000000001</v>
      </c>
      <c r="N689" s="62">
        <v>45903</v>
      </c>
      <c r="O689" s="62">
        <v>46182</v>
      </c>
      <c r="P689" s="63"/>
      <c r="Q689" s="63"/>
      <c r="R689" s="82">
        <v>27</v>
      </c>
      <c r="S689" s="63" t="str">
        <f>VLOOKUP(R689,SA!$B$5:$C$11,2,1)</f>
        <v>0-35</v>
      </c>
      <c r="T689" s="38" t="s">
        <v>97</v>
      </c>
      <c r="U689" s="24" t="s">
        <v>115</v>
      </c>
      <c r="V689" s="24">
        <v>300000</v>
      </c>
      <c r="W689" s="39">
        <f t="shared" si="412"/>
        <v>0</v>
      </c>
      <c r="X689" s="29">
        <f t="shared" si="413"/>
        <v>0</v>
      </c>
      <c r="Y689" s="40">
        <f t="shared" si="414"/>
        <v>280</v>
      </c>
      <c r="Z689" s="38">
        <f t="shared" si="397"/>
        <v>46081</v>
      </c>
      <c r="AA689" s="41">
        <f t="shared" si="415"/>
        <v>179</v>
      </c>
      <c r="AB689" s="24" t="s">
        <v>125</v>
      </c>
      <c r="AC689" s="41">
        <f t="shared" si="416"/>
        <v>2971.9977863013701</v>
      </c>
      <c r="AD689" s="41">
        <v>1</v>
      </c>
      <c r="AE689" s="72">
        <f>IFERROR(INDEX(SA!$C$4:$E$11,MATCH(Details!S689,SA!$C$4:$C$11,0),MATCH(Details!V689,SA!$C$4:$E$4,0)),0)*Y689/(F689-E689+1)</f>
        <v>2518.642191780822</v>
      </c>
      <c r="AF689" s="41">
        <f t="shared" si="417"/>
        <v>0</v>
      </c>
      <c r="AG689" s="41">
        <f t="shared" si="418"/>
        <v>0</v>
      </c>
      <c r="AH689" s="41">
        <f t="shared" si="419"/>
        <v>453.35559452054792</v>
      </c>
      <c r="AI689" s="60">
        <f t="shared" si="420"/>
        <v>100.74568767123289</v>
      </c>
      <c r="AJ689" s="60">
        <f t="shared" si="421"/>
        <v>566.69449315068493</v>
      </c>
      <c r="AK689" s="60">
        <f t="shared" si="422"/>
        <v>1610.1319726027398</v>
      </c>
      <c r="AL689" s="60">
        <f t="shared" si="423"/>
        <v>1183.4469998630136</v>
      </c>
      <c r="AM689" s="41">
        <f t="shared" si="424"/>
        <v>667.75501109589038</v>
      </c>
      <c r="AN689" s="42">
        <f t="shared" si="425"/>
        <v>45715</v>
      </c>
      <c r="AO689" s="43">
        <f t="shared" si="426"/>
        <v>2518.642191780822</v>
      </c>
    </row>
    <row r="690" spans="1:42" ht="15" customHeight="1" x14ac:dyDescent="0.35">
      <c r="A690" s="36" t="s">
        <v>27</v>
      </c>
      <c r="B690" s="36">
        <v>202509</v>
      </c>
      <c r="C690" s="24" t="s">
        <v>128</v>
      </c>
      <c r="D690" s="24" t="s">
        <v>129</v>
      </c>
      <c r="E690" s="62">
        <v>45818</v>
      </c>
      <c r="F690" s="62">
        <v>46182</v>
      </c>
      <c r="G690" s="37" t="s">
        <v>1508</v>
      </c>
      <c r="H690" s="36">
        <v>2364</v>
      </c>
      <c r="I690" s="63">
        <v>33962</v>
      </c>
      <c r="J690" s="24" t="s">
        <v>1517</v>
      </c>
      <c r="K690" s="63">
        <f t="shared" si="410"/>
        <v>45901</v>
      </c>
      <c r="L690" s="55">
        <f t="shared" si="411"/>
        <v>0.04</v>
      </c>
      <c r="M690" s="76">
        <v>0.22500000000000001</v>
      </c>
      <c r="N690" s="62">
        <v>45901</v>
      </c>
      <c r="O690" s="62">
        <v>46182</v>
      </c>
      <c r="P690" s="63"/>
      <c r="Q690" s="63"/>
      <c r="R690" s="82">
        <v>32</v>
      </c>
      <c r="S690" s="63" t="str">
        <f>VLOOKUP(R690,SA!$B$5:$C$11,2,1)</f>
        <v>0-35</v>
      </c>
      <c r="T690" s="38" t="s">
        <v>96</v>
      </c>
      <c r="U690" s="24" t="s">
        <v>56</v>
      </c>
      <c r="V690" s="24">
        <v>300000</v>
      </c>
      <c r="W690" s="39">
        <f t="shared" si="412"/>
        <v>300000</v>
      </c>
      <c r="X690" s="29">
        <f t="shared" si="413"/>
        <v>1</v>
      </c>
      <c r="Y690" s="40">
        <f t="shared" si="414"/>
        <v>282</v>
      </c>
      <c r="Z690" s="38">
        <f t="shared" si="397"/>
        <v>46081</v>
      </c>
      <c r="AA690" s="41">
        <f t="shared" si="415"/>
        <v>181</v>
      </c>
      <c r="AB690" s="24" t="s">
        <v>125</v>
      </c>
      <c r="AC690" s="41">
        <f t="shared" si="416"/>
        <v>2993.226341917808</v>
      </c>
      <c r="AD690" s="41">
        <v>1</v>
      </c>
      <c r="AE690" s="72">
        <f>IFERROR(INDEX(SA!$C$4:$E$11,MATCH(Details!S690,SA!$C$4:$C$11,0),MATCH(Details!V690,SA!$C$4:$E$4,0)),0)*Y690/(F690-E690+1)</f>
        <v>2536.6324931506847</v>
      </c>
      <c r="AF690" s="41">
        <f t="shared" si="417"/>
        <v>0</v>
      </c>
      <c r="AG690" s="41">
        <f t="shared" si="418"/>
        <v>0</v>
      </c>
      <c r="AH690" s="41">
        <f t="shared" si="419"/>
        <v>456.59384876712323</v>
      </c>
      <c r="AI690" s="60">
        <f t="shared" si="420"/>
        <v>101.4652997260274</v>
      </c>
      <c r="AJ690" s="60">
        <f t="shared" si="421"/>
        <v>570.74231095890411</v>
      </c>
      <c r="AK690" s="60">
        <f t="shared" si="422"/>
        <v>1628.1222739726027</v>
      </c>
      <c r="AL690" s="60">
        <f t="shared" si="423"/>
        <v>1196.6698713698629</v>
      </c>
      <c r="AM690" s="41">
        <f t="shared" si="424"/>
        <v>667.75501109589038</v>
      </c>
      <c r="AN690" s="42">
        <f t="shared" si="425"/>
        <v>45715</v>
      </c>
      <c r="AO690" s="43">
        <f t="shared" si="426"/>
        <v>2536.6324931506847</v>
      </c>
    </row>
    <row r="691" spans="1:42" ht="15" customHeight="1" x14ac:dyDescent="0.35">
      <c r="A691" s="36" t="s">
        <v>27</v>
      </c>
      <c r="B691" s="36">
        <v>202509</v>
      </c>
      <c r="C691" s="24" t="s">
        <v>128</v>
      </c>
      <c r="D691" s="24" t="s">
        <v>129</v>
      </c>
      <c r="E691" s="62">
        <v>45818</v>
      </c>
      <c r="F691" s="62">
        <v>46182</v>
      </c>
      <c r="G691" s="37" t="s">
        <v>1483</v>
      </c>
      <c r="H691" s="36">
        <v>2359</v>
      </c>
      <c r="I691" s="63">
        <v>32598</v>
      </c>
      <c r="J691" s="24" t="s">
        <v>1518</v>
      </c>
      <c r="K691" s="63">
        <f t="shared" si="410"/>
        <v>45888</v>
      </c>
      <c r="L691" s="55">
        <f t="shared" si="411"/>
        <v>0.04</v>
      </c>
      <c r="M691" s="76">
        <v>0.22500000000000001</v>
      </c>
      <c r="N691" s="62">
        <v>45888</v>
      </c>
      <c r="O691" s="62">
        <v>46182</v>
      </c>
      <c r="P691" s="63"/>
      <c r="Q691" s="63"/>
      <c r="R691" s="82">
        <v>36</v>
      </c>
      <c r="S691" s="63" t="str">
        <f>VLOOKUP(R691,SA!$B$5:$C$11,2,1)</f>
        <v>36-45</v>
      </c>
      <c r="T691" s="38" t="s">
        <v>96</v>
      </c>
      <c r="U691" s="24" t="s">
        <v>56</v>
      </c>
      <c r="V691" s="24">
        <v>300000</v>
      </c>
      <c r="W691" s="39">
        <f t="shared" si="412"/>
        <v>300000</v>
      </c>
      <c r="X691" s="29">
        <f t="shared" si="413"/>
        <v>1</v>
      </c>
      <c r="Y691" s="40">
        <f t="shared" si="414"/>
        <v>295</v>
      </c>
      <c r="Z691" s="38">
        <f t="shared" si="397"/>
        <v>46081</v>
      </c>
      <c r="AA691" s="41">
        <f t="shared" si="415"/>
        <v>194</v>
      </c>
      <c r="AB691" s="24" t="s">
        <v>125</v>
      </c>
      <c r="AC691" s="41">
        <f t="shared" si="416"/>
        <v>4055.0979643835622</v>
      </c>
      <c r="AD691" s="41">
        <v>1</v>
      </c>
      <c r="AE691" s="72">
        <f>IFERROR(INDEX(SA!$C$4:$E$11,MATCH(Details!S691,SA!$C$4:$C$11,0),MATCH(Details!V691,SA!$C$4:$E$4,0)),0)*Y691/(F691-E691+1)</f>
        <v>3436.5236986301375</v>
      </c>
      <c r="AF691" s="41">
        <f t="shared" si="417"/>
        <v>0</v>
      </c>
      <c r="AG691" s="41">
        <f t="shared" si="418"/>
        <v>0</v>
      </c>
      <c r="AH691" s="41">
        <f t="shared" si="419"/>
        <v>618.5742657534247</v>
      </c>
      <c r="AI691" s="60">
        <f t="shared" si="420"/>
        <v>137.4609479452055</v>
      </c>
      <c r="AJ691" s="60">
        <f t="shared" si="421"/>
        <v>773.21783219178099</v>
      </c>
      <c r="AK691" s="60">
        <f t="shared" si="422"/>
        <v>2259.9511780821917</v>
      </c>
      <c r="AL691" s="60">
        <f t="shared" si="423"/>
        <v>1661.0641158904109</v>
      </c>
      <c r="AM691" s="41">
        <f t="shared" si="424"/>
        <v>864.78080260273998</v>
      </c>
      <c r="AN691" s="42">
        <f t="shared" si="425"/>
        <v>45715</v>
      </c>
      <c r="AO691" s="43">
        <f t="shared" si="426"/>
        <v>3436.5236986301375</v>
      </c>
    </row>
    <row r="692" spans="1:42" ht="15" customHeight="1" x14ac:dyDescent="0.35">
      <c r="A692" s="36" t="s">
        <v>27</v>
      </c>
      <c r="B692" s="36">
        <v>202509</v>
      </c>
      <c r="C692" s="24" t="s">
        <v>128</v>
      </c>
      <c r="D692" s="24" t="s">
        <v>129</v>
      </c>
      <c r="E692" s="62">
        <v>45818</v>
      </c>
      <c r="F692" s="62">
        <v>46182</v>
      </c>
      <c r="G692" s="37" t="s">
        <v>1485</v>
      </c>
      <c r="H692" s="36">
        <v>2359</v>
      </c>
      <c r="I692" s="63">
        <v>33610</v>
      </c>
      <c r="J692" s="24" t="s">
        <v>1519</v>
      </c>
      <c r="K692" s="63">
        <f t="shared" si="410"/>
        <v>45888</v>
      </c>
      <c r="L692" s="55">
        <f t="shared" si="411"/>
        <v>0.04</v>
      </c>
      <c r="M692" s="76">
        <v>0.22500000000000001</v>
      </c>
      <c r="N692" s="62">
        <v>45888</v>
      </c>
      <c r="O692" s="62">
        <v>46182</v>
      </c>
      <c r="P692" s="63"/>
      <c r="Q692" s="63"/>
      <c r="R692" s="82">
        <v>33</v>
      </c>
      <c r="S692" s="63" t="str">
        <f>VLOOKUP(R692,SA!$B$5:$C$11,2,1)</f>
        <v>0-35</v>
      </c>
      <c r="T692" s="38" t="s">
        <v>97</v>
      </c>
      <c r="U692" s="24" t="s">
        <v>115</v>
      </c>
      <c r="V692" s="24">
        <v>300000</v>
      </c>
      <c r="W692" s="39">
        <f t="shared" si="412"/>
        <v>0</v>
      </c>
      <c r="X692" s="29">
        <f t="shared" si="413"/>
        <v>0</v>
      </c>
      <c r="Y692" s="40">
        <f t="shared" si="414"/>
        <v>295</v>
      </c>
      <c r="Z692" s="38">
        <f t="shared" si="397"/>
        <v>46081</v>
      </c>
      <c r="AA692" s="41">
        <f t="shared" si="415"/>
        <v>194</v>
      </c>
      <c r="AB692" s="24" t="s">
        <v>125</v>
      </c>
      <c r="AC692" s="41">
        <f t="shared" si="416"/>
        <v>3131.2119534246576</v>
      </c>
      <c r="AD692" s="41">
        <v>1</v>
      </c>
      <c r="AE692" s="72">
        <f>IFERROR(INDEX(SA!$C$4:$E$11,MATCH(Details!S692,SA!$C$4:$C$11,0),MATCH(Details!V692,SA!$C$4:$E$4,0)),0)*Y692/(F692-E692+1)</f>
        <v>2653.5694520547945</v>
      </c>
      <c r="AF692" s="41">
        <f t="shared" si="417"/>
        <v>0</v>
      </c>
      <c r="AG692" s="41">
        <f t="shared" si="418"/>
        <v>0</v>
      </c>
      <c r="AH692" s="41">
        <f t="shared" si="419"/>
        <v>477.642501369863</v>
      </c>
      <c r="AI692" s="60">
        <f t="shared" si="420"/>
        <v>106.14277808219178</v>
      </c>
      <c r="AJ692" s="60">
        <f t="shared" si="421"/>
        <v>597.05312671232878</v>
      </c>
      <c r="AK692" s="60">
        <f t="shared" si="422"/>
        <v>1745.0592328767123</v>
      </c>
      <c r="AL692" s="60">
        <f t="shared" si="423"/>
        <v>1282.6185361643834</v>
      </c>
      <c r="AM692" s="41">
        <f t="shared" si="424"/>
        <v>667.7550110958905</v>
      </c>
      <c r="AN692" s="42">
        <f t="shared" si="425"/>
        <v>45715</v>
      </c>
      <c r="AO692" s="43">
        <f t="shared" si="426"/>
        <v>2653.5694520547945</v>
      </c>
    </row>
    <row r="693" spans="1:42" ht="15" customHeight="1" x14ac:dyDescent="0.35">
      <c r="A693" s="36" t="s">
        <v>27</v>
      </c>
      <c r="B693" s="36">
        <v>202509</v>
      </c>
      <c r="C693" s="24" t="s">
        <v>128</v>
      </c>
      <c r="D693" s="24" t="s">
        <v>129</v>
      </c>
      <c r="E693" s="62">
        <v>45818</v>
      </c>
      <c r="F693" s="62">
        <v>46182</v>
      </c>
      <c r="G693" s="37" t="s">
        <v>1487</v>
      </c>
      <c r="H693" s="36">
        <v>2359</v>
      </c>
      <c r="I693" s="63">
        <v>41249</v>
      </c>
      <c r="J693" s="24" t="s">
        <v>1520</v>
      </c>
      <c r="K693" s="63">
        <f t="shared" si="410"/>
        <v>45888</v>
      </c>
      <c r="L693" s="55">
        <f t="shared" si="411"/>
        <v>0.04</v>
      </c>
      <c r="M693" s="76">
        <v>0.22500000000000001</v>
      </c>
      <c r="N693" s="62">
        <v>45888</v>
      </c>
      <c r="O693" s="62">
        <v>46182</v>
      </c>
      <c r="P693" s="63"/>
      <c r="Q693" s="63"/>
      <c r="R693" s="82">
        <v>12</v>
      </c>
      <c r="S693" s="63" t="str">
        <f>VLOOKUP(R693,SA!$B$5:$C$11,2,1)</f>
        <v>0-35</v>
      </c>
      <c r="T693" s="38" t="s">
        <v>96</v>
      </c>
      <c r="U693" s="24" t="s">
        <v>114</v>
      </c>
      <c r="V693" s="24">
        <v>300000</v>
      </c>
      <c r="W693" s="39">
        <f t="shared" si="412"/>
        <v>0</v>
      </c>
      <c r="X693" s="29">
        <f t="shared" si="413"/>
        <v>0</v>
      </c>
      <c r="Y693" s="40">
        <f t="shared" si="414"/>
        <v>295</v>
      </c>
      <c r="Z693" s="38">
        <f t="shared" si="397"/>
        <v>46081</v>
      </c>
      <c r="AA693" s="41">
        <f t="shared" si="415"/>
        <v>194</v>
      </c>
      <c r="AB693" s="24" t="s">
        <v>125</v>
      </c>
      <c r="AC693" s="41">
        <f t="shared" si="416"/>
        <v>3131.2119534246576</v>
      </c>
      <c r="AD693" s="41">
        <v>1</v>
      </c>
      <c r="AE693" s="72">
        <f>IFERROR(INDEX(SA!$C$4:$E$11,MATCH(Details!S693,SA!$C$4:$C$11,0),MATCH(Details!V693,SA!$C$4:$E$4,0)),0)*Y693/(F693-E693+1)</f>
        <v>2653.5694520547945</v>
      </c>
      <c r="AF693" s="41">
        <f t="shared" si="417"/>
        <v>0</v>
      </c>
      <c r="AG693" s="41">
        <f t="shared" si="418"/>
        <v>0</v>
      </c>
      <c r="AH693" s="41">
        <f t="shared" si="419"/>
        <v>477.642501369863</v>
      </c>
      <c r="AI693" s="60">
        <f t="shared" si="420"/>
        <v>106.14277808219178</v>
      </c>
      <c r="AJ693" s="60">
        <f t="shared" si="421"/>
        <v>597.05312671232878</v>
      </c>
      <c r="AK693" s="60">
        <f t="shared" si="422"/>
        <v>1745.0592328767123</v>
      </c>
      <c r="AL693" s="60">
        <f t="shared" si="423"/>
        <v>1282.6185361643834</v>
      </c>
      <c r="AM693" s="41">
        <f t="shared" si="424"/>
        <v>667.7550110958905</v>
      </c>
      <c r="AN693" s="42">
        <f t="shared" si="425"/>
        <v>45715</v>
      </c>
      <c r="AO693" s="43">
        <f t="shared" si="426"/>
        <v>2653.5694520547945</v>
      </c>
    </row>
    <row r="694" spans="1:42" ht="15" customHeight="1" x14ac:dyDescent="0.35">
      <c r="A694" s="36" t="s">
        <v>27</v>
      </c>
      <c r="B694" s="36">
        <v>202509</v>
      </c>
      <c r="C694" s="24" t="s">
        <v>128</v>
      </c>
      <c r="D694" s="24" t="s">
        <v>129</v>
      </c>
      <c r="E694" s="62">
        <v>45818</v>
      </c>
      <c r="F694" s="62">
        <v>46182</v>
      </c>
      <c r="G694" s="37" t="s">
        <v>1489</v>
      </c>
      <c r="H694" s="36">
        <v>2359</v>
      </c>
      <c r="I694" s="63">
        <v>43095</v>
      </c>
      <c r="J694" s="24" t="s">
        <v>1521</v>
      </c>
      <c r="K694" s="63">
        <f t="shared" si="410"/>
        <v>45888</v>
      </c>
      <c r="L694" s="55">
        <f t="shared" si="411"/>
        <v>0.04</v>
      </c>
      <c r="M694" s="76">
        <v>0.22500000000000001</v>
      </c>
      <c r="N694" s="62">
        <v>45888</v>
      </c>
      <c r="O694" s="62">
        <v>46182</v>
      </c>
      <c r="P694" s="63"/>
      <c r="Q694" s="63"/>
      <c r="R694" s="82">
        <v>7</v>
      </c>
      <c r="S694" s="63" t="str">
        <f>VLOOKUP(R694,SA!$B$5:$C$11,2,1)</f>
        <v>0-35</v>
      </c>
      <c r="T694" s="38" t="s">
        <v>97</v>
      </c>
      <c r="U694" s="24" t="s">
        <v>113</v>
      </c>
      <c r="V694" s="24">
        <v>300000</v>
      </c>
      <c r="W694" s="39">
        <f t="shared" si="412"/>
        <v>0</v>
      </c>
      <c r="X694" s="29">
        <f t="shared" si="413"/>
        <v>0</v>
      </c>
      <c r="Y694" s="40">
        <f t="shared" si="414"/>
        <v>295</v>
      </c>
      <c r="Z694" s="38">
        <f t="shared" si="397"/>
        <v>46081</v>
      </c>
      <c r="AA694" s="41">
        <f t="shared" si="415"/>
        <v>194</v>
      </c>
      <c r="AB694" s="24" t="s">
        <v>125</v>
      </c>
      <c r="AC694" s="41">
        <f t="shared" si="416"/>
        <v>3131.2119534246576</v>
      </c>
      <c r="AD694" s="41">
        <v>1</v>
      </c>
      <c r="AE694" s="72">
        <f>IFERROR(INDEX(SA!$C$4:$E$11,MATCH(Details!S694,SA!$C$4:$C$11,0),MATCH(Details!V694,SA!$C$4:$E$4,0)),0)*Y694/(F694-E694+1)</f>
        <v>2653.5694520547945</v>
      </c>
      <c r="AF694" s="41">
        <f t="shared" si="417"/>
        <v>0</v>
      </c>
      <c r="AG694" s="41">
        <f t="shared" si="418"/>
        <v>0</v>
      </c>
      <c r="AH694" s="41">
        <f t="shared" si="419"/>
        <v>477.642501369863</v>
      </c>
      <c r="AI694" s="60">
        <f t="shared" si="420"/>
        <v>106.14277808219178</v>
      </c>
      <c r="AJ694" s="60">
        <f t="shared" si="421"/>
        <v>597.05312671232878</v>
      </c>
      <c r="AK694" s="60">
        <f t="shared" si="422"/>
        <v>1745.0592328767123</v>
      </c>
      <c r="AL694" s="60">
        <f t="shared" si="423"/>
        <v>1282.6185361643834</v>
      </c>
      <c r="AM694" s="41">
        <f t="shared" si="424"/>
        <v>667.7550110958905</v>
      </c>
      <c r="AN694" s="42">
        <f t="shared" si="425"/>
        <v>45715</v>
      </c>
      <c r="AO694" s="43">
        <f t="shared" si="426"/>
        <v>2653.5694520547945</v>
      </c>
    </row>
    <row r="695" spans="1:42" ht="15" customHeight="1" x14ac:dyDescent="0.35">
      <c r="A695" s="36" t="s">
        <v>1480</v>
      </c>
      <c r="B695" s="36">
        <v>202509</v>
      </c>
      <c r="C695" s="24" t="s">
        <v>128</v>
      </c>
      <c r="D695" s="24" t="s">
        <v>129</v>
      </c>
      <c r="E695" s="62">
        <v>45818</v>
      </c>
      <c r="F695" s="62">
        <v>46182</v>
      </c>
      <c r="G695" s="37" t="s">
        <v>400</v>
      </c>
      <c r="H695" s="36">
        <v>2082</v>
      </c>
      <c r="I695" s="63">
        <v>32098</v>
      </c>
      <c r="J695" s="24" t="s">
        <v>1048</v>
      </c>
      <c r="K695" s="63">
        <f t="shared" ref="K695" si="427">N695</f>
        <v>45818</v>
      </c>
      <c r="L695" s="55">
        <f t="shared" ref="L695" si="428">IF(K695&gt;=DATE(2022,4,1),4%,5%)</f>
        <v>0.04</v>
      </c>
      <c r="M695" s="76">
        <v>0.22500000000000001</v>
      </c>
      <c r="N695" s="62">
        <v>45818</v>
      </c>
      <c r="O695" s="62">
        <v>46182</v>
      </c>
      <c r="P695" s="63">
        <v>45892</v>
      </c>
      <c r="Q695" s="63">
        <f t="shared" ref="Q695" si="429">P695+1</f>
        <v>45893</v>
      </c>
      <c r="R695" s="82">
        <v>37</v>
      </c>
      <c r="S695" s="63" t="str">
        <f>VLOOKUP(R695,SA!$B$5:$C$11,2,1)</f>
        <v>36-45</v>
      </c>
      <c r="T695" s="38" t="s">
        <v>96</v>
      </c>
      <c r="U695" s="24" t="s">
        <v>56</v>
      </c>
      <c r="V695" s="24">
        <v>-300000</v>
      </c>
      <c r="W695" s="39">
        <f t="shared" ref="W695" si="430">IF(U695="self",V695,0)</f>
        <v>-300000</v>
      </c>
      <c r="X695" s="29">
        <f t="shared" ref="X695" si="431">IF(U695="self",-1,0)</f>
        <v>-1</v>
      </c>
      <c r="Y695" s="40">
        <f t="shared" ref="Y695" si="432">O695-Q695+1</f>
        <v>290</v>
      </c>
      <c r="Z695" s="38">
        <f t="shared" ref="Z695:Z706" si="433">$Z$1</f>
        <v>46081</v>
      </c>
      <c r="AA695" s="41">
        <f t="shared" ref="AA695" si="434">IF(MIN((Z695-Q695)+1,Y695)&lt;0,0,MIN((Z695-Q695)+1,Y695))</f>
        <v>189</v>
      </c>
      <c r="AB695" s="24" t="s">
        <v>125</v>
      </c>
      <c r="AC695" s="41">
        <f t="shared" ref="AC695" si="435">AE695+AF695+AG695+AH695</f>
        <v>-3986.3674904109594</v>
      </c>
      <c r="AD695" s="41">
        <v>-1</v>
      </c>
      <c r="AE695" s="72">
        <f>-IFERROR(INDEX(SA!$C$4:$E$11,MATCH(Details!S695,SA!$C$4:$C$11,0),MATCH(-Details!V695,SA!$C$4:$E$4,0)),0)*Y695/(F695-E695+1)</f>
        <v>-3378.2775342465757</v>
      </c>
      <c r="AF695" s="41">
        <f t="shared" ref="AF695" si="436">IF(AB695="Karnataka",AE695*9%,0)</f>
        <v>0</v>
      </c>
      <c r="AG695" s="41">
        <f t="shared" ref="AG695" si="437">IF(AB695="Karnataka",AE695*9%,0)</f>
        <v>0</v>
      </c>
      <c r="AH695" s="41">
        <f t="shared" ref="AH695" si="438">IF(AF695+AG695&gt;0,0,AE695*18%)</f>
        <v>-608.08995616438358</v>
      </c>
      <c r="AI695" s="60">
        <f t="shared" ref="AI695" si="439">AE695*L695</f>
        <v>-135.13110136986302</v>
      </c>
      <c r="AJ695" s="60">
        <f t="shared" ref="AJ695" si="440">$AE695*M695</f>
        <v>-760.1124452054795</v>
      </c>
      <c r="AK695" s="60">
        <f t="shared" ref="AK695" si="441">(AE695)*AA695/Y695</f>
        <v>-2201.7050136986304</v>
      </c>
      <c r="AL695" s="60">
        <f t="shared" ref="AL695" si="442">AK695*(1-L695-M695)</f>
        <v>-1618.2531850684934</v>
      </c>
      <c r="AM695" s="41">
        <f t="shared" ref="AM695" si="443">AE695-AI695-AL695-AJ695</f>
        <v>-864.78080260273953</v>
      </c>
      <c r="AN695" s="42">
        <f t="shared" ref="AN695" si="444">Z695-366</f>
        <v>45715</v>
      </c>
      <c r="AO695" s="43">
        <f t="shared" ref="AO695" si="445">IF(AND(O695&gt;Z695,N695&gt;AN695),AE695,0)</f>
        <v>-3378.2775342465757</v>
      </c>
      <c r="AP695" s="3" t="s">
        <v>1522</v>
      </c>
    </row>
    <row r="696" spans="1:42" ht="15" customHeight="1" x14ac:dyDescent="0.35">
      <c r="A696" s="36" t="s">
        <v>1480</v>
      </c>
      <c r="B696" s="36">
        <v>202509</v>
      </c>
      <c r="C696" s="24" t="s">
        <v>128</v>
      </c>
      <c r="D696" s="24" t="s">
        <v>129</v>
      </c>
      <c r="E696" s="62">
        <v>45818</v>
      </c>
      <c r="F696" s="62">
        <v>46182</v>
      </c>
      <c r="G696" s="37" t="s">
        <v>401</v>
      </c>
      <c r="H696" s="36">
        <v>2082</v>
      </c>
      <c r="I696" s="63">
        <v>43751</v>
      </c>
      <c r="J696" s="24" t="s">
        <v>1049</v>
      </c>
      <c r="K696" s="63">
        <f t="shared" ref="K696:K706" si="446">N696</f>
        <v>45818</v>
      </c>
      <c r="L696" s="55">
        <f t="shared" ref="L696:L706" si="447">IF(K696&gt;=DATE(2022,4,1),4%,5%)</f>
        <v>0.04</v>
      </c>
      <c r="M696" s="76">
        <v>0.22500000000000001</v>
      </c>
      <c r="N696" s="62">
        <v>45818</v>
      </c>
      <c r="O696" s="62">
        <v>46182</v>
      </c>
      <c r="P696" s="63">
        <v>45892</v>
      </c>
      <c r="Q696" s="63">
        <f t="shared" ref="Q696:Q706" si="448">P696+1</f>
        <v>45893</v>
      </c>
      <c r="R696" s="82">
        <v>5</v>
      </c>
      <c r="S696" s="63" t="str">
        <f>VLOOKUP(R696,SA!$B$5:$C$11,2,1)</f>
        <v>0-35</v>
      </c>
      <c r="T696" s="38" t="s">
        <v>96</v>
      </c>
      <c r="U696" s="24" t="s">
        <v>114</v>
      </c>
      <c r="V696" s="24">
        <v>-300000</v>
      </c>
      <c r="W696" s="39">
        <f t="shared" ref="W696:W706" si="449">IF(U696="self",V696,0)</f>
        <v>0</v>
      </c>
      <c r="X696" s="29">
        <f t="shared" ref="X696:X706" si="450">IF(U696="self",-1,0)</f>
        <v>0</v>
      </c>
      <c r="Y696" s="40">
        <f t="shared" ref="Y696:Y706" si="451">O696-Q696+1</f>
        <v>290</v>
      </c>
      <c r="Z696" s="38">
        <f t="shared" si="433"/>
        <v>46081</v>
      </c>
      <c r="AA696" s="41">
        <f t="shared" ref="AA696:AA706" si="452">IF(MIN((Z696-Q696)+1,Y696)&lt;0,0,MIN((Z696-Q696)+1,Y696))</f>
        <v>189</v>
      </c>
      <c r="AB696" s="24" t="s">
        <v>125</v>
      </c>
      <c r="AC696" s="41">
        <f t="shared" ref="AC696:AC706" si="453">AE696+AF696+AG696+AH696</f>
        <v>-3078.1405643835615</v>
      </c>
      <c r="AD696" s="41">
        <v>-1</v>
      </c>
      <c r="AE696" s="72">
        <f>-IFERROR(INDEX(SA!$C$4:$E$11,MATCH(Details!S696,SA!$C$4:$C$11,0),MATCH(-Details!V696,SA!$C$4:$E$4,0)),0)*Y696/(F696-E696+1)</f>
        <v>-2608.5936986301367</v>
      </c>
      <c r="AF696" s="41">
        <f t="shared" ref="AF696:AF706" si="454">IF(AB696="Karnataka",AE696*9%,0)</f>
        <v>0</v>
      </c>
      <c r="AG696" s="41">
        <f t="shared" ref="AG696:AG706" si="455">IF(AB696="Karnataka",AE696*9%,0)</f>
        <v>0</v>
      </c>
      <c r="AH696" s="41">
        <f t="shared" ref="AH696:AH706" si="456">IF(AF696+AG696&gt;0,0,AE696*18%)</f>
        <v>-469.54686575342458</v>
      </c>
      <c r="AI696" s="60">
        <f t="shared" ref="AI696:AI706" si="457">AE696*L696</f>
        <v>-104.34374794520546</v>
      </c>
      <c r="AJ696" s="60">
        <f t="shared" ref="AJ696:AJ706" si="458">$AE696*M696</f>
        <v>-586.93358219178083</v>
      </c>
      <c r="AK696" s="60">
        <f t="shared" ref="AK696:AK706" si="459">(AE696)*AA696/Y696</f>
        <v>-1700.0834794520547</v>
      </c>
      <c r="AL696" s="60">
        <f t="shared" ref="AL696:AL706" si="460">AK696*(1-L696-M696)</f>
        <v>-1249.5613573972603</v>
      </c>
      <c r="AM696" s="41">
        <f t="shared" ref="AM696:AM706" si="461">AE696-AI696-AL696-AJ696</f>
        <v>-667.75501109589015</v>
      </c>
      <c r="AN696" s="42">
        <f t="shared" ref="AN696:AN706" si="462">Z696-366</f>
        <v>45715</v>
      </c>
      <c r="AO696" s="43">
        <f t="shared" ref="AO696:AO706" si="463">IF(AND(O696&gt;Z696,N696&gt;AN696),AE696,0)</f>
        <v>-2608.5936986301367</v>
      </c>
      <c r="AP696" s="3" t="s">
        <v>1522</v>
      </c>
    </row>
    <row r="697" spans="1:42" ht="15" customHeight="1" x14ac:dyDescent="0.35">
      <c r="A697" s="36" t="s">
        <v>1480</v>
      </c>
      <c r="B697" s="36">
        <v>202509</v>
      </c>
      <c r="C697" s="24" t="s">
        <v>128</v>
      </c>
      <c r="D697" s="24" t="s">
        <v>129</v>
      </c>
      <c r="E697" s="62">
        <v>45818</v>
      </c>
      <c r="F697" s="62">
        <v>46182</v>
      </c>
      <c r="G697" s="37" t="s">
        <v>402</v>
      </c>
      <c r="H697" s="36">
        <v>2082</v>
      </c>
      <c r="I697" s="63">
        <v>34355</v>
      </c>
      <c r="J697" s="24" t="s">
        <v>1050</v>
      </c>
      <c r="K697" s="63">
        <f t="shared" si="446"/>
        <v>45818</v>
      </c>
      <c r="L697" s="55">
        <f t="shared" si="447"/>
        <v>0.04</v>
      </c>
      <c r="M697" s="76">
        <v>0.22500000000000001</v>
      </c>
      <c r="N697" s="62">
        <v>45818</v>
      </c>
      <c r="O697" s="62">
        <v>46182</v>
      </c>
      <c r="P697" s="63">
        <v>45892</v>
      </c>
      <c r="Q697" s="63">
        <f t="shared" si="448"/>
        <v>45893</v>
      </c>
      <c r="R697" s="82">
        <v>31</v>
      </c>
      <c r="S697" s="63" t="str">
        <f>VLOOKUP(R697,SA!$B$5:$C$11,2,1)</f>
        <v>0-35</v>
      </c>
      <c r="T697" s="38" t="s">
        <v>97</v>
      </c>
      <c r="U697" s="24" t="s">
        <v>115</v>
      </c>
      <c r="V697" s="24">
        <v>-300000</v>
      </c>
      <c r="W697" s="39">
        <f t="shared" si="449"/>
        <v>0</v>
      </c>
      <c r="X697" s="29">
        <f t="shared" si="450"/>
        <v>0</v>
      </c>
      <c r="Y697" s="40">
        <f t="shared" si="451"/>
        <v>290</v>
      </c>
      <c r="Z697" s="38">
        <f t="shared" si="433"/>
        <v>46081</v>
      </c>
      <c r="AA697" s="41">
        <f t="shared" si="452"/>
        <v>189</v>
      </c>
      <c r="AB697" s="24" t="s">
        <v>125</v>
      </c>
      <c r="AC697" s="41">
        <f t="shared" si="453"/>
        <v>-3078.1405643835615</v>
      </c>
      <c r="AD697" s="41">
        <v>-1</v>
      </c>
      <c r="AE697" s="72">
        <f>-IFERROR(INDEX(SA!$C$4:$E$11,MATCH(Details!S697,SA!$C$4:$C$11,0),MATCH(-Details!V697,SA!$C$4:$E$4,0)),0)*Y697/(F697-E697+1)</f>
        <v>-2608.5936986301367</v>
      </c>
      <c r="AF697" s="41">
        <f t="shared" si="454"/>
        <v>0</v>
      </c>
      <c r="AG697" s="41">
        <f t="shared" si="455"/>
        <v>0</v>
      </c>
      <c r="AH697" s="41">
        <f t="shared" si="456"/>
        <v>-469.54686575342458</v>
      </c>
      <c r="AI697" s="60">
        <f t="shared" si="457"/>
        <v>-104.34374794520546</v>
      </c>
      <c r="AJ697" s="60">
        <f t="shared" si="458"/>
        <v>-586.93358219178083</v>
      </c>
      <c r="AK697" s="60">
        <f t="shared" si="459"/>
        <v>-1700.0834794520547</v>
      </c>
      <c r="AL697" s="60">
        <f t="shared" si="460"/>
        <v>-1249.5613573972603</v>
      </c>
      <c r="AM697" s="41">
        <f t="shared" si="461"/>
        <v>-667.75501109589015</v>
      </c>
      <c r="AN697" s="42">
        <f t="shared" si="462"/>
        <v>45715</v>
      </c>
      <c r="AO697" s="43">
        <f t="shared" si="463"/>
        <v>-2608.5936986301367</v>
      </c>
      <c r="AP697" s="3" t="s">
        <v>1522</v>
      </c>
    </row>
    <row r="698" spans="1:42" ht="15" customHeight="1" x14ac:dyDescent="0.35">
      <c r="A698" s="36" t="s">
        <v>1480</v>
      </c>
      <c r="B698" s="36">
        <v>202509</v>
      </c>
      <c r="C698" s="24" t="s">
        <v>128</v>
      </c>
      <c r="D698" s="24" t="s">
        <v>129</v>
      </c>
      <c r="E698" s="62">
        <v>45818</v>
      </c>
      <c r="F698" s="62">
        <v>46182</v>
      </c>
      <c r="G698" s="37" t="s">
        <v>403</v>
      </c>
      <c r="H698" s="36">
        <v>2082</v>
      </c>
      <c r="I698" s="63">
        <v>45702</v>
      </c>
      <c r="J698" s="24" t="s">
        <v>1051</v>
      </c>
      <c r="K698" s="63">
        <f t="shared" si="446"/>
        <v>45818</v>
      </c>
      <c r="L698" s="55">
        <f t="shared" si="447"/>
        <v>0.04</v>
      </c>
      <c r="M698" s="76">
        <v>0.22500000000000001</v>
      </c>
      <c r="N698" s="62">
        <v>45818</v>
      </c>
      <c r="O698" s="62">
        <v>46182</v>
      </c>
      <c r="P698" s="63">
        <v>45892</v>
      </c>
      <c r="Q698" s="63">
        <f t="shared" si="448"/>
        <v>45893</v>
      </c>
      <c r="R698" s="82">
        <v>0</v>
      </c>
      <c r="S698" s="63" t="str">
        <f>VLOOKUP(R698,SA!$B$5:$C$11,2,1)</f>
        <v>0-35</v>
      </c>
      <c r="T698" s="38" t="s">
        <v>96</v>
      </c>
      <c r="U698" s="24" t="s">
        <v>114</v>
      </c>
      <c r="V698" s="24">
        <v>-300000</v>
      </c>
      <c r="W698" s="39">
        <f t="shared" si="449"/>
        <v>0</v>
      </c>
      <c r="X698" s="29">
        <f t="shared" si="450"/>
        <v>0</v>
      </c>
      <c r="Y698" s="40">
        <f t="shared" si="451"/>
        <v>290</v>
      </c>
      <c r="Z698" s="38">
        <f t="shared" si="433"/>
        <v>46081</v>
      </c>
      <c r="AA698" s="41">
        <f t="shared" si="452"/>
        <v>189</v>
      </c>
      <c r="AB698" s="24" t="s">
        <v>125</v>
      </c>
      <c r="AC698" s="41">
        <f t="shared" si="453"/>
        <v>-3078.1405643835615</v>
      </c>
      <c r="AD698" s="41">
        <v>-1</v>
      </c>
      <c r="AE698" s="72">
        <f>-IFERROR(INDEX(SA!$C$4:$E$11,MATCH(Details!S698,SA!$C$4:$C$11,0),MATCH(-Details!V698,SA!$C$4:$E$4,0)),0)*Y698/(F698-E698+1)</f>
        <v>-2608.5936986301367</v>
      </c>
      <c r="AF698" s="41">
        <f t="shared" si="454"/>
        <v>0</v>
      </c>
      <c r="AG698" s="41">
        <f t="shared" si="455"/>
        <v>0</v>
      </c>
      <c r="AH698" s="41">
        <f t="shared" si="456"/>
        <v>-469.54686575342458</v>
      </c>
      <c r="AI698" s="60">
        <f t="shared" si="457"/>
        <v>-104.34374794520546</v>
      </c>
      <c r="AJ698" s="60">
        <f t="shared" si="458"/>
        <v>-586.93358219178083</v>
      </c>
      <c r="AK698" s="60">
        <f t="shared" si="459"/>
        <v>-1700.0834794520547</v>
      </c>
      <c r="AL698" s="60">
        <f t="shared" si="460"/>
        <v>-1249.5613573972603</v>
      </c>
      <c r="AM698" s="41">
        <f t="shared" si="461"/>
        <v>-667.75501109589015</v>
      </c>
      <c r="AN698" s="42">
        <f t="shared" si="462"/>
        <v>45715</v>
      </c>
      <c r="AO698" s="43">
        <f t="shared" si="463"/>
        <v>-2608.5936986301367</v>
      </c>
      <c r="AP698" s="3" t="s">
        <v>1522</v>
      </c>
    </row>
    <row r="699" spans="1:42" ht="15" customHeight="1" x14ac:dyDescent="0.35">
      <c r="A699" s="36" t="s">
        <v>1480</v>
      </c>
      <c r="B699" s="36">
        <v>202509</v>
      </c>
      <c r="C699" s="24" t="s">
        <v>128</v>
      </c>
      <c r="D699" s="24" t="s">
        <v>129</v>
      </c>
      <c r="E699" s="62">
        <v>45818</v>
      </c>
      <c r="F699" s="62">
        <v>46182</v>
      </c>
      <c r="G699" s="37" t="s">
        <v>502</v>
      </c>
      <c r="H699" s="36">
        <v>2154</v>
      </c>
      <c r="I699" s="63">
        <v>32639</v>
      </c>
      <c r="J699" s="24" t="s">
        <v>1151</v>
      </c>
      <c r="K699" s="63">
        <f t="shared" si="446"/>
        <v>45818</v>
      </c>
      <c r="L699" s="55">
        <f t="shared" si="447"/>
        <v>0.04</v>
      </c>
      <c r="M699" s="76">
        <v>0.22500000000000001</v>
      </c>
      <c r="N699" s="62">
        <v>45818</v>
      </c>
      <c r="O699" s="62">
        <v>46182</v>
      </c>
      <c r="P699" s="63">
        <v>45899</v>
      </c>
      <c r="Q699" s="63">
        <f t="shared" si="448"/>
        <v>45900</v>
      </c>
      <c r="R699" s="82">
        <v>36</v>
      </c>
      <c r="S699" s="63" t="str">
        <f>VLOOKUP(R699,SA!$B$5:$C$11,2,1)</f>
        <v>36-45</v>
      </c>
      <c r="T699" s="38" t="s">
        <v>96</v>
      </c>
      <c r="U699" s="24" t="s">
        <v>56</v>
      </c>
      <c r="V699" s="24">
        <v>-300000</v>
      </c>
      <c r="W699" s="39">
        <f t="shared" si="449"/>
        <v>-300000</v>
      </c>
      <c r="X699" s="29">
        <f t="shared" si="450"/>
        <v>-1</v>
      </c>
      <c r="Y699" s="40">
        <f t="shared" si="451"/>
        <v>283</v>
      </c>
      <c r="Z699" s="38">
        <f t="shared" si="433"/>
        <v>46081</v>
      </c>
      <c r="AA699" s="41">
        <f t="shared" si="452"/>
        <v>182</v>
      </c>
      <c r="AB699" s="24" t="s">
        <v>125</v>
      </c>
      <c r="AC699" s="41">
        <f t="shared" si="453"/>
        <v>-3890.144826849315</v>
      </c>
      <c r="AD699" s="41">
        <v>-1</v>
      </c>
      <c r="AE699" s="72">
        <f>-IFERROR(INDEX(SA!$C$4:$E$11,MATCH(Details!S699,SA!$C$4:$C$11,0),MATCH(-Details!V699,SA!$C$4:$E$4,0)),0)*Y699/(F699-E699+1)</f>
        <v>-3296.7329041095891</v>
      </c>
      <c r="AF699" s="41">
        <f t="shared" si="454"/>
        <v>0</v>
      </c>
      <c r="AG699" s="41">
        <f t="shared" si="455"/>
        <v>0</v>
      </c>
      <c r="AH699" s="41">
        <f t="shared" si="456"/>
        <v>-593.41192273972604</v>
      </c>
      <c r="AI699" s="60">
        <f t="shared" si="457"/>
        <v>-131.86931616438358</v>
      </c>
      <c r="AJ699" s="60">
        <f t="shared" si="458"/>
        <v>-741.76490342465752</v>
      </c>
      <c r="AK699" s="60">
        <f t="shared" si="459"/>
        <v>-2120.1603835616438</v>
      </c>
      <c r="AL699" s="60">
        <f t="shared" si="460"/>
        <v>-1558.3178819178081</v>
      </c>
      <c r="AM699" s="41">
        <f t="shared" si="461"/>
        <v>-864.78080260273975</v>
      </c>
      <c r="AN699" s="42">
        <f t="shared" si="462"/>
        <v>45715</v>
      </c>
      <c r="AO699" s="43">
        <f t="shared" si="463"/>
        <v>-3296.7329041095891</v>
      </c>
      <c r="AP699" s="3" t="s">
        <v>1522</v>
      </c>
    </row>
    <row r="700" spans="1:42" ht="15" customHeight="1" x14ac:dyDescent="0.35">
      <c r="A700" s="36" t="s">
        <v>1480</v>
      </c>
      <c r="B700" s="36">
        <v>202509</v>
      </c>
      <c r="C700" s="24" t="s">
        <v>128</v>
      </c>
      <c r="D700" s="24" t="s">
        <v>129</v>
      </c>
      <c r="E700" s="62">
        <v>45818</v>
      </c>
      <c r="F700" s="62">
        <v>46182</v>
      </c>
      <c r="G700" s="37" t="s">
        <v>503</v>
      </c>
      <c r="H700" s="36">
        <v>2154</v>
      </c>
      <c r="I700" s="63">
        <v>42271</v>
      </c>
      <c r="J700" s="24" t="s">
        <v>1152</v>
      </c>
      <c r="K700" s="63">
        <f t="shared" si="446"/>
        <v>45818</v>
      </c>
      <c r="L700" s="55">
        <f t="shared" si="447"/>
        <v>0.04</v>
      </c>
      <c r="M700" s="76">
        <v>0.22500000000000001</v>
      </c>
      <c r="N700" s="62">
        <v>45818</v>
      </c>
      <c r="O700" s="62">
        <v>46182</v>
      </c>
      <c r="P700" s="63">
        <v>45899</v>
      </c>
      <c r="Q700" s="63">
        <f t="shared" si="448"/>
        <v>45900</v>
      </c>
      <c r="R700" s="82">
        <v>9</v>
      </c>
      <c r="S700" s="63" t="str">
        <f>VLOOKUP(R700,SA!$B$5:$C$11,2,1)</f>
        <v>0-35</v>
      </c>
      <c r="T700" s="38" t="s">
        <v>96</v>
      </c>
      <c r="U700" s="24" t="s">
        <v>114</v>
      </c>
      <c r="V700" s="24">
        <v>-300000</v>
      </c>
      <c r="W700" s="39">
        <f t="shared" si="449"/>
        <v>0</v>
      </c>
      <c r="X700" s="29">
        <f t="shared" si="450"/>
        <v>0</v>
      </c>
      <c r="Y700" s="40">
        <f t="shared" si="451"/>
        <v>283</v>
      </c>
      <c r="Z700" s="38">
        <f t="shared" si="433"/>
        <v>46081</v>
      </c>
      <c r="AA700" s="41">
        <f t="shared" si="452"/>
        <v>182</v>
      </c>
      <c r="AB700" s="24" t="s">
        <v>125</v>
      </c>
      <c r="AC700" s="41">
        <f t="shared" si="453"/>
        <v>-3003.8406197260274</v>
      </c>
      <c r="AD700" s="41">
        <v>-1</v>
      </c>
      <c r="AE700" s="72">
        <f>-IFERROR(INDEX(SA!$C$4:$E$11,MATCH(Details!S700,SA!$C$4:$C$11,0),MATCH(-Details!V700,SA!$C$4:$E$4,0)),0)*Y700/(F700-E700+1)</f>
        <v>-2545.6276438356163</v>
      </c>
      <c r="AF700" s="41">
        <f t="shared" si="454"/>
        <v>0</v>
      </c>
      <c r="AG700" s="41">
        <f t="shared" si="455"/>
        <v>0</v>
      </c>
      <c r="AH700" s="41">
        <f t="shared" si="456"/>
        <v>-458.21297589041092</v>
      </c>
      <c r="AI700" s="60">
        <f t="shared" si="457"/>
        <v>-101.82510575342465</v>
      </c>
      <c r="AJ700" s="60">
        <f t="shared" si="458"/>
        <v>-572.7662198630137</v>
      </c>
      <c r="AK700" s="60">
        <f t="shared" si="459"/>
        <v>-1637.1174246575342</v>
      </c>
      <c r="AL700" s="60">
        <f t="shared" si="460"/>
        <v>-1203.2813071232877</v>
      </c>
      <c r="AM700" s="41">
        <f t="shared" si="461"/>
        <v>-667.75501109589004</v>
      </c>
      <c r="AN700" s="42">
        <f t="shared" si="462"/>
        <v>45715</v>
      </c>
      <c r="AO700" s="43">
        <f t="shared" si="463"/>
        <v>-2545.6276438356163</v>
      </c>
      <c r="AP700" s="3" t="s">
        <v>1522</v>
      </c>
    </row>
    <row r="701" spans="1:42" ht="15" customHeight="1" x14ac:dyDescent="0.35">
      <c r="A701" s="36" t="s">
        <v>1480</v>
      </c>
      <c r="B701" s="36">
        <v>202509</v>
      </c>
      <c r="C701" s="24" t="s">
        <v>128</v>
      </c>
      <c r="D701" s="24" t="s">
        <v>129</v>
      </c>
      <c r="E701" s="62">
        <v>45818</v>
      </c>
      <c r="F701" s="62">
        <v>46182</v>
      </c>
      <c r="G701" s="37" t="s">
        <v>504</v>
      </c>
      <c r="H701" s="36">
        <v>2154</v>
      </c>
      <c r="I701" s="63">
        <v>32316</v>
      </c>
      <c r="J701" s="24" t="s">
        <v>1153</v>
      </c>
      <c r="K701" s="63">
        <f t="shared" si="446"/>
        <v>45818</v>
      </c>
      <c r="L701" s="55">
        <f t="shared" si="447"/>
        <v>0.04</v>
      </c>
      <c r="M701" s="76">
        <v>0.22500000000000001</v>
      </c>
      <c r="N701" s="62">
        <v>45818</v>
      </c>
      <c r="O701" s="62">
        <v>46182</v>
      </c>
      <c r="P701" s="63">
        <v>45899</v>
      </c>
      <c r="Q701" s="63">
        <f t="shared" si="448"/>
        <v>45900</v>
      </c>
      <c r="R701" s="82">
        <v>36</v>
      </c>
      <c r="S701" s="63" t="str">
        <f>VLOOKUP(R701,SA!$B$5:$C$11,2,1)</f>
        <v>36-45</v>
      </c>
      <c r="T701" s="38" t="s">
        <v>97</v>
      </c>
      <c r="U701" s="24" t="s">
        <v>115</v>
      </c>
      <c r="V701" s="24">
        <v>-300000</v>
      </c>
      <c r="W701" s="39">
        <f t="shared" si="449"/>
        <v>0</v>
      </c>
      <c r="X701" s="29">
        <f t="shared" si="450"/>
        <v>0</v>
      </c>
      <c r="Y701" s="40">
        <f t="shared" si="451"/>
        <v>283</v>
      </c>
      <c r="Z701" s="38">
        <f t="shared" si="433"/>
        <v>46081</v>
      </c>
      <c r="AA701" s="41">
        <f t="shared" si="452"/>
        <v>182</v>
      </c>
      <c r="AB701" s="24" t="s">
        <v>125</v>
      </c>
      <c r="AC701" s="41">
        <f t="shared" si="453"/>
        <v>-3890.144826849315</v>
      </c>
      <c r="AD701" s="41">
        <v>-1</v>
      </c>
      <c r="AE701" s="72">
        <f>-IFERROR(INDEX(SA!$C$4:$E$11,MATCH(Details!S701,SA!$C$4:$C$11,0),MATCH(-Details!V701,SA!$C$4:$E$4,0)),0)*Y701/(F701-E701+1)</f>
        <v>-3296.7329041095891</v>
      </c>
      <c r="AF701" s="41">
        <f t="shared" si="454"/>
        <v>0</v>
      </c>
      <c r="AG701" s="41">
        <f t="shared" si="455"/>
        <v>0</v>
      </c>
      <c r="AH701" s="41">
        <f t="shared" si="456"/>
        <v>-593.41192273972604</v>
      </c>
      <c r="AI701" s="60">
        <f t="shared" si="457"/>
        <v>-131.86931616438358</v>
      </c>
      <c r="AJ701" s="60">
        <f t="shared" si="458"/>
        <v>-741.76490342465752</v>
      </c>
      <c r="AK701" s="60">
        <f t="shared" si="459"/>
        <v>-2120.1603835616438</v>
      </c>
      <c r="AL701" s="60">
        <f t="shared" si="460"/>
        <v>-1558.3178819178081</v>
      </c>
      <c r="AM701" s="41">
        <f t="shared" si="461"/>
        <v>-864.78080260273975</v>
      </c>
      <c r="AN701" s="42">
        <f t="shared" si="462"/>
        <v>45715</v>
      </c>
      <c r="AO701" s="43">
        <f t="shared" si="463"/>
        <v>-3296.7329041095891</v>
      </c>
      <c r="AP701" s="3" t="s">
        <v>1522</v>
      </c>
    </row>
    <row r="702" spans="1:42" ht="15" customHeight="1" x14ac:dyDescent="0.35">
      <c r="A702" s="36" t="s">
        <v>1480</v>
      </c>
      <c r="B702" s="36">
        <v>202509</v>
      </c>
      <c r="C702" s="24" t="s">
        <v>128</v>
      </c>
      <c r="D702" s="24" t="s">
        <v>129</v>
      </c>
      <c r="E702" s="62">
        <v>45818</v>
      </c>
      <c r="F702" s="62">
        <v>46182</v>
      </c>
      <c r="G702" s="37" t="s">
        <v>505</v>
      </c>
      <c r="H702" s="36">
        <v>2154</v>
      </c>
      <c r="I702" s="63">
        <v>42770</v>
      </c>
      <c r="J702" s="24" t="s">
        <v>1154</v>
      </c>
      <c r="K702" s="63">
        <f t="shared" si="446"/>
        <v>45818</v>
      </c>
      <c r="L702" s="55">
        <f t="shared" si="447"/>
        <v>0.04</v>
      </c>
      <c r="M702" s="76">
        <v>0.22500000000000001</v>
      </c>
      <c r="N702" s="62">
        <v>45818</v>
      </c>
      <c r="O702" s="62">
        <v>46182</v>
      </c>
      <c r="P702" s="63">
        <v>45899</v>
      </c>
      <c r="Q702" s="63">
        <f t="shared" si="448"/>
        <v>45900</v>
      </c>
      <c r="R702" s="82">
        <v>8</v>
      </c>
      <c r="S702" s="63" t="str">
        <f>VLOOKUP(R702,SA!$B$5:$C$11,2,1)</f>
        <v>0-35</v>
      </c>
      <c r="T702" s="38" t="s">
        <v>97</v>
      </c>
      <c r="U702" s="24" t="s">
        <v>113</v>
      </c>
      <c r="V702" s="24">
        <v>-300000</v>
      </c>
      <c r="W702" s="39">
        <f t="shared" si="449"/>
        <v>0</v>
      </c>
      <c r="X702" s="29">
        <f t="shared" si="450"/>
        <v>0</v>
      </c>
      <c r="Y702" s="40">
        <f t="shared" si="451"/>
        <v>283</v>
      </c>
      <c r="Z702" s="38">
        <f t="shared" si="433"/>
        <v>46081</v>
      </c>
      <c r="AA702" s="41">
        <f t="shared" si="452"/>
        <v>182</v>
      </c>
      <c r="AB702" s="24" t="s">
        <v>125</v>
      </c>
      <c r="AC702" s="41">
        <f t="shared" si="453"/>
        <v>-3003.8406197260274</v>
      </c>
      <c r="AD702" s="41">
        <v>-1</v>
      </c>
      <c r="AE702" s="72">
        <f>-IFERROR(INDEX(SA!$C$4:$E$11,MATCH(Details!S702,SA!$C$4:$C$11,0),MATCH(-Details!V702,SA!$C$4:$E$4,0)),0)*Y702/(F702-E702+1)</f>
        <v>-2545.6276438356163</v>
      </c>
      <c r="AF702" s="41">
        <f t="shared" si="454"/>
        <v>0</v>
      </c>
      <c r="AG702" s="41">
        <f t="shared" si="455"/>
        <v>0</v>
      </c>
      <c r="AH702" s="41">
        <f t="shared" si="456"/>
        <v>-458.21297589041092</v>
      </c>
      <c r="AI702" s="60">
        <f t="shared" si="457"/>
        <v>-101.82510575342465</v>
      </c>
      <c r="AJ702" s="60">
        <f t="shared" si="458"/>
        <v>-572.7662198630137</v>
      </c>
      <c r="AK702" s="60">
        <f t="shared" si="459"/>
        <v>-1637.1174246575342</v>
      </c>
      <c r="AL702" s="60">
        <f t="shared" si="460"/>
        <v>-1203.2813071232877</v>
      </c>
      <c r="AM702" s="41">
        <f t="shared" si="461"/>
        <v>-667.75501109589004</v>
      </c>
      <c r="AN702" s="42">
        <f t="shared" si="462"/>
        <v>45715</v>
      </c>
      <c r="AO702" s="43">
        <f t="shared" si="463"/>
        <v>-2545.6276438356163</v>
      </c>
      <c r="AP702" s="3" t="s">
        <v>1522</v>
      </c>
    </row>
    <row r="703" spans="1:42" ht="15" customHeight="1" x14ac:dyDescent="0.35">
      <c r="A703" s="36" t="s">
        <v>1480</v>
      </c>
      <c r="B703" s="36">
        <v>202509</v>
      </c>
      <c r="C703" s="24" t="s">
        <v>128</v>
      </c>
      <c r="D703" s="24" t="s">
        <v>129</v>
      </c>
      <c r="E703" s="62">
        <v>45818</v>
      </c>
      <c r="F703" s="62">
        <v>46182</v>
      </c>
      <c r="G703" s="37" t="s">
        <v>563</v>
      </c>
      <c r="H703" s="36">
        <v>2212</v>
      </c>
      <c r="I703" s="63">
        <v>28845</v>
      </c>
      <c r="J703" s="24" t="s">
        <v>1212</v>
      </c>
      <c r="K703" s="63">
        <f t="shared" si="446"/>
        <v>45818</v>
      </c>
      <c r="L703" s="55">
        <f t="shared" si="447"/>
        <v>0.04</v>
      </c>
      <c r="M703" s="76">
        <v>0.22500000000000001</v>
      </c>
      <c r="N703" s="62">
        <v>45818</v>
      </c>
      <c r="O703" s="62">
        <v>46182</v>
      </c>
      <c r="P703" s="63">
        <v>45882</v>
      </c>
      <c r="Q703" s="63">
        <f t="shared" si="448"/>
        <v>45883</v>
      </c>
      <c r="R703" s="82">
        <v>46</v>
      </c>
      <c r="S703" s="63" t="str">
        <f>VLOOKUP(R703,SA!$B$5:$C$11,2,1)</f>
        <v>46-55</v>
      </c>
      <c r="T703" s="38" t="s">
        <v>96</v>
      </c>
      <c r="U703" s="24" t="s">
        <v>56</v>
      </c>
      <c r="V703" s="24">
        <v>-300000</v>
      </c>
      <c r="W703" s="39">
        <f t="shared" si="449"/>
        <v>-300000</v>
      </c>
      <c r="X703" s="29">
        <f t="shared" si="450"/>
        <v>-1</v>
      </c>
      <c r="Y703" s="40">
        <f t="shared" si="451"/>
        <v>300</v>
      </c>
      <c r="Z703" s="38">
        <f t="shared" si="433"/>
        <v>46081</v>
      </c>
      <c r="AA703" s="41">
        <f t="shared" si="452"/>
        <v>199</v>
      </c>
      <c r="AB703" s="24" t="s">
        <v>125</v>
      </c>
      <c r="AC703" s="41">
        <f t="shared" si="453"/>
        <v>-7879.7199452054792</v>
      </c>
      <c r="AD703" s="41">
        <v>-1</v>
      </c>
      <c r="AE703" s="72">
        <f>-IFERROR(INDEX(SA!$C$4:$E$11,MATCH(Details!S703,SA!$C$4:$C$11,0),MATCH(-Details!V703,SA!$C$4:$E$4,0)),0)*Y703/(F703-E703+1)</f>
        <v>-6677.728767123288</v>
      </c>
      <c r="AF703" s="41">
        <f t="shared" si="454"/>
        <v>0</v>
      </c>
      <c r="AG703" s="41">
        <f t="shared" si="455"/>
        <v>0</v>
      </c>
      <c r="AH703" s="41">
        <f t="shared" si="456"/>
        <v>-1201.9911780821917</v>
      </c>
      <c r="AI703" s="60">
        <f t="shared" si="457"/>
        <v>-267.10915068493154</v>
      </c>
      <c r="AJ703" s="60">
        <f t="shared" si="458"/>
        <v>-1502.4889726027398</v>
      </c>
      <c r="AK703" s="60">
        <f t="shared" si="459"/>
        <v>-4429.5600821917806</v>
      </c>
      <c r="AL703" s="60">
        <f t="shared" si="460"/>
        <v>-3255.7266604109586</v>
      </c>
      <c r="AM703" s="41">
        <f t="shared" si="461"/>
        <v>-1652.403983424658</v>
      </c>
      <c r="AN703" s="42">
        <f t="shared" si="462"/>
        <v>45715</v>
      </c>
      <c r="AO703" s="43">
        <f t="shared" si="463"/>
        <v>-6677.728767123288</v>
      </c>
      <c r="AP703" s="3" t="s">
        <v>1522</v>
      </c>
    </row>
    <row r="704" spans="1:42" ht="15" customHeight="1" x14ac:dyDescent="0.35">
      <c r="A704" s="36" t="s">
        <v>1480</v>
      </c>
      <c r="B704" s="36">
        <v>202509</v>
      </c>
      <c r="C704" s="24" t="s">
        <v>128</v>
      </c>
      <c r="D704" s="24" t="s">
        <v>129</v>
      </c>
      <c r="E704" s="62">
        <v>45818</v>
      </c>
      <c r="F704" s="62">
        <v>46182</v>
      </c>
      <c r="G704" s="37" t="s">
        <v>564</v>
      </c>
      <c r="H704" s="36">
        <v>2212</v>
      </c>
      <c r="I704" s="63">
        <v>30886</v>
      </c>
      <c r="J704" s="24" t="s">
        <v>1213</v>
      </c>
      <c r="K704" s="63">
        <f t="shared" si="446"/>
        <v>45818</v>
      </c>
      <c r="L704" s="55">
        <f t="shared" si="447"/>
        <v>0.04</v>
      </c>
      <c r="M704" s="76">
        <v>0.22500000000000001</v>
      </c>
      <c r="N704" s="62">
        <v>45818</v>
      </c>
      <c r="O704" s="62">
        <v>46182</v>
      </c>
      <c r="P704" s="63">
        <v>45882</v>
      </c>
      <c r="Q704" s="63">
        <f t="shared" si="448"/>
        <v>45883</v>
      </c>
      <c r="R704" s="82">
        <v>40</v>
      </c>
      <c r="S704" s="63" t="str">
        <f>VLOOKUP(R704,SA!$B$5:$C$11,2,1)</f>
        <v>36-45</v>
      </c>
      <c r="T704" s="38" t="s">
        <v>97</v>
      </c>
      <c r="U704" s="24" t="s">
        <v>115</v>
      </c>
      <c r="V704" s="24">
        <v>-300000</v>
      </c>
      <c r="W704" s="39">
        <f t="shared" si="449"/>
        <v>0</v>
      </c>
      <c r="X704" s="29">
        <f t="shared" si="450"/>
        <v>0</v>
      </c>
      <c r="Y704" s="40">
        <f t="shared" si="451"/>
        <v>300</v>
      </c>
      <c r="Z704" s="38">
        <f t="shared" si="433"/>
        <v>46081</v>
      </c>
      <c r="AA704" s="41">
        <f t="shared" si="452"/>
        <v>199</v>
      </c>
      <c r="AB704" s="24" t="s">
        <v>125</v>
      </c>
      <c r="AC704" s="41">
        <f t="shared" si="453"/>
        <v>-4123.828438356165</v>
      </c>
      <c r="AD704" s="41">
        <v>-1</v>
      </c>
      <c r="AE704" s="72">
        <f>-IFERROR(INDEX(SA!$C$4:$E$11,MATCH(Details!S704,SA!$C$4:$C$11,0),MATCH(-Details!V704,SA!$C$4:$E$4,0)),0)*Y704/(F704-E704+1)</f>
        <v>-3494.7698630136988</v>
      </c>
      <c r="AF704" s="41">
        <f t="shared" si="454"/>
        <v>0</v>
      </c>
      <c r="AG704" s="41">
        <f t="shared" si="455"/>
        <v>0</v>
      </c>
      <c r="AH704" s="41">
        <f t="shared" si="456"/>
        <v>-629.05857534246582</v>
      </c>
      <c r="AI704" s="60">
        <f t="shared" si="457"/>
        <v>-139.79079452054796</v>
      </c>
      <c r="AJ704" s="60">
        <f t="shared" si="458"/>
        <v>-786.32321917808224</v>
      </c>
      <c r="AK704" s="60">
        <f t="shared" si="459"/>
        <v>-2318.1973424657535</v>
      </c>
      <c r="AL704" s="60">
        <f t="shared" si="460"/>
        <v>-1703.8750467123289</v>
      </c>
      <c r="AM704" s="41">
        <f t="shared" si="461"/>
        <v>-864.78080260273975</v>
      </c>
      <c r="AN704" s="42">
        <f t="shared" si="462"/>
        <v>45715</v>
      </c>
      <c r="AO704" s="43">
        <f t="shared" si="463"/>
        <v>-3494.7698630136988</v>
      </c>
      <c r="AP704" s="3" t="s">
        <v>1522</v>
      </c>
    </row>
    <row r="705" spans="1:42" ht="15" customHeight="1" x14ac:dyDescent="0.35">
      <c r="A705" s="36" t="s">
        <v>1480</v>
      </c>
      <c r="B705" s="36">
        <v>202509</v>
      </c>
      <c r="C705" s="24" t="s">
        <v>128</v>
      </c>
      <c r="D705" s="24" t="s">
        <v>129</v>
      </c>
      <c r="E705" s="62">
        <v>45818</v>
      </c>
      <c r="F705" s="62">
        <v>46182</v>
      </c>
      <c r="G705" s="37" t="s">
        <v>565</v>
      </c>
      <c r="H705" s="36">
        <v>2212</v>
      </c>
      <c r="I705" s="63">
        <v>39655</v>
      </c>
      <c r="J705" s="24" t="s">
        <v>1214</v>
      </c>
      <c r="K705" s="63">
        <f t="shared" si="446"/>
        <v>45818</v>
      </c>
      <c r="L705" s="55">
        <f t="shared" si="447"/>
        <v>0.04</v>
      </c>
      <c r="M705" s="76">
        <v>0.22500000000000001</v>
      </c>
      <c r="N705" s="62">
        <v>45818</v>
      </c>
      <c r="O705" s="62">
        <v>46182</v>
      </c>
      <c r="P705" s="63">
        <v>45882</v>
      </c>
      <c r="Q705" s="63">
        <f t="shared" si="448"/>
        <v>45883</v>
      </c>
      <c r="R705" s="82">
        <v>16</v>
      </c>
      <c r="S705" s="63" t="str">
        <f>VLOOKUP(R705,SA!$B$5:$C$11,2,1)</f>
        <v>0-35</v>
      </c>
      <c r="T705" s="38" t="s">
        <v>96</v>
      </c>
      <c r="U705" s="24" t="s">
        <v>114</v>
      </c>
      <c r="V705" s="24">
        <v>-300000</v>
      </c>
      <c r="W705" s="39">
        <f t="shared" si="449"/>
        <v>0</v>
      </c>
      <c r="X705" s="29">
        <f t="shared" si="450"/>
        <v>0</v>
      </c>
      <c r="Y705" s="40">
        <f t="shared" si="451"/>
        <v>300</v>
      </c>
      <c r="Z705" s="38">
        <f t="shared" si="433"/>
        <v>46081</v>
      </c>
      <c r="AA705" s="41">
        <f t="shared" si="452"/>
        <v>199</v>
      </c>
      <c r="AB705" s="24" t="s">
        <v>125</v>
      </c>
      <c r="AC705" s="41">
        <f t="shared" si="453"/>
        <v>-3184.2833424657533</v>
      </c>
      <c r="AD705" s="41">
        <v>-1</v>
      </c>
      <c r="AE705" s="72">
        <f>-IFERROR(INDEX(SA!$C$4:$E$11,MATCH(Details!S705,SA!$C$4:$C$11,0),MATCH(-Details!V705,SA!$C$4:$E$4,0)),0)*Y705/(F705-E705+1)</f>
        <v>-2698.5452054794519</v>
      </c>
      <c r="AF705" s="41">
        <f t="shared" si="454"/>
        <v>0</v>
      </c>
      <c r="AG705" s="41">
        <f t="shared" si="455"/>
        <v>0</v>
      </c>
      <c r="AH705" s="41">
        <f t="shared" si="456"/>
        <v>-485.7381369863013</v>
      </c>
      <c r="AI705" s="60">
        <f t="shared" si="457"/>
        <v>-107.94180821917807</v>
      </c>
      <c r="AJ705" s="60">
        <f t="shared" si="458"/>
        <v>-607.17267123287672</v>
      </c>
      <c r="AK705" s="60">
        <f t="shared" si="459"/>
        <v>-1790.0349863013698</v>
      </c>
      <c r="AL705" s="60">
        <f t="shared" si="460"/>
        <v>-1315.6757149315067</v>
      </c>
      <c r="AM705" s="41">
        <f t="shared" si="461"/>
        <v>-667.75501109589015</v>
      </c>
      <c r="AN705" s="42">
        <f t="shared" si="462"/>
        <v>45715</v>
      </c>
      <c r="AO705" s="43">
        <f t="shared" si="463"/>
        <v>-2698.5452054794519</v>
      </c>
      <c r="AP705" s="3" t="s">
        <v>1522</v>
      </c>
    </row>
    <row r="706" spans="1:42" ht="15" customHeight="1" x14ac:dyDescent="0.35">
      <c r="A706" s="36" t="s">
        <v>1480</v>
      </c>
      <c r="B706" s="36">
        <v>202509</v>
      </c>
      <c r="C706" s="24" t="s">
        <v>128</v>
      </c>
      <c r="D706" s="24" t="s">
        <v>129</v>
      </c>
      <c r="E706" s="62">
        <v>45818</v>
      </c>
      <c r="F706" s="62">
        <v>46182</v>
      </c>
      <c r="G706" s="37" t="s">
        <v>604</v>
      </c>
      <c r="H706" s="36">
        <v>2265</v>
      </c>
      <c r="I706" s="63">
        <v>34895</v>
      </c>
      <c r="J706" s="24" t="s">
        <v>1254</v>
      </c>
      <c r="K706" s="63">
        <f t="shared" si="446"/>
        <v>45818</v>
      </c>
      <c r="L706" s="55">
        <f t="shared" si="447"/>
        <v>0.04</v>
      </c>
      <c r="M706" s="76">
        <v>0.22500000000000001</v>
      </c>
      <c r="N706" s="62">
        <v>45818</v>
      </c>
      <c r="O706" s="62">
        <v>46182</v>
      </c>
      <c r="P706" s="63">
        <v>45899</v>
      </c>
      <c r="Q706" s="63">
        <f t="shared" si="448"/>
        <v>45900</v>
      </c>
      <c r="R706" s="82">
        <v>29</v>
      </c>
      <c r="S706" s="63" t="str">
        <f>VLOOKUP(R706,SA!$B$5:$C$11,2,1)</f>
        <v>0-35</v>
      </c>
      <c r="T706" s="38" t="s">
        <v>96</v>
      </c>
      <c r="U706" s="24" t="s">
        <v>56</v>
      </c>
      <c r="V706" s="24">
        <v>-300000</v>
      </c>
      <c r="W706" s="39">
        <f t="shared" si="449"/>
        <v>-300000</v>
      </c>
      <c r="X706" s="29">
        <f t="shared" si="450"/>
        <v>-1</v>
      </c>
      <c r="Y706" s="40">
        <f t="shared" si="451"/>
        <v>283</v>
      </c>
      <c r="Z706" s="38">
        <f t="shared" si="433"/>
        <v>46081</v>
      </c>
      <c r="AA706" s="41">
        <f t="shared" si="452"/>
        <v>182</v>
      </c>
      <c r="AB706" s="24" t="s">
        <v>125</v>
      </c>
      <c r="AC706" s="41">
        <f t="shared" si="453"/>
        <v>-3003.8406197260274</v>
      </c>
      <c r="AD706" s="41">
        <v>-1</v>
      </c>
      <c r="AE706" s="72">
        <f>-IFERROR(INDEX(SA!$C$4:$E$11,MATCH(Details!S706,SA!$C$4:$C$11,0),MATCH(-Details!V706,SA!$C$4:$E$4,0)),0)*Y706/(F706-E706+1)</f>
        <v>-2545.6276438356163</v>
      </c>
      <c r="AF706" s="41">
        <f t="shared" si="454"/>
        <v>0</v>
      </c>
      <c r="AG706" s="41">
        <f t="shared" si="455"/>
        <v>0</v>
      </c>
      <c r="AH706" s="41">
        <f t="shared" si="456"/>
        <v>-458.21297589041092</v>
      </c>
      <c r="AI706" s="60">
        <f t="shared" si="457"/>
        <v>-101.82510575342465</v>
      </c>
      <c r="AJ706" s="60">
        <f t="shared" si="458"/>
        <v>-572.7662198630137</v>
      </c>
      <c r="AK706" s="60">
        <f t="shared" si="459"/>
        <v>-1637.1174246575342</v>
      </c>
      <c r="AL706" s="60">
        <f t="shared" si="460"/>
        <v>-1203.2813071232877</v>
      </c>
      <c r="AM706" s="41">
        <f t="shared" si="461"/>
        <v>-667.75501109589004</v>
      </c>
      <c r="AN706" s="42">
        <f t="shared" si="462"/>
        <v>45715</v>
      </c>
      <c r="AO706" s="43">
        <f t="shared" si="463"/>
        <v>-2545.6276438356163</v>
      </c>
      <c r="AP706" s="3" t="s">
        <v>1522</v>
      </c>
    </row>
    <row r="707" spans="1:42" ht="15" customHeight="1" x14ac:dyDescent="0.35">
      <c r="A707" s="36" t="s">
        <v>27</v>
      </c>
      <c r="B707" s="36">
        <v>202509</v>
      </c>
      <c r="C707" s="24" t="s">
        <v>128</v>
      </c>
      <c r="D707" s="24" t="s">
        <v>129</v>
      </c>
      <c r="E707" s="62">
        <v>45818</v>
      </c>
      <c r="F707" s="62">
        <v>46182</v>
      </c>
      <c r="G707" s="37" t="s">
        <v>1525</v>
      </c>
      <c r="H707" s="36">
        <v>2054</v>
      </c>
      <c r="I707" s="63">
        <v>45907</v>
      </c>
      <c r="J707" s="24" t="s">
        <v>1526</v>
      </c>
      <c r="K707" s="63">
        <f t="shared" ref="K707" si="464">N707</f>
        <v>45907</v>
      </c>
      <c r="L707" s="55">
        <f t="shared" ref="L707" si="465">IF(K707&gt;=DATE(2022,4,1),4%,5%)</f>
        <v>0.04</v>
      </c>
      <c r="M707" s="76">
        <v>0.22500000000000001</v>
      </c>
      <c r="N707" s="62">
        <v>45907</v>
      </c>
      <c r="O707" s="62">
        <v>46182</v>
      </c>
      <c r="P707" s="63"/>
      <c r="Q707" s="63"/>
      <c r="R707" s="82">
        <v>0</v>
      </c>
      <c r="S707" s="63" t="str">
        <f>VLOOKUP(R707,SA!$B$5:$C$11,2,1)</f>
        <v>0-35</v>
      </c>
      <c r="T707" s="38" t="s">
        <v>97</v>
      </c>
      <c r="U707" s="24" t="s">
        <v>113</v>
      </c>
      <c r="V707" s="24">
        <v>300000</v>
      </c>
      <c r="W707" s="39">
        <f t="shared" ref="W707" si="466">IF(U707="self",V707,0)</f>
        <v>0</v>
      </c>
      <c r="X707" s="29">
        <f t="shared" ref="X707" si="467">IF(U707="self",1,0)</f>
        <v>0</v>
      </c>
      <c r="Y707" s="40">
        <f t="shared" ref="Y707" si="468">O707-N707+1</f>
        <v>276</v>
      </c>
      <c r="Z707" s="38">
        <f t="shared" ref="Z707:Z716" si="469">$Z$1</f>
        <v>46081</v>
      </c>
      <c r="AA707" s="41">
        <f t="shared" ref="AA707" si="470">IF(MIN((Z707-N707)+1,Y707)&lt;0,0,MIN((Z707-N707)+1,Y707))</f>
        <v>175</v>
      </c>
      <c r="AB707" s="24" t="s">
        <v>125</v>
      </c>
      <c r="AC707" s="41">
        <f t="shared" ref="AC707" si="471">AE707+AF707+AG707+AH707</f>
        <v>2929.5406750684929</v>
      </c>
      <c r="AD707" s="41">
        <v>1</v>
      </c>
      <c r="AE707" s="72">
        <f>IFERROR(INDEX(SA!$C$4:$E$11,MATCH(Details!S707,SA!$C$4:$C$11,0),MATCH(Details!V707,SA!$C$4:$E$4,0)),0)*Y707/(F707-E707+1)</f>
        <v>2482.6615890410958</v>
      </c>
      <c r="AF707" s="41">
        <f t="shared" ref="AF707" si="472">IF(AB707="Karnataka",AE707*9%,0)</f>
        <v>0</v>
      </c>
      <c r="AG707" s="41">
        <f t="shared" ref="AG707" si="473">IF(AB707="Karnataka",AE707*9%,0)</f>
        <v>0</v>
      </c>
      <c r="AH707" s="41">
        <f t="shared" ref="AH707" si="474">IF(AF707+AG707&gt;0,0,AE707*18%)</f>
        <v>446.87908602739725</v>
      </c>
      <c r="AI707" s="60">
        <f t="shared" ref="AI707" si="475">AE707*L707</f>
        <v>99.306463561643838</v>
      </c>
      <c r="AJ707" s="60">
        <f t="shared" ref="AJ707" si="476">$AE707*M707</f>
        <v>558.59885753424658</v>
      </c>
      <c r="AK707" s="60">
        <f t="shared" ref="AK707" si="477">(AE707)*AA707/Y707</f>
        <v>1574.1513698630138</v>
      </c>
      <c r="AL707" s="60">
        <f t="shared" ref="AL707" si="478">AK707*(1-L707-M707)</f>
        <v>1157.001256849315</v>
      </c>
      <c r="AM707" s="41">
        <f t="shared" ref="AM707" si="479">AE707-AI707-AL707-AJ707</f>
        <v>667.75501109589038</v>
      </c>
      <c r="AN707" s="42">
        <f t="shared" ref="AN707" si="480">Z707-366</f>
        <v>45715</v>
      </c>
      <c r="AO707" s="43">
        <f t="shared" ref="AO707" si="481">IF(AND(O707&gt;Z707,N707&gt;AN707),AE707,0)</f>
        <v>2482.6615890410958</v>
      </c>
    </row>
    <row r="708" spans="1:42" ht="15" customHeight="1" x14ac:dyDescent="0.35">
      <c r="A708" s="36" t="s">
        <v>27</v>
      </c>
      <c r="B708" s="36">
        <v>202509</v>
      </c>
      <c r="C708" s="24" t="s">
        <v>128</v>
      </c>
      <c r="D708" s="24" t="s">
        <v>129</v>
      </c>
      <c r="E708" s="62">
        <v>45818</v>
      </c>
      <c r="F708" s="62">
        <v>46182</v>
      </c>
      <c r="G708" s="37" t="s">
        <v>1528</v>
      </c>
      <c r="H708" s="36">
        <v>2365</v>
      </c>
      <c r="I708" s="63">
        <v>30938</v>
      </c>
      <c r="J708" s="24" t="s">
        <v>1529</v>
      </c>
      <c r="K708" s="63">
        <f t="shared" ref="K708" si="482">N708</f>
        <v>45922</v>
      </c>
      <c r="L708" s="55">
        <f t="shared" ref="L708" si="483">IF(K708&gt;=DATE(2022,4,1),4%,5%)</f>
        <v>0.04</v>
      </c>
      <c r="M708" s="76">
        <v>0.22500000000000001</v>
      </c>
      <c r="N708" s="62">
        <v>45922</v>
      </c>
      <c r="O708" s="62">
        <v>46182</v>
      </c>
      <c r="P708" s="63"/>
      <c r="Q708" s="63"/>
      <c r="R708" s="82">
        <v>41</v>
      </c>
      <c r="S708" s="63" t="str">
        <f>VLOOKUP(R708,SA!$B$5:$C$11,2,1)</f>
        <v>36-45</v>
      </c>
      <c r="T708" s="38" t="s">
        <v>97</v>
      </c>
      <c r="U708" s="24" t="s">
        <v>56</v>
      </c>
      <c r="V708" s="24">
        <v>1000000</v>
      </c>
      <c r="W708" s="39">
        <f t="shared" ref="W708" si="484">IF(U708="self",V708,0)</f>
        <v>1000000</v>
      </c>
      <c r="X708" s="29">
        <f t="shared" ref="X708" si="485">IF(U708="self",1,0)</f>
        <v>1</v>
      </c>
      <c r="Y708" s="40">
        <f t="shared" ref="Y708" si="486">O708-N708+1</f>
        <v>261</v>
      </c>
      <c r="Z708" s="38">
        <f t="shared" si="469"/>
        <v>46081</v>
      </c>
      <c r="AA708" s="41">
        <f t="shared" ref="AA708" si="487">IF(MIN((Z708-N708)+1,Y708)&lt;0,0,MIN((Z708-N708)+1,Y708))</f>
        <v>160</v>
      </c>
      <c r="AB708" s="24" t="s">
        <v>125</v>
      </c>
      <c r="AC708" s="41">
        <f t="shared" ref="AC708" si="488">AE708+AF708+AG708+AH708</f>
        <v>6445.6585742465759</v>
      </c>
      <c r="AD708" s="41">
        <v>1</v>
      </c>
      <c r="AE708" s="72">
        <f>IFERROR(INDEX(SA!$C$4:$E$11,MATCH(Details!S708,SA!$C$4:$C$11,0),MATCH(Details!V708,SA!$C$4:$E$4,0)),0)*Y708/(F708-E708+1)</f>
        <v>5462.4225205479461</v>
      </c>
      <c r="AF708" s="41">
        <f t="shared" ref="AF708" si="489">IF(AB708="Karnataka",AE708*9%,0)</f>
        <v>0</v>
      </c>
      <c r="AG708" s="41">
        <f t="shared" ref="AG708" si="490">IF(AB708="Karnataka",AE708*9%,0)</f>
        <v>0</v>
      </c>
      <c r="AH708" s="41">
        <f t="shared" ref="AH708" si="491">IF(AF708+AG708&gt;0,0,AE708*18%)</f>
        <v>983.23605369863026</v>
      </c>
      <c r="AI708" s="60">
        <f t="shared" ref="AI708" si="492">AE708*L708</f>
        <v>218.49690082191785</v>
      </c>
      <c r="AJ708" s="60">
        <f t="shared" ref="AJ708" si="493">$AE708*M708</f>
        <v>1229.0450671232879</v>
      </c>
      <c r="AK708" s="60">
        <f t="shared" ref="AK708" si="494">(AE708)*AA708/Y708</f>
        <v>3348.6115068493154</v>
      </c>
      <c r="AL708" s="60">
        <f t="shared" ref="AL708" si="495">AK708*(1-L708-M708)</f>
        <v>2461.2294575342466</v>
      </c>
      <c r="AM708" s="41">
        <f t="shared" ref="AM708" si="496">AE708-AI708-AL708-AJ708</f>
        <v>1553.6510950684938</v>
      </c>
      <c r="AN708" s="42">
        <f t="shared" ref="AN708" si="497">Z708-366</f>
        <v>45715</v>
      </c>
      <c r="AO708" s="43">
        <f t="shared" ref="AO708" si="498">IF(AND(O708&gt;Z708,N708&gt;AN708),AE708,0)</f>
        <v>5462.4225205479461</v>
      </c>
    </row>
    <row r="709" spans="1:42" ht="15" customHeight="1" x14ac:dyDescent="0.35">
      <c r="A709" s="36" t="s">
        <v>27</v>
      </c>
      <c r="B709" s="36">
        <v>202510</v>
      </c>
      <c r="C709" s="24" t="s">
        <v>128</v>
      </c>
      <c r="D709" s="24" t="s">
        <v>129</v>
      </c>
      <c r="E709" s="62">
        <v>45818</v>
      </c>
      <c r="F709" s="62">
        <v>46182</v>
      </c>
      <c r="G709" s="37" t="s">
        <v>1531</v>
      </c>
      <c r="H709" s="36">
        <v>5002</v>
      </c>
      <c r="I709" s="63">
        <v>31203</v>
      </c>
      <c r="J709" s="24" t="s">
        <v>1539</v>
      </c>
      <c r="K709" s="63">
        <f t="shared" ref="K709" si="499">N709</f>
        <v>45901</v>
      </c>
      <c r="L709" s="55">
        <f t="shared" ref="L709" si="500">IF(K709&gt;=DATE(2022,4,1),4%,5%)</f>
        <v>0.04</v>
      </c>
      <c r="M709" s="76">
        <v>0.22500000000000001</v>
      </c>
      <c r="N709" s="62">
        <v>45901</v>
      </c>
      <c r="O709" s="62">
        <v>46182</v>
      </c>
      <c r="P709" s="63"/>
      <c r="Q709" s="63"/>
      <c r="R709" s="82">
        <v>40</v>
      </c>
      <c r="S709" s="63" t="str">
        <f>VLOOKUP(R709,SA!$B$5:$C$11,2,1)</f>
        <v>36-45</v>
      </c>
      <c r="T709" s="38" t="s">
        <v>97</v>
      </c>
      <c r="U709" s="24" t="s">
        <v>56</v>
      </c>
      <c r="V709" s="24">
        <v>1000000</v>
      </c>
      <c r="W709" s="39">
        <f t="shared" ref="W709" si="501">IF(U709="self",V709,0)</f>
        <v>1000000</v>
      </c>
      <c r="X709" s="29">
        <f t="shared" ref="X709" si="502">IF(U709="self",1,0)</f>
        <v>1</v>
      </c>
      <c r="Y709" s="40">
        <f t="shared" ref="Y709" si="503">O709-N709+1</f>
        <v>282</v>
      </c>
      <c r="Z709" s="38">
        <f t="shared" si="469"/>
        <v>46081</v>
      </c>
      <c r="AA709" s="41">
        <f t="shared" ref="AA709" si="504">IF(MIN((Z709-N709)+1,Y709)&lt;0,0,MIN((Z709-N709)+1,Y709))</f>
        <v>181</v>
      </c>
      <c r="AB709" s="24" t="s">
        <v>125</v>
      </c>
      <c r="AC709" s="41">
        <f t="shared" ref="AC709" si="505">AE709+AF709+AG709+AH709</f>
        <v>6964.2747813698643</v>
      </c>
      <c r="AD709" s="41">
        <v>1</v>
      </c>
      <c r="AE709" s="72">
        <f>IFERROR(INDEX(SA!$C$4:$E$11,MATCH(Details!S709,SA!$C$4:$C$11,0),MATCH(Details!V709,SA!$C$4:$E$4,0)),0)*Y709/(F709-E709+1)</f>
        <v>5901.9277808219185</v>
      </c>
      <c r="AF709" s="41">
        <f t="shared" ref="AF709" si="506">IF(AB709="Karnataka",AE709*9%,0)</f>
        <v>0</v>
      </c>
      <c r="AG709" s="41">
        <f t="shared" ref="AG709" si="507">IF(AB709="Karnataka",AE709*9%,0)</f>
        <v>0</v>
      </c>
      <c r="AH709" s="41">
        <f t="shared" ref="AH709" si="508">IF(AF709+AG709&gt;0,0,AE709*18%)</f>
        <v>1062.3470005479453</v>
      </c>
      <c r="AI709" s="60">
        <f t="shared" ref="AI709" si="509">AE709*L709</f>
        <v>236.07711123287675</v>
      </c>
      <c r="AJ709" s="60">
        <f t="shared" ref="AJ709" si="510">$AE709*M709</f>
        <v>1327.9337506849317</v>
      </c>
      <c r="AK709" s="60">
        <f t="shared" ref="AK709" si="511">(AE709)*AA709/Y709</f>
        <v>3788.1167671232879</v>
      </c>
      <c r="AL709" s="60">
        <f t="shared" ref="AL709" si="512">AK709*(1-L709-M709)</f>
        <v>2784.2658238356166</v>
      </c>
      <c r="AM709" s="41">
        <f t="shared" ref="AM709" si="513">AE709-AI709-AL709-AJ709</f>
        <v>1553.6510950684935</v>
      </c>
      <c r="AN709" s="42">
        <f t="shared" ref="AN709" si="514">Z709-366</f>
        <v>45715</v>
      </c>
      <c r="AO709" s="43">
        <f t="shared" ref="AO709" si="515">IF(AND(O709&gt;Z709,N709&gt;AN709),AE709,0)</f>
        <v>5901.9277808219185</v>
      </c>
    </row>
    <row r="710" spans="1:42" ht="15" customHeight="1" x14ac:dyDescent="0.35">
      <c r="A710" s="36" t="s">
        <v>27</v>
      </c>
      <c r="B710" s="36">
        <v>202510</v>
      </c>
      <c r="C710" s="24" t="s">
        <v>128</v>
      </c>
      <c r="D710" s="24" t="s">
        <v>129</v>
      </c>
      <c r="E710" s="62">
        <v>45818</v>
      </c>
      <c r="F710" s="62">
        <v>46182</v>
      </c>
      <c r="G710" s="37" t="s">
        <v>1532</v>
      </c>
      <c r="H710" s="36">
        <v>5004</v>
      </c>
      <c r="I710" s="63">
        <v>22065</v>
      </c>
      <c r="J710" s="24" t="s">
        <v>1540</v>
      </c>
      <c r="K710" s="63">
        <f t="shared" ref="K710:K716" si="516">N710</f>
        <v>45901</v>
      </c>
      <c r="L710" s="55">
        <f t="shared" ref="L710:L716" si="517">IF(K710&gt;=DATE(2022,4,1),4%,5%)</f>
        <v>0.04</v>
      </c>
      <c r="M710" s="76">
        <v>0.22500000000000001</v>
      </c>
      <c r="N710" s="62">
        <v>45901</v>
      </c>
      <c r="O710" s="62">
        <v>46182</v>
      </c>
      <c r="P710" s="63"/>
      <c r="Q710" s="63"/>
      <c r="R710" s="82">
        <v>65</v>
      </c>
      <c r="S710" s="63" t="str">
        <f>VLOOKUP(R710,SA!$B$5:$C$11,2,1)</f>
        <v>56-65</v>
      </c>
      <c r="T710" s="38" t="s">
        <v>96</v>
      </c>
      <c r="U710" s="24" t="s">
        <v>56</v>
      </c>
      <c r="V710" s="24">
        <v>1000000</v>
      </c>
      <c r="W710" s="39">
        <f t="shared" ref="W710:W716" si="518">IF(U710="self",V710,0)</f>
        <v>1000000</v>
      </c>
      <c r="X710" s="29">
        <f t="shared" ref="X710:X716" si="519">IF(U710="self",1,0)</f>
        <v>1</v>
      </c>
      <c r="Y710" s="40">
        <f t="shared" ref="Y710:Y716" si="520">O710-N710+1</f>
        <v>282</v>
      </c>
      <c r="Z710" s="38">
        <f t="shared" si="469"/>
        <v>46081</v>
      </c>
      <c r="AA710" s="41">
        <f t="shared" ref="AA710:AA716" si="521">IF(MIN((Z710-N710)+1,Y710)&lt;0,0,MIN((Z710-N710)+1,Y710))</f>
        <v>181</v>
      </c>
      <c r="AB710" s="24" t="s">
        <v>125</v>
      </c>
      <c r="AC710" s="41">
        <f t="shared" ref="AC710:AC716" si="522">AE710+AF710+AG710+AH710</f>
        <v>23716.261035616437</v>
      </c>
      <c r="AD710" s="41">
        <v>1</v>
      </c>
      <c r="AE710" s="72">
        <f>IFERROR(INDEX(SA!$C$4:$E$11,MATCH(Details!S710,SA!$C$4:$C$11,0),MATCH(Details!V710,SA!$C$4:$E$4,0)),0)*Y710/(F710-E710+1)</f>
        <v>20098.52630136986</v>
      </c>
      <c r="AF710" s="41">
        <f t="shared" ref="AF710:AF716" si="523">IF(AB710="Karnataka",AE710*9%,0)</f>
        <v>0</v>
      </c>
      <c r="AG710" s="41">
        <f t="shared" ref="AG710:AG716" si="524">IF(AB710="Karnataka",AE710*9%,0)</f>
        <v>0</v>
      </c>
      <c r="AH710" s="41">
        <f t="shared" ref="AH710:AH716" si="525">IF(AF710+AG710&gt;0,0,AE710*18%)</f>
        <v>3617.7347342465746</v>
      </c>
      <c r="AI710" s="60">
        <f t="shared" ref="AI710:AI716" si="526">AE710*L710</f>
        <v>803.94105205479445</v>
      </c>
      <c r="AJ710" s="60">
        <f t="shared" ref="AJ710:AJ716" si="527">$AE710*M710</f>
        <v>4522.1684178082187</v>
      </c>
      <c r="AK710" s="60">
        <f t="shared" ref="AK710:AK716" si="528">(AE710)*AA710/Y710</f>
        <v>12900.117945205478</v>
      </c>
      <c r="AL710" s="60">
        <f t="shared" ref="AL710:AL716" si="529">AK710*(1-L710-M710)</f>
        <v>9481.5866897260257</v>
      </c>
      <c r="AM710" s="41">
        <f t="shared" ref="AM710:AM716" si="530">AE710-AI710-AL710-AJ710</f>
        <v>5290.8301417808225</v>
      </c>
      <c r="AN710" s="42">
        <f t="shared" ref="AN710:AN716" si="531">Z710-366</f>
        <v>45715</v>
      </c>
      <c r="AO710" s="43">
        <f t="shared" ref="AO710:AO716" si="532">IF(AND(O710&gt;Z710,N710&gt;AN710),AE710,0)</f>
        <v>20098.52630136986</v>
      </c>
    </row>
    <row r="711" spans="1:42" ht="15" customHeight="1" x14ac:dyDescent="0.35">
      <c r="A711" s="36" t="s">
        <v>27</v>
      </c>
      <c r="B711" s="36">
        <v>202510</v>
      </c>
      <c r="C711" s="24" t="s">
        <v>128</v>
      </c>
      <c r="D711" s="24" t="s">
        <v>129</v>
      </c>
      <c r="E711" s="62">
        <v>45818</v>
      </c>
      <c r="F711" s="62">
        <v>46182</v>
      </c>
      <c r="G711" s="37" t="s">
        <v>1533</v>
      </c>
      <c r="H711" s="36">
        <v>5004</v>
      </c>
      <c r="I711" s="63">
        <v>23884</v>
      </c>
      <c r="J711" s="24" t="s">
        <v>1541</v>
      </c>
      <c r="K711" s="63">
        <f t="shared" si="516"/>
        <v>45901</v>
      </c>
      <c r="L711" s="55">
        <f t="shared" si="517"/>
        <v>0.04</v>
      </c>
      <c r="M711" s="76">
        <v>0.22500000000000001</v>
      </c>
      <c r="N711" s="62">
        <v>45901</v>
      </c>
      <c r="O711" s="62">
        <v>46182</v>
      </c>
      <c r="P711" s="63"/>
      <c r="Q711" s="63"/>
      <c r="R711" s="82">
        <v>60</v>
      </c>
      <c r="S711" s="63" t="str">
        <f>VLOOKUP(R711,SA!$B$5:$C$11,2,1)</f>
        <v>56-65</v>
      </c>
      <c r="T711" s="38" t="s">
        <v>97</v>
      </c>
      <c r="U711" s="24" t="s">
        <v>115</v>
      </c>
      <c r="V711" s="24">
        <v>1000000</v>
      </c>
      <c r="W711" s="39">
        <f t="shared" si="518"/>
        <v>0</v>
      </c>
      <c r="X711" s="29">
        <f t="shared" si="519"/>
        <v>0</v>
      </c>
      <c r="Y711" s="40">
        <f t="shared" si="520"/>
        <v>282</v>
      </c>
      <c r="Z711" s="38">
        <f t="shared" si="469"/>
        <v>46081</v>
      </c>
      <c r="AA711" s="41">
        <f t="shared" si="521"/>
        <v>181</v>
      </c>
      <c r="AB711" s="24" t="s">
        <v>125</v>
      </c>
      <c r="AC711" s="41">
        <f t="shared" si="522"/>
        <v>23716.261035616437</v>
      </c>
      <c r="AD711" s="41">
        <v>1</v>
      </c>
      <c r="AE711" s="72">
        <f>IFERROR(INDEX(SA!$C$4:$E$11,MATCH(Details!S711,SA!$C$4:$C$11,0),MATCH(Details!V711,SA!$C$4:$E$4,0)),0)*Y711/(F711-E711+1)</f>
        <v>20098.52630136986</v>
      </c>
      <c r="AF711" s="41">
        <f t="shared" si="523"/>
        <v>0</v>
      </c>
      <c r="AG711" s="41">
        <f t="shared" si="524"/>
        <v>0</v>
      </c>
      <c r="AH711" s="41">
        <f t="shared" si="525"/>
        <v>3617.7347342465746</v>
      </c>
      <c r="AI711" s="60">
        <f t="shared" si="526"/>
        <v>803.94105205479445</v>
      </c>
      <c r="AJ711" s="60">
        <f t="shared" si="527"/>
        <v>4522.1684178082187</v>
      </c>
      <c r="AK711" s="60">
        <f t="shared" si="528"/>
        <v>12900.117945205478</v>
      </c>
      <c r="AL711" s="60">
        <f t="shared" si="529"/>
        <v>9481.5866897260257</v>
      </c>
      <c r="AM711" s="41">
        <f t="shared" si="530"/>
        <v>5290.8301417808225</v>
      </c>
      <c r="AN711" s="42">
        <f t="shared" si="531"/>
        <v>45715</v>
      </c>
      <c r="AO711" s="43">
        <f t="shared" si="532"/>
        <v>20098.52630136986</v>
      </c>
    </row>
    <row r="712" spans="1:42" ht="15" customHeight="1" x14ac:dyDescent="0.35">
      <c r="A712" s="36" t="s">
        <v>27</v>
      </c>
      <c r="B712" s="36">
        <v>202510</v>
      </c>
      <c r="C712" s="24" t="s">
        <v>128</v>
      </c>
      <c r="D712" s="24" t="s">
        <v>129</v>
      </c>
      <c r="E712" s="62">
        <v>45818</v>
      </c>
      <c r="F712" s="62">
        <v>46182</v>
      </c>
      <c r="G712" s="37" t="s">
        <v>1534</v>
      </c>
      <c r="H712" s="36">
        <v>2367</v>
      </c>
      <c r="I712" s="63">
        <v>32852</v>
      </c>
      <c r="J712" s="24" t="s">
        <v>1542</v>
      </c>
      <c r="K712" s="63">
        <f t="shared" si="516"/>
        <v>45931</v>
      </c>
      <c r="L712" s="55">
        <f t="shared" si="517"/>
        <v>0.04</v>
      </c>
      <c r="M712" s="76">
        <v>0.22500000000000001</v>
      </c>
      <c r="N712" s="62">
        <v>45931</v>
      </c>
      <c r="O712" s="62">
        <v>46182</v>
      </c>
      <c r="P712" s="63"/>
      <c r="Q712" s="63"/>
      <c r="R712" s="82">
        <v>35</v>
      </c>
      <c r="S712" s="63" t="str">
        <f>VLOOKUP(R712,SA!$B$5:$C$11,2,1)</f>
        <v>0-35</v>
      </c>
      <c r="T712" s="38" t="s">
        <v>96</v>
      </c>
      <c r="U712" s="24" t="s">
        <v>56</v>
      </c>
      <c r="V712" s="24">
        <v>300000</v>
      </c>
      <c r="W712" s="39">
        <f t="shared" si="518"/>
        <v>300000</v>
      </c>
      <c r="X712" s="29">
        <f t="shared" si="519"/>
        <v>1</v>
      </c>
      <c r="Y712" s="40">
        <f t="shared" si="520"/>
        <v>252</v>
      </c>
      <c r="Z712" s="38">
        <f t="shared" si="469"/>
        <v>46081</v>
      </c>
      <c r="AA712" s="41">
        <f t="shared" si="521"/>
        <v>151</v>
      </c>
      <c r="AB712" s="24" t="s">
        <v>125</v>
      </c>
      <c r="AC712" s="41">
        <f t="shared" si="522"/>
        <v>2674.7980076712329</v>
      </c>
      <c r="AD712" s="41">
        <v>1</v>
      </c>
      <c r="AE712" s="72">
        <f>IFERROR(INDEX(SA!$C$4:$E$11,MATCH(Details!S712,SA!$C$4:$C$11,0),MATCH(Details!V712,SA!$C$4:$E$4,0)),0)*Y712/(F712-E712+1)</f>
        <v>2266.7779726027397</v>
      </c>
      <c r="AF712" s="41">
        <f t="shared" si="523"/>
        <v>0</v>
      </c>
      <c r="AG712" s="41">
        <f t="shared" si="524"/>
        <v>0</v>
      </c>
      <c r="AH712" s="41">
        <f t="shared" si="525"/>
        <v>408.02003506849314</v>
      </c>
      <c r="AI712" s="60">
        <f t="shared" si="526"/>
        <v>90.671118904109591</v>
      </c>
      <c r="AJ712" s="60">
        <f t="shared" si="527"/>
        <v>510.02504383561643</v>
      </c>
      <c r="AK712" s="60">
        <f t="shared" si="528"/>
        <v>1358.2677534246577</v>
      </c>
      <c r="AL712" s="60">
        <f t="shared" si="529"/>
        <v>998.32679876712336</v>
      </c>
      <c r="AM712" s="41">
        <f t="shared" si="530"/>
        <v>667.75501109589015</v>
      </c>
      <c r="AN712" s="42">
        <f t="shared" si="531"/>
        <v>45715</v>
      </c>
      <c r="AO712" s="43">
        <f t="shared" si="532"/>
        <v>2266.7779726027397</v>
      </c>
    </row>
    <row r="713" spans="1:42" ht="15" customHeight="1" x14ac:dyDescent="0.35">
      <c r="A713" s="36" t="s">
        <v>27</v>
      </c>
      <c r="B713" s="36">
        <v>202510</v>
      </c>
      <c r="C713" s="24" t="s">
        <v>128</v>
      </c>
      <c r="D713" s="24" t="s">
        <v>129</v>
      </c>
      <c r="E713" s="62">
        <v>45818</v>
      </c>
      <c r="F713" s="62">
        <v>46182</v>
      </c>
      <c r="G713" s="37" t="s">
        <v>1535</v>
      </c>
      <c r="H713" s="36">
        <v>2367</v>
      </c>
      <c r="I713" s="63">
        <v>33579</v>
      </c>
      <c r="J713" s="24" t="s">
        <v>1543</v>
      </c>
      <c r="K713" s="63">
        <f t="shared" si="516"/>
        <v>45931</v>
      </c>
      <c r="L713" s="55">
        <f t="shared" si="517"/>
        <v>0.04</v>
      </c>
      <c r="M713" s="76">
        <v>0.22500000000000001</v>
      </c>
      <c r="N713" s="62">
        <v>45931</v>
      </c>
      <c r="O713" s="62">
        <v>46182</v>
      </c>
      <c r="P713" s="63"/>
      <c r="Q713" s="63"/>
      <c r="R713" s="82">
        <v>33</v>
      </c>
      <c r="S713" s="63" t="str">
        <f>VLOOKUP(R713,SA!$B$5:$C$11,2,1)</f>
        <v>0-35</v>
      </c>
      <c r="T713" s="38" t="s">
        <v>97</v>
      </c>
      <c r="U713" s="24" t="s">
        <v>115</v>
      </c>
      <c r="V713" s="24">
        <v>300000</v>
      </c>
      <c r="W713" s="39">
        <f t="shared" si="518"/>
        <v>0</v>
      </c>
      <c r="X713" s="29">
        <f t="shared" si="519"/>
        <v>0</v>
      </c>
      <c r="Y713" s="40">
        <f t="shared" si="520"/>
        <v>252</v>
      </c>
      <c r="Z713" s="38">
        <f t="shared" si="469"/>
        <v>46081</v>
      </c>
      <c r="AA713" s="41">
        <f t="shared" si="521"/>
        <v>151</v>
      </c>
      <c r="AB713" s="24" t="s">
        <v>125</v>
      </c>
      <c r="AC713" s="41">
        <f t="shared" si="522"/>
        <v>2674.7980076712329</v>
      </c>
      <c r="AD713" s="41">
        <v>1</v>
      </c>
      <c r="AE713" s="72">
        <f>IFERROR(INDEX(SA!$C$4:$E$11,MATCH(Details!S713,SA!$C$4:$C$11,0),MATCH(Details!V713,SA!$C$4:$E$4,0)),0)*Y713/(F713-E713+1)</f>
        <v>2266.7779726027397</v>
      </c>
      <c r="AF713" s="41">
        <f t="shared" si="523"/>
        <v>0</v>
      </c>
      <c r="AG713" s="41">
        <f t="shared" si="524"/>
        <v>0</v>
      </c>
      <c r="AH713" s="41">
        <f t="shared" si="525"/>
        <v>408.02003506849314</v>
      </c>
      <c r="AI713" s="60">
        <f t="shared" si="526"/>
        <v>90.671118904109591</v>
      </c>
      <c r="AJ713" s="60">
        <f t="shared" si="527"/>
        <v>510.02504383561643</v>
      </c>
      <c r="AK713" s="60">
        <f t="shared" si="528"/>
        <v>1358.2677534246577</v>
      </c>
      <c r="AL713" s="60">
        <f t="shared" si="529"/>
        <v>998.32679876712336</v>
      </c>
      <c r="AM713" s="41">
        <f t="shared" si="530"/>
        <v>667.75501109589015</v>
      </c>
      <c r="AN713" s="42">
        <f t="shared" si="531"/>
        <v>45715</v>
      </c>
      <c r="AO713" s="43">
        <f t="shared" si="532"/>
        <v>2266.7779726027397</v>
      </c>
    </row>
    <row r="714" spans="1:42" ht="15" customHeight="1" x14ac:dyDescent="0.35">
      <c r="A714" s="36" t="s">
        <v>27</v>
      </c>
      <c r="B714" s="36">
        <v>202510</v>
      </c>
      <c r="C714" s="24" t="s">
        <v>128</v>
      </c>
      <c r="D714" s="24" t="s">
        <v>129</v>
      </c>
      <c r="E714" s="62">
        <v>45818</v>
      </c>
      <c r="F714" s="62">
        <v>46182</v>
      </c>
      <c r="G714" s="37" t="s">
        <v>1536</v>
      </c>
      <c r="H714" s="36">
        <v>2367</v>
      </c>
      <c r="I714" s="63">
        <v>41974</v>
      </c>
      <c r="J714" s="24" t="s">
        <v>1544</v>
      </c>
      <c r="K714" s="63">
        <f t="shared" si="516"/>
        <v>45931</v>
      </c>
      <c r="L714" s="55">
        <f t="shared" si="517"/>
        <v>0.04</v>
      </c>
      <c r="M714" s="76">
        <v>0.22500000000000001</v>
      </c>
      <c r="N714" s="62">
        <v>45931</v>
      </c>
      <c r="O714" s="62">
        <v>46182</v>
      </c>
      <c r="P714" s="63"/>
      <c r="Q714" s="63"/>
      <c r="R714" s="82">
        <v>10</v>
      </c>
      <c r="S714" s="63" t="str">
        <f>VLOOKUP(R714,SA!$B$5:$C$11,2,1)</f>
        <v>0-35</v>
      </c>
      <c r="T714" s="38" t="s">
        <v>96</v>
      </c>
      <c r="U714" s="24" t="s">
        <v>114</v>
      </c>
      <c r="V714" s="24">
        <v>300000</v>
      </c>
      <c r="W714" s="39">
        <f t="shared" si="518"/>
        <v>0</v>
      </c>
      <c r="X714" s="29">
        <f t="shared" si="519"/>
        <v>0</v>
      </c>
      <c r="Y714" s="40">
        <f t="shared" si="520"/>
        <v>252</v>
      </c>
      <c r="Z714" s="38">
        <f t="shared" si="469"/>
        <v>46081</v>
      </c>
      <c r="AA714" s="41">
        <f t="shared" si="521"/>
        <v>151</v>
      </c>
      <c r="AB714" s="24" t="s">
        <v>125</v>
      </c>
      <c r="AC714" s="41">
        <f t="shared" si="522"/>
        <v>2674.7980076712329</v>
      </c>
      <c r="AD714" s="41">
        <v>1</v>
      </c>
      <c r="AE714" s="72">
        <f>IFERROR(INDEX(SA!$C$4:$E$11,MATCH(Details!S714,SA!$C$4:$C$11,0),MATCH(Details!V714,SA!$C$4:$E$4,0)),0)*Y714/(F714-E714+1)</f>
        <v>2266.7779726027397</v>
      </c>
      <c r="AF714" s="41">
        <f t="shared" si="523"/>
        <v>0</v>
      </c>
      <c r="AG714" s="41">
        <f t="shared" si="524"/>
        <v>0</v>
      </c>
      <c r="AH714" s="41">
        <f t="shared" si="525"/>
        <v>408.02003506849314</v>
      </c>
      <c r="AI714" s="60">
        <f t="shared" si="526"/>
        <v>90.671118904109591</v>
      </c>
      <c r="AJ714" s="60">
        <f t="shared" si="527"/>
        <v>510.02504383561643</v>
      </c>
      <c r="AK714" s="60">
        <f t="shared" si="528"/>
        <v>1358.2677534246577</v>
      </c>
      <c r="AL714" s="60">
        <f t="shared" si="529"/>
        <v>998.32679876712336</v>
      </c>
      <c r="AM714" s="41">
        <f t="shared" si="530"/>
        <v>667.75501109589015</v>
      </c>
      <c r="AN714" s="42">
        <f t="shared" si="531"/>
        <v>45715</v>
      </c>
      <c r="AO714" s="43">
        <f t="shared" si="532"/>
        <v>2266.7779726027397</v>
      </c>
    </row>
    <row r="715" spans="1:42" ht="15" customHeight="1" x14ac:dyDescent="0.35">
      <c r="A715" s="36" t="s">
        <v>27</v>
      </c>
      <c r="B715" s="36">
        <v>202510</v>
      </c>
      <c r="C715" s="24" t="s">
        <v>128</v>
      </c>
      <c r="D715" s="24" t="s">
        <v>129</v>
      </c>
      <c r="E715" s="62">
        <v>45818</v>
      </c>
      <c r="F715" s="62">
        <v>46182</v>
      </c>
      <c r="G715" s="37" t="s">
        <v>1537</v>
      </c>
      <c r="H715" s="36">
        <v>2367</v>
      </c>
      <c r="I715" s="63">
        <v>41371</v>
      </c>
      <c r="J715" s="24" t="s">
        <v>1545</v>
      </c>
      <c r="K715" s="63">
        <f t="shared" si="516"/>
        <v>45931</v>
      </c>
      <c r="L715" s="55">
        <f t="shared" si="517"/>
        <v>0.04</v>
      </c>
      <c r="M715" s="76">
        <v>0.22500000000000001</v>
      </c>
      <c r="N715" s="62">
        <v>45931</v>
      </c>
      <c r="O715" s="62">
        <v>46182</v>
      </c>
      <c r="P715" s="63"/>
      <c r="Q715" s="63"/>
      <c r="R715" s="82">
        <v>12</v>
      </c>
      <c r="S715" s="63" t="str">
        <f>VLOOKUP(R715,SA!$B$5:$C$11,2,1)</f>
        <v>0-35</v>
      </c>
      <c r="T715" s="38" t="s">
        <v>96</v>
      </c>
      <c r="U715" s="24" t="s">
        <v>114</v>
      </c>
      <c r="V715" s="24">
        <v>300000</v>
      </c>
      <c r="W715" s="39">
        <f t="shared" si="518"/>
        <v>0</v>
      </c>
      <c r="X715" s="29">
        <f t="shared" si="519"/>
        <v>0</v>
      </c>
      <c r="Y715" s="40">
        <f t="shared" si="520"/>
        <v>252</v>
      </c>
      <c r="Z715" s="38">
        <f t="shared" si="469"/>
        <v>46081</v>
      </c>
      <c r="AA715" s="41">
        <f t="shared" si="521"/>
        <v>151</v>
      </c>
      <c r="AB715" s="24" t="s">
        <v>125</v>
      </c>
      <c r="AC715" s="41">
        <f t="shared" si="522"/>
        <v>2674.7980076712329</v>
      </c>
      <c r="AD715" s="41">
        <v>1</v>
      </c>
      <c r="AE715" s="72">
        <f>IFERROR(INDEX(SA!$C$4:$E$11,MATCH(Details!S715,SA!$C$4:$C$11,0),MATCH(Details!V715,SA!$C$4:$E$4,0)),0)*Y715/(F715-E715+1)</f>
        <v>2266.7779726027397</v>
      </c>
      <c r="AF715" s="41">
        <f t="shared" si="523"/>
        <v>0</v>
      </c>
      <c r="AG715" s="41">
        <f t="shared" si="524"/>
        <v>0</v>
      </c>
      <c r="AH715" s="41">
        <f t="shared" si="525"/>
        <v>408.02003506849314</v>
      </c>
      <c r="AI715" s="60">
        <f t="shared" si="526"/>
        <v>90.671118904109591</v>
      </c>
      <c r="AJ715" s="60">
        <f t="shared" si="527"/>
        <v>510.02504383561643</v>
      </c>
      <c r="AK715" s="60">
        <f t="shared" si="528"/>
        <v>1358.2677534246577</v>
      </c>
      <c r="AL715" s="60">
        <f t="shared" si="529"/>
        <v>998.32679876712336</v>
      </c>
      <c r="AM715" s="41">
        <f t="shared" si="530"/>
        <v>667.75501109589015</v>
      </c>
      <c r="AN715" s="42">
        <f t="shared" si="531"/>
        <v>45715</v>
      </c>
      <c r="AO715" s="43">
        <f t="shared" si="532"/>
        <v>2266.7779726027397</v>
      </c>
    </row>
    <row r="716" spans="1:42" ht="15" customHeight="1" x14ac:dyDescent="0.35">
      <c r="A716" s="36" t="s">
        <v>27</v>
      </c>
      <c r="B716" s="36">
        <v>202510</v>
      </c>
      <c r="C716" s="24" t="s">
        <v>128</v>
      </c>
      <c r="D716" s="24" t="s">
        <v>129</v>
      </c>
      <c r="E716" s="62">
        <v>45818</v>
      </c>
      <c r="F716" s="62">
        <v>46182</v>
      </c>
      <c r="G716" s="37" t="s">
        <v>1538</v>
      </c>
      <c r="H716" s="36">
        <v>2373</v>
      </c>
      <c r="I716" s="63">
        <v>33989</v>
      </c>
      <c r="J716" s="24" t="s">
        <v>1546</v>
      </c>
      <c r="K716" s="63">
        <f t="shared" si="516"/>
        <v>45931</v>
      </c>
      <c r="L716" s="55">
        <f t="shared" si="517"/>
        <v>0.04</v>
      </c>
      <c r="M716" s="76">
        <v>0.22500000000000001</v>
      </c>
      <c r="N716" s="62">
        <v>45931</v>
      </c>
      <c r="O716" s="62">
        <v>46182</v>
      </c>
      <c r="P716" s="63"/>
      <c r="Q716" s="63"/>
      <c r="R716" s="82">
        <v>32</v>
      </c>
      <c r="S716" s="63" t="str">
        <f>VLOOKUP(R716,SA!$B$5:$C$11,2,1)</f>
        <v>0-35</v>
      </c>
      <c r="T716" s="38" t="s">
        <v>96</v>
      </c>
      <c r="U716" s="24" t="s">
        <v>56</v>
      </c>
      <c r="V716" s="24">
        <v>300000</v>
      </c>
      <c r="W716" s="39">
        <f t="shared" si="518"/>
        <v>300000</v>
      </c>
      <c r="X716" s="29">
        <f t="shared" si="519"/>
        <v>1</v>
      </c>
      <c r="Y716" s="40">
        <f t="shared" si="520"/>
        <v>252</v>
      </c>
      <c r="Z716" s="38">
        <f t="shared" si="469"/>
        <v>46081</v>
      </c>
      <c r="AA716" s="41">
        <f t="shared" si="521"/>
        <v>151</v>
      </c>
      <c r="AB716" s="24" t="s">
        <v>125</v>
      </c>
      <c r="AC716" s="41">
        <f t="shared" si="522"/>
        <v>2674.7980076712329</v>
      </c>
      <c r="AD716" s="41">
        <v>1</v>
      </c>
      <c r="AE716" s="72">
        <f>IFERROR(INDEX(SA!$C$4:$E$11,MATCH(Details!S716,SA!$C$4:$C$11,0),MATCH(Details!V716,SA!$C$4:$E$4,0)),0)*Y716/(F716-E716+1)</f>
        <v>2266.7779726027397</v>
      </c>
      <c r="AF716" s="41">
        <f t="shared" si="523"/>
        <v>0</v>
      </c>
      <c r="AG716" s="41">
        <f t="shared" si="524"/>
        <v>0</v>
      </c>
      <c r="AH716" s="41">
        <f t="shared" si="525"/>
        <v>408.02003506849314</v>
      </c>
      <c r="AI716" s="60">
        <f t="shared" si="526"/>
        <v>90.671118904109591</v>
      </c>
      <c r="AJ716" s="60">
        <f t="shared" si="527"/>
        <v>510.02504383561643</v>
      </c>
      <c r="AK716" s="60">
        <f t="shared" si="528"/>
        <v>1358.2677534246577</v>
      </c>
      <c r="AL716" s="60">
        <f t="shared" si="529"/>
        <v>998.32679876712336</v>
      </c>
      <c r="AM716" s="41">
        <f t="shared" si="530"/>
        <v>667.75501109589015</v>
      </c>
      <c r="AN716" s="42">
        <f t="shared" si="531"/>
        <v>45715</v>
      </c>
      <c r="AO716" s="43">
        <f t="shared" si="532"/>
        <v>2266.7779726027397</v>
      </c>
    </row>
    <row r="717" spans="1:42" ht="15" customHeight="1" x14ac:dyDescent="0.35">
      <c r="A717" s="36" t="s">
        <v>1480</v>
      </c>
      <c r="B717" s="36">
        <v>202510</v>
      </c>
      <c r="C717" s="24" t="s">
        <v>128</v>
      </c>
      <c r="D717" s="24" t="s">
        <v>129</v>
      </c>
      <c r="E717" s="62">
        <v>45818</v>
      </c>
      <c r="F717" s="62">
        <v>46182</v>
      </c>
      <c r="G717" s="37" t="s">
        <v>716</v>
      </c>
      <c r="H717" s="36" t="s">
        <v>775</v>
      </c>
      <c r="I717" s="63">
        <v>34053</v>
      </c>
      <c r="J717" s="24" t="s">
        <v>1366</v>
      </c>
      <c r="K717" s="63">
        <f t="shared" ref="K717" si="533">N717</f>
        <v>45818</v>
      </c>
      <c r="L717" s="55">
        <f t="shared" ref="L717" si="534">IF(K717&gt;=DATE(2022,4,1),4%,5%)</f>
        <v>0.04</v>
      </c>
      <c r="M717" s="76">
        <v>0.22500000000000001</v>
      </c>
      <c r="N717" s="62">
        <v>45818</v>
      </c>
      <c r="O717" s="62">
        <v>46182</v>
      </c>
      <c r="P717" s="63">
        <v>45941</v>
      </c>
      <c r="Q717" s="63">
        <f t="shared" ref="Q717" si="535">P717+1</f>
        <v>45942</v>
      </c>
      <c r="R717" s="82">
        <v>32</v>
      </c>
      <c r="S717" s="63" t="str">
        <f>VLOOKUP(R717,SA!$B$5:$C$11,2,1)</f>
        <v>0-35</v>
      </c>
      <c r="T717" s="38" t="s">
        <v>97</v>
      </c>
      <c r="U717" s="24" t="s">
        <v>56</v>
      </c>
      <c r="V717" s="24">
        <v>-300000</v>
      </c>
      <c r="W717" s="39">
        <f t="shared" ref="W717" si="536">IF(U717="self",V717,0)</f>
        <v>-300000</v>
      </c>
      <c r="X717" s="29">
        <f t="shared" ref="X717" si="537">IF(U717="self",-1,0)</f>
        <v>-1</v>
      </c>
      <c r="Y717" s="40">
        <f t="shared" ref="Y717" si="538">O717-Q717+1</f>
        <v>241</v>
      </c>
      <c r="Z717" s="38">
        <f t="shared" ref="Z717:Z718" si="539">$Z$1</f>
        <v>46081</v>
      </c>
      <c r="AA717" s="41">
        <f t="shared" ref="AA717" si="540">IF(MIN((Z717-Q717)+1,Y717)&lt;0,0,MIN((Z717-Q717)+1,Y717))</f>
        <v>140</v>
      </c>
      <c r="AB717" s="24" t="s">
        <v>125</v>
      </c>
      <c r="AC717" s="41">
        <f t="shared" ref="AC717" si="541">AE717+AF717+AG717+AH717</f>
        <v>-2558.0409517808221</v>
      </c>
      <c r="AD717" s="41">
        <v>-1</v>
      </c>
      <c r="AE717" s="72">
        <f>-IFERROR(INDEX(SA!$C$4:$E$11,MATCH(Details!S717,SA!$C$4:$C$11,0),MATCH(-Details!V717,SA!$C$4:$E$4,0)),0)*Y717/(F717-E717+1)</f>
        <v>-2167.8313150684935</v>
      </c>
      <c r="AF717" s="41">
        <f t="shared" ref="AF717" si="542">IF(AB717="Karnataka",AE717*9%,0)</f>
        <v>0</v>
      </c>
      <c r="AG717" s="41">
        <f t="shared" ref="AG717" si="543">IF(AB717="Karnataka",AE717*9%,0)</f>
        <v>0</v>
      </c>
      <c r="AH717" s="41">
        <f t="shared" ref="AH717" si="544">IF(AF717+AG717&gt;0,0,AE717*18%)</f>
        <v>-390.2096367123288</v>
      </c>
      <c r="AI717" s="60">
        <f t="shared" ref="AI717" si="545">AE717*L717</f>
        <v>-86.713252602739743</v>
      </c>
      <c r="AJ717" s="60">
        <f t="shared" ref="AJ717" si="546">$AE717*M717</f>
        <v>-487.76204589041106</v>
      </c>
      <c r="AK717" s="60">
        <f t="shared" ref="AK717" si="547">(AE717)*AA717/Y717</f>
        <v>-1259.3210958904112</v>
      </c>
      <c r="AL717" s="60">
        <f t="shared" ref="AL717" si="548">AK717*(1-L717-M717)</f>
        <v>-925.60100547945228</v>
      </c>
      <c r="AM717" s="41">
        <f t="shared" ref="AM717" si="549">AE717-AI717-AL717-AJ717</f>
        <v>-667.75501109589015</v>
      </c>
      <c r="AN717" s="42">
        <f t="shared" ref="AN717" si="550">Z717-366</f>
        <v>45715</v>
      </c>
      <c r="AO717" s="43">
        <f t="shared" ref="AO717" si="551">IF(AND(O717&gt;Z717,N717&gt;AN717),AE717,0)</f>
        <v>-2167.8313150684935</v>
      </c>
      <c r="AP717" s="3" t="s">
        <v>1522</v>
      </c>
    </row>
    <row r="718" spans="1:42" ht="15" customHeight="1" x14ac:dyDescent="0.35">
      <c r="A718" s="36" t="s">
        <v>1480</v>
      </c>
      <c r="B718" s="36">
        <v>202510</v>
      </c>
      <c r="C718" s="24" t="s">
        <v>128</v>
      </c>
      <c r="D718" s="24" t="s">
        <v>129</v>
      </c>
      <c r="E718" s="62">
        <v>45818</v>
      </c>
      <c r="F718" s="62">
        <v>46182</v>
      </c>
      <c r="G718" s="37" t="s">
        <v>770</v>
      </c>
      <c r="H718" s="36">
        <v>2336</v>
      </c>
      <c r="I718" s="63">
        <v>37698</v>
      </c>
      <c r="J718" s="24" t="s">
        <v>1421</v>
      </c>
      <c r="K718" s="63">
        <f t="shared" ref="K718" si="552">N718</f>
        <v>45818</v>
      </c>
      <c r="L718" s="55">
        <f t="shared" ref="L718" si="553">IF(K718&gt;=DATE(2022,4,1),4%,5%)</f>
        <v>0.04</v>
      </c>
      <c r="M718" s="76">
        <v>0.22500000000000001</v>
      </c>
      <c r="N718" s="62">
        <v>45818</v>
      </c>
      <c r="O718" s="62">
        <v>46182</v>
      </c>
      <c r="P718" s="63">
        <v>45930</v>
      </c>
      <c r="Q718" s="63">
        <f t="shared" ref="Q718" si="554">P718+1</f>
        <v>45931</v>
      </c>
      <c r="R718" s="82">
        <v>22</v>
      </c>
      <c r="S718" s="63" t="str">
        <f>VLOOKUP(R718,SA!$B$5:$C$11,2,1)</f>
        <v>0-35</v>
      </c>
      <c r="T718" s="38" t="s">
        <v>96</v>
      </c>
      <c r="U718" s="24" t="s">
        <v>56</v>
      </c>
      <c r="V718" s="24">
        <v>-300000</v>
      </c>
      <c r="W718" s="39">
        <f t="shared" ref="W718" si="555">IF(U718="self",V718,0)</f>
        <v>-300000</v>
      </c>
      <c r="X718" s="29">
        <f t="shared" ref="X718" si="556">IF(U718="self",-1,0)</f>
        <v>-1</v>
      </c>
      <c r="Y718" s="40">
        <f t="shared" ref="Y718" si="557">O718-Q718+1</f>
        <v>252</v>
      </c>
      <c r="Z718" s="38">
        <f t="shared" si="539"/>
        <v>46081</v>
      </c>
      <c r="AA718" s="41">
        <f t="shared" ref="AA718" si="558">IF(MIN((Z718-Q718)+1,Y718)&lt;0,0,MIN((Z718-Q718)+1,Y718))</f>
        <v>151</v>
      </c>
      <c r="AB718" s="24" t="s">
        <v>125</v>
      </c>
      <c r="AC718" s="41">
        <f t="shared" ref="AC718" si="559">AE718+AF718+AG718+AH718</f>
        <v>-2674.7980076712329</v>
      </c>
      <c r="AD718" s="41">
        <v>-1</v>
      </c>
      <c r="AE718" s="72">
        <f>-IFERROR(INDEX(SA!$C$4:$E$11,MATCH(Details!S718,SA!$C$4:$C$11,0),MATCH(-Details!V718,SA!$C$4:$E$4,0)),0)*Y718/(F718-E718+1)</f>
        <v>-2266.7779726027397</v>
      </c>
      <c r="AF718" s="41">
        <f t="shared" ref="AF718" si="560">IF(AB718="Karnataka",AE718*9%,0)</f>
        <v>0</v>
      </c>
      <c r="AG718" s="41">
        <f t="shared" ref="AG718" si="561">IF(AB718="Karnataka",AE718*9%,0)</f>
        <v>0</v>
      </c>
      <c r="AH718" s="41">
        <f t="shared" ref="AH718" si="562">IF(AF718+AG718&gt;0,0,AE718*18%)</f>
        <v>-408.02003506849314</v>
      </c>
      <c r="AI718" s="60">
        <f t="shared" ref="AI718" si="563">AE718*L718</f>
        <v>-90.671118904109591</v>
      </c>
      <c r="AJ718" s="60">
        <f t="shared" ref="AJ718" si="564">$AE718*M718</f>
        <v>-510.02504383561643</v>
      </c>
      <c r="AK718" s="60">
        <f t="shared" ref="AK718" si="565">(AE718)*AA718/Y718</f>
        <v>-1358.2677534246577</v>
      </c>
      <c r="AL718" s="60">
        <f t="shared" ref="AL718" si="566">AK718*(1-L718-M718)</f>
        <v>-998.32679876712336</v>
      </c>
      <c r="AM718" s="41">
        <f t="shared" ref="AM718" si="567">AE718-AI718-AL718-AJ718</f>
        <v>-667.75501109589015</v>
      </c>
      <c r="AN718" s="42">
        <f t="shared" ref="AN718" si="568">Z718-366</f>
        <v>45715</v>
      </c>
      <c r="AO718" s="43">
        <f t="shared" ref="AO718" si="569">IF(AND(O718&gt;Z718,N718&gt;AN718),AE718,0)</f>
        <v>-2266.7779726027397</v>
      </c>
      <c r="AP718" s="3" t="s">
        <v>1522</v>
      </c>
    </row>
    <row r="719" spans="1:42" ht="15" customHeight="1" x14ac:dyDescent="0.35">
      <c r="A719" s="36" t="s">
        <v>27</v>
      </c>
      <c r="B719" s="36">
        <v>202511</v>
      </c>
      <c r="C719" s="24" t="s">
        <v>128</v>
      </c>
      <c r="D719" s="24" t="s">
        <v>129</v>
      </c>
      <c r="E719" s="62">
        <v>45818</v>
      </c>
      <c r="F719" s="62">
        <v>46182</v>
      </c>
      <c r="G719" s="37" t="s">
        <v>1548</v>
      </c>
      <c r="H719" s="36">
        <v>2218</v>
      </c>
      <c r="I719" s="63">
        <v>45967</v>
      </c>
      <c r="J719" s="24" t="s">
        <v>1549</v>
      </c>
      <c r="K719" s="63">
        <f t="shared" ref="K719" si="570">N719</f>
        <v>45967</v>
      </c>
      <c r="L719" s="55">
        <f t="shared" ref="L719" si="571">IF(K719&gt;=DATE(2022,4,1),4%,5%)</f>
        <v>0.04</v>
      </c>
      <c r="M719" s="76">
        <v>0.22500000000000001</v>
      </c>
      <c r="N719" s="62">
        <v>45967</v>
      </c>
      <c r="O719" s="62">
        <v>46182</v>
      </c>
      <c r="P719" s="63"/>
      <c r="Q719" s="63"/>
      <c r="R719" s="82">
        <v>0</v>
      </c>
      <c r="S719" s="63" t="str">
        <f>VLOOKUP(R719,SA!$B$5:$C$11,2,1)</f>
        <v>0-35</v>
      </c>
      <c r="T719" s="38" t="s">
        <v>96</v>
      </c>
      <c r="U719" s="24" t="s">
        <v>114</v>
      </c>
      <c r="V719" s="24">
        <v>1000000</v>
      </c>
      <c r="W719" s="39">
        <f t="shared" ref="W719" si="572">IF(U719="self",V719,0)</f>
        <v>0</v>
      </c>
      <c r="X719" s="29">
        <f t="shared" ref="X719" si="573">IF(U719="self",1,0)</f>
        <v>0</v>
      </c>
      <c r="Y719" s="40">
        <f t="shared" ref="Y719" si="574">O719-N719+1</f>
        <v>216</v>
      </c>
      <c r="Z719" s="38">
        <f t="shared" ref="Z719:Z728" si="575">$Z$1</f>
        <v>46081</v>
      </c>
      <c r="AA719" s="41">
        <f t="shared" ref="AA719" si="576">IF(MIN((Z719-N719)+1,Y719)&lt;0,0,MIN((Z719-N719)+1,Y719))</f>
        <v>115</v>
      </c>
      <c r="AB719" s="24" t="s">
        <v>125</v>
      </c>
      <c r="AC719" s="41">
        <f t="shared" ref="AC719" si="577">AE719+AF719+AG719+AH719</f>
        <v>3766.0510158904108</v>
      </c>
      <c r="AD719" s="41">
        <v>1</v>
      </c>
      <c r="AE719" s="72">
        <f>IFERROR(INDEX(SA!$C$4:$E$11,MATCH(Details!S719,SA!$C$4:$C$11,0),MATCH(Details!V719,SA!$C$4:$E$4,0)),0)*Y719/(F719-E719+1)</f>
        <v>3191.5686575342465</v>
      </c>
      <c r="AF719" s="41">
        <f t="shared" ref="AF719" si="578">IF(AB719="Karnataka",AE719*9%,0)</f>
        <v>0</v>
      </c>
      <c r="AG719" s="41">
        <f t="shared" ref="AG719" si="579">IF(AB719="Karnataka",AE719*9%,0)</f>
        <v>0</v>
      </c>
      <c r="AH719" s="41">
        <f t="shared" ref="AH719" si="580">IF(AF719+AG719&gt;0,0,AE719*18%)</f>
        <v>574.48235835616435</v>
      </c>
      <c r="AI719" s="60">
        <f t="shared" ref="AI719" si="581">AE719*L719</f>
        <v>127.66274630136986</v>
      </c>
      <c r="AJ719" s="60">
        <f t="shared" ref="AJ719" si="582">$AE719*M719</f>
        <v>718.10294794520553</v>
      </c>
      <c r="AK719" s="60">
        <f t="shared" ref="AK719" si="583">(AE719)*AA719/Y719</f>
        <v>1699.2147945205479</v>
      </c>
      <c r="AL719" s="60">
        <f t="shared" ref="AL719" si="584">AK719*(1-L719-M719)</f>
        <v>1248.9228739726027</v>
      </c>
      <c r="AM719" s="41">
        <f t="shared" ref="AM719" si="585">AE719-AI719-AL719-AJ719</f>
        <v>1096.8800893150687</v>
      </c>
      <c r="AN719" s="42">
        <f t="shared" ref="AN719" si="586">Z719-366</f>
        <v>45715</v>
      </c>
      <c r="AO719" s="43">
        <f t="shared" ref="AO719" si="587">IF(AND(O719&gt;Z719,N719&gt;AN719),AE719,0)</f>
        <v>3191.5686575342465</v>
      </c>
    </row>
    <row r="720" spans="1:42" ht="15" customHeight="1" x14ac:dyDescent="0.35">
      <c r="A720" s="36" t="s">
        <v>27</v>
      </c>
      <c r="B720" s="36">
        <v>202512</v>
      </c>
      <c r="C720" s="24" t="s">
        <v>128</v>
      </c>
      <c r="D720" s="24" t="s">
        <v>129</v>
      </c>
      <c r="E720" s="62">
        <v>45818</v>
      </c>
      <c r="F720" s="62">
        <v>46182</v>
      </c>
      <c r="G720" s="37" t="s">
        <v>1551</v>
      </c>
      <c r="H720" s="36">
        <v>2374</v>
      </c>
      <c r="I720" s="63">
        <v>33620</v>
      </c>
      <c r="J720" s="24" t="s">
        <v>1560</v>
      </c>
      <c r="K720" s="63">
        <f t="shared" ref="K720" si="588">N720</f>
        <v>45992</v>
      </c>
      <c r="L720" s="55">
        <f t="shared" ref="L720" si="589">IF(K720&gt;=DATE(2022,4,1),4%,5%)</f>
        <v>0.04</v>
      </c>
      <c r="M720" s="76">
        <v>0.22500000000000001</v>
      </c>
      <c r="N720" s="62">
        <v>45992</v>
      </c>
      <c r="O720" s="62">
        <v>46182</v>
      </c>
      <c r="P720" s="63"/>
      <c r="Q720" s="63"/>
      <c r="R720" s="82">
        <v>33</v>
      </c>
      <c r="S720" s="63" t="str">
        <f>VLOOKUP(R720,SA!$B$5:$C$11,2,1)</f>
        <v>0-35</v>
      </c>
      <c r="T720" s="38" t="s">
        <v>96</v>
      </c>
      <c r="U720" s="24" t="s">
        <v>56</v>
      </c>
      <c r="V720" s="24">
        <v>300000</v>
      </c>
      <c r="W720" s="39">
        <f t="shared" ref="W720" si="590">IF(U720="self",V720,0)</f>
        <v>300000</v>
      </c>
      <c r="X720" s="29">
        <f t="shared" ref="X720" si="591">IF(U720="self",1,0)</f>
        <v>1</v>
      </c>
      <c r="Y720" s="40">
        <f t="shared" ref="Y720" si="592">O720-N720+1</f>
        <v>191</v>
      </c>
      <c r="Z720" s="38">
        <f t="shared" si="575"/>
        <v>46081</v>
      </c>
      <c r="AA720" s="41">
        <f t="shared" ref="AA720" si="593">IF(MIN((Z720-N720)+1,Y720)&lt;0,0,MIN((Z720-N720)+1,Y720))</f>
        <v>90</v>
      </c>
      <c r="AB720" s="24" t="s">
        <v>125</v>
      </c>
      <c r="AC720" s="41">
        <f t="shared" ref="AC720" si="594">AE720+AF720+AG720+AH720</f>
        <v>2027.3270613698633</v>
      </c>
      <c r="AD720" s="41">
        <v>1</v>
      </c>
      <c r="AE720" s="72">
        <f>IFERROR(INDEX(SA!$C$4:$E$11,MATCH(Details!S720,SA!$C$4:$C$11,0),MATCH(Details!V720,SA!$C$4:$E$4,0)),0)*Y720/(F720-E720+1)</f>
        <v>1718.073780821918</v>
      </c>
      <c r="AF720" s="41">
        <f t="shared" ref="AF720" si="595">IF(AB720="Karnataka",AE720*9%,0)</f>
        <v>0</v>
      </c>
      <c r="AG720" s="41">
        <f t="shared" ref="AG720" si="596">IF(AB720="Karnataka",AE720*9%,0)</f>
        <v>0</v>
      </c>
      <c r="AH720" s="41">
        <f t="shared" ref="AH720" si="597">IF(AF720+AG720&gt;0,0,AE720*18%)</f>
        <v>309.25328054794522</v>
      </c>
      <c r="AI720" s="60">
        <f t="shared" ref="AI720" si="598">AE720*L720</f>
        <v>68.722951232876724</v>
      </c>
      <c r="AJ720" s="60">
        <f t="shared" ref="AJ720" si="599">$AE720*M720</f>
        <v>386.56660068493159</v>
      </c>
      <c r="AK720" s="60">
        <f t="shared" ref="AK720" si="600">(AE720)*AA720/Y720</f>
        <v>809.56356164383567</v>
      </c>
      <c r="AL720" s="60">
        <f t="shared" ref="AL720" si="601">AK720*(1-L720-M720)</f>
        <v>595.02921780821919</v>
      </c>
      <c r="AM720" s="41">
        <f t="shared" ref="AM720" si="602">AE720-AI720-AL720-AJ720</f>
        <v>667.75501109589038</v>
      </c>
      <c r="AN720" s="42">
        <f t="shared" ref="AN720" si="603">Z720-366</f>
        <v>45715</v>
      </c>
      <c r="AO720" s="43">
        <f t="shared" ref="AO720" si="604">IF(AND(O720&gt;Z720,N720&gt;AN720),AE720,0)</f>
        <v>1718.073780821918</v>
      </c>
    </row>
    <row r="721" spans="1:42" ht="15" customHeight="1" x14ac:dyDescent="0.35">
      <c r="A721" s="36" t="s">
        <v>27</v>
      </c>
      <c r="B721" s="36">
        <v>202512</v>
      </c>
      <c r="C721" s="24" t="s">
        <v>128</v>
      </c>
      <c r="D721" s="24" t="s">
        <v>129</v>
      </c>
      <c r="E721" s="62">
        <v>45818</v>
      </c>
      <c r="F721" s="62">
        <v>46182</v>
      </c>
      <c r="G721" s="37" t="s">
        <v>1552</v>
      </c>
      <c r="H721" s="36">
        <v>2374</v>
      </c>
      <c r="I721" s="63">
        <v>35510</v>
      </c>
      <c r="J721" s="24" t="s">
        <v>1561</v>
      </c>
      <c r="K721" s="63">
        <f t="shared" ref="K721:K728" si="605">N721</f>
        <v>45992</v>
      </c>
      <c r="L721" s="55">
        <f t="shared" ref="L721:L728" si="606">IF(K721&gt;=DATE(2022,4,1),4%,5%)</f>
        <v>0.04</v>
      </c>
      <c r="M721" s="76">
        <v>0.22500000000000001</v>
      </c>
      <c r="N721" s="62">
        <v>45992</v>
      </c>
      <c r="O721" s="62">
        <v>46182</v>
      </c>
      <c r="P721" s="63"/>
      <c r="Q721" s="63"/>
      <c r="R721" s="82">
        <v>28</v>
      </c>
      <c r="S721" s="63" t="str">
        <f>VLOOKUP(R721,SA!$B$5:$C$11,2,1)</f>
        <v>0-35</v>
      </c>
      <c r="T721" s="38" t="s">
        <v>97</v>
      </c>
      <c r="U721" s="24" t="s">
        <v>115</v>
      </c>
      <c r="V721" s="24">
        <v>300000</v>
      </c>
      <c r="W721" s="39">
        <f t="shared" ref="W721:W728" si="607">IF(U721="self",V721,0)</f>
        <v>0</v>
      </c>
      <c r="X721" s="29">
        <f t="shared" ref="X721:X728" si="608">IF(U721="self",1,0)</f>
        <v>0</v>
      </c>
      <c r="Y721" s="40">
        <f t="shared" ref="Y721:Y728" si="609">O721-N721+1</f>
        <v>191</v>
      </c>
      <c r="Z721" s="38">
        <f t="shared" si="575"/>
        <v>46081</v>
      </c>
      <c r="AA721" s="41">
        <f t="shared" ref="AA721:AA728" si="610">IF(MIN((Z721-N721)+1,Y721)&lt;0,0,MIN((Z721-N721)+1,Y721))</f>
        <v>90</v>
      </c>
      <c r="AB721" s="24" t="s">
        <v>125</v>
      </c>
      <c r="AC721" s="41">
        <f t="shared" ref="AC721:AC728" si="611">AE721+AF721+AG721+AH721</f>
        <v>2027.3270613698633</v>
      </c>
      <c r="AD721" s="41">
        <v>1</v>
      </c>
      <c r="AE721" s="72">
        <f>IFERROR(INDEX(SA!$C$4:$E$11,MATCH(Details!S721,SA!$C$4:$C$11,0),MATCH(Details!V721,SA!$C$4:$E$4,0)),0)*Y721/(F721-E721+1)</f>
        <v>1718.073780821918</v>
      </c>
      <c r="AF721" s="41">
        <f t="shared" ref="AF721:AF728" si="612">IF(AB721="Karnataka",AE721*9%,0)</f>
        <v>0</v>
      </c>
      <c r="AG721" s="41">
        <f t="shared" ref="AG721:AG728" si="613">IF(AB721="Karnataka",AE721*9%,0)</f>
        <v>0</v>
      </c>
      <c r="AH721" s="41">
        <f t="shared" ref="AH721:AH728" si="614">IF(AF721+AG721&gt;0,0,AE721*18%)</f>
        <v>309.25328054794522</v>
      </c>
      <c r="AI721" s="60">
        <f t="shared" ref="AI721:AI728" si="615">AE721*L721</f>
        <v>68.722951232876724</v>
      </c>
      <c r="AJ721" s="60">
        <f t="shared" ref="AJ721:AJ728" si="616">$AE721*M721</f>
        <v>386.56660068493159</v>
      </c>
      <c r="AK721" s="60">
        <f t="shared" ref="AK721:AK728" si="617">(AE721)*AA721/Y721</f>
        <v>809.56356164383567</v>
      </c>
      <c r="AL721" s="60">
        <f t="shared" ref="AL721:AL728" si="618">AK721*(1-L721-M721)</f>
        <v>595.02921780821919</v>
      </c>
      <c r="AM721" s="41">
        <f t="shared" ref="AM721:AM728" si="619">AE721-AI721-AL721-AJ721</f>
        <v>667.75501109589038</v>
      </c>
      <c r="AN721" s="42">
        <f t="shared" ref="AN721:AN728" si="620">Z721-366</f>
        <v>45715</v>
      </c>
      <c r="AO721" s="43">
        <f t="shared" ref="AO721:AO728" si="621">IF(AND(O721&gt;Z721,N721&gt;AN721),AE721,0)</f>
        <v>1718.073780821918</v>
      </c>
    </row>
    <row r="722" spans="1:42" ht="15" customHeight="1" x14ac:dyDescent="0.35">
      <c r="A722" s="36" t="s">
        <v>27</v>
      </c>
      <c r="B722" s="36">
        <v>202512</v>
      </c>
      <c r="C722" s="24" t="s">
        <v>128</v>
      </c>
      <c r="D722" s="24" t="s">
        <v>129</v>
      </c>
      <c r="E722" s="62">
        <v>45818</v>
      </c>
      <c r="F722" s="62">
        <v>46182</v>
      </c>
      <c r="G722" s="37" t="s">
        <v>1553</v>
      </c>
      <c r="H722" s="36">
        <v>2374</v>
      </c>
      <c r="I722" s="63">
        <v>44055</v>
      </c>
      <c r="J722" s="24" t="s">
        <v>1562</v>
      </c>
      <c r="K722" s="63">
        <f t="shared" si="605"/>
        <v>45992</v>
      </c>
      <c r="L722" s="55">
        <f t="shared" si="606"/>
        <v>0.04</v>
      </c>
      <c r="M722" s="76">
        <v>0.22500000000000001</v>
      </c>
      <c r="N722" s="62">
        <v>45992</v>
      </c>
      <c r="O722" s="62">
        <v>46182</v>
      </c>
      <c r="P722" s="63"/>
      <c r="Q722" s="63"/>
      <c r="R722" s="82">
        <v>5</v>
      </c>
      <c r="S722" s="63" t="str">
        <f>VLOOKUP(R722,SA!$B$5:$C$11,2,1)</f>
        <v>0-35</v>
      </c>
      <c r="T722" s="38" t="s">
        <v>96</v>
      </c>
      <c r="U722" s="24" t="s">
        <v>114</v>
      </c>
      <c r="V722" s="24">
        <v>300000</v>
      </c>
      <c r="W722" s="39">
        <f t="shared" si="607"/>
        <v>0</v>
      </c>
      <c r="X722" s="29">
        <f t="shared" si="608"/>
        <v>0</v>
      </c>
      <c r="Y722" s="40">
        <f t="shared" si="609"/>
        <v>191</v>
      </c>
      <c r="Z722" s="38">
        <f t="shared" si="575"/>
        <v>46081</v>
      </c>
      <c r="AA722" s="41">
        <f t="shared" si="610"/>
        <v>90</v>
      </c>
      <c r="AB722" s="24" t="s">
        <v>125</v>
      </c>
      <c r="AC722" s="41">
        <f t="shared" si="611"/>
        <v>2027.3270613698633</v>
      </c>
      <c r="AD722" s="41">
        <v>1</v>
      </c>
      <c r="AE722" s="72">
        <f>IFERROR(INDEX(SA!$C$4:$E$11,MATCH(Details!S722,SA!$C$4:$C$11,0),MATCH(Details!V722,SA!$C$4:$E$4,0)),0)*Y722/(F722-E722+1)</f>
        <v>1718.073780821918</v>
      </c>
      <c r="AF722" s="41">
        <f t="shared" si="612"/>
        <v>0</v>
      </c>
      <c r="AG722" s="41">
        <f t="shared" si="613"/>
        <v>0</v>
      </c>
      <c r="AH722" s="41">
        <f t="shared" si="614"/>
        <v>309.25328054794522</v>
      </c>
      <c r="AI722" s="60">
        <f t="shared" si="615"/>
        <v>68.722951232876724</v>
      </c>
      <c r="AJ722" s="60">
        <f t="shared" si="616"/>
        <v>386.56660068493159</v>
      </c>
      <c r="AK722" s="60">
        <f t="shared" si="617"/>
        <v>809.56356164383567</v>
      </c>
      <c r="AL722" s="60">
        <f t="shared" si="618"/>
        <v>595.02921780821919</v>
      </c>
      <c r="AM722" s="41">
        <f t="shared" si="619"/>
        <v>667.75501109589038</v>
      </c>
      <c r="AN722" s="42">
        <f t="shared" si="620"/>
        <v>45715</v>
      </c>
      <c r="AO722" s="43">
        <f t="shared" si="621"/>
        <v>1718.073780821918</v>
      </c>
    </row>
    <row r="723" spans="1:42" ht="15" customHeight="1" x14ac:dyDescent="0.35">
      <c r="A723" s="36" t="s">
        <v>27</v>
      </c>
      <c r="B723" s="36">
        <v>202512</v>
      </c>
      <c r="C723" s="24" t="s">
        <v>128</v>
      </c>
      <c r="D723" s="24" t="s">
        <v>129</v>
      </c>
      <c r="E723" s="62">
        <v>45818</v>
      </c>
      <c r="F723" s="62">
        <v>46182</v>
      </c>
      <c r="G723" s="37" t="s">
        <v>1554</v>
      </c>
      <c r="H723" s="36">
        <v>2374</v>
      </c>
      <c r="I723" s="63">
        <v>45918</v>
      </c>
      <c r="J723" s="24" t="s">
        <v>1563</v>
      </c>
      <c r="K723" s="63">
        <f t="shared" si="605"/>
        <v>45992</v>
      </c>
      <c r="L723" s="55">
        <f t="shared" si="606"/>
        <v>0.04</v>
      </c>
      <c r="M723" s="76">
        <v>0.22500000000000001</v>
      </c>
      <c r="N723" s="62">
        <v>45992</v>
      </c>
      <c r="O723" s="62">
        <v>46182</v>
      </c>
      <c r="P723" s="63"/>
      <c r="Q723" s="63"/>
      <c r="R723" s="82">
        <v>0</v>
      </c>
      <c r="S723" s="63" t="str">
        <f>VLOOKUP(R723,SA!$B$5:$C$11,2,1)</f>
        <v>0-35</v>
      </c>
      <c r="T723" s="38" t="s">
        <v>97</v>
      </c>
      <c r="U723" s="24" t="s">
        <v>113</v>
      </c>
      <c r="V723" s="24">
        <v>300000</v>
      </c>
      <c r="W723" s="39">
        <f t="shared" si="607"/>
        <v>0</v>
      </c>
      <c r="X723" s="29">
        <f t="shared" si="608"/>
        <v>0</v>
      </c>
      <c r="Y723" s="40">
        <f t="shared" si="609"/>
        <v>191</v>
      </c>
      <c r="Z723" s="38">
        <f t="shared" si="575"/>
        <v>46081</v>
      </c>
      <c r="AA723" s="41">
        <f t="shared" si="610"/>
        <v>90</v>
      </c>
      <c r="AB723" s="24" t="s">
        <v>125</v>
      </c>
      <c r="AC723" s="41">
        <f t="shared" si="611"/>
        <v>2027.3270613698633</v>
      </c>
      <c r="AD723" s="41">
        <v>1</v>
      </c>
      <c r="AE723" s="72">
        <f>IFERROR(INDEX(SA!$C$4:$E$11,MATCH(Details!S723,SA!$C$4:$C$11,0),MATCH(Details!V723,SA!$C$4:$E$4,0)),0)*Y723/(F723-E723+1)</f>
        <v>1718.073780821918</v>
      </c>
      <c r="AF723" s="41">
        <f t="shared" si="612"/>
        <v>0</v>
      </c>
      <c r="AG723" s="41">
        <f t="shared" si="613"/>
        <v>0</v>
      </c>
      <c r="AH723" s="41">
        <f t="shared" si="614"/>
        <v>309.25328054794522</v>
      </c>
      <c r="AI723" s="60">
        <f t="shared" si="615"/>
        <v>68.722951232876724</v>
      </c>
      <c r="AJ723" s="60">
        <f t="shared" si="616"/>
        <v>386.56660068493159</v>
      </c>
      <c r="AK723" s="60">
        <f t="shared" si="617"/>
        <v>809.56356164383567</v>
      </c>
      <c r="AL723" s="60">
        <f t="shared" si="618"/>
        <v>595.02921780821919</v>
      </c>
      <c r="AM723" s="41">
        <f t="shared" si="619"/>
        <v>667.75501109589038</v>
      </c>
      <c r="AN723" s="42">
        <f t="shared" si="620"/>
        <v>45715</v>
      </c>
      <c r="AO723" s="43">
        <f t="shared" si="621"/>
        <v>1718.073780821918</v>
      </c>
    </row>
    <row r="724" spans="1:42" ht="15" customHeight="1" x14ac:dyDescent="0.35">
      <c r="A724" s="36" t="s">
        <v>27</v>
      </c>
      <c r="B724" s="36">
        <v>202512</v>
      </c>
      <c r="C724" s="24" t="s">
        <v>128</v>
      </c>
      <c r="D724" s="24" t="s">
        <v>129</v>
      </c>
      <c r="E724" s="62">
        <v>45818</v>
      </c>
      <c r="F724" s="62">
        <v>46182</v>
      </c>
      <c r="G724" s="37" t="s">
        <v>1555</v>
      </c>
      <c r="H724" s="36">
        <v>2375</v>
      </c>
      <c r="I724" s="63">
        <v>32709</v>
      </c>
      <c r="J724" s="24" t="s">
        <v>1564</v>
      </c>
      <c r="K724" s="63">
        <f t="shared" si="605"/>
        <v>45992</v>
      </c>
      <c r="L724" s="55">
        <f t="shared" si="606"/>
        <v>0.04</v>
      </c>
      <c r="M724" s="76">
        <v>0.22500000000000001</v>
      </c>
      <c r="N724" s="62">
        <v>45992</v>
      </c>
      <c r="O724" s="62">
        <v>46182</v>
      </c>
      <c r="P724" s="63"/>
      <c r="Q724" s="63"/>
      <c r="R724" s="82">
        <v>36</v>
      </c>
      <c r="S724" s="63" t="str">
        <f>VLOOKUP(R724,SA!$B$5:$C$11,2,1)</f>
        <v>36-45</v>
      </c>
      <c r="T724" s="38" t="s">
        <v>96</v>
      </c>
      <c r="U724" s="24" t="s">
        <v>56</v>
      </c>
      <c r="V724" s="24">
        <v>300000</v>
      </c>
      <c r="W724" s="39">
        <f t="shared" si="607"/>
        <v>300000</v>
      </c>
      <c r="X724" s="29">
        <f t="shared" si="608"/>
        <v>1</v>
      </c>
      <c r="Y724" s="40">
        <f t="shared" si="609"/>
        <v>191</v>
      </c>
      <c r="Z724" s="38">
        <f t="shared" si="575"/>
        <v>46081</v>
      </c>
      <c r="AA724" s="41">
        <f t="shared" si="610"/>
        <v>90</v>
      </c>
      <c r="AB724" s="24" t="s">
        <v>125</v>
      </c>
      <c r="AC724" s="41">
        <f t="shared" si="611"/>
        <v>2625.5041057534245</v>
      </c>
      <c r="AD724" s="41">
        <v>1</v>
      </c>
      <c r="AE724" s="72">
        <f>IFERROR(INDEX(SA!$C$4:$E$11,MATCH(Details!S724,SA!$C$4:$C$11,0),MATCH(Details!V724,SA!$C$4:$E$4,0)),0)*Y724/(F724-E724+1)</f>
        <v>2225.0034794520548</v>
      </c>
      <c r="AF724" s="41">
        <f t="shared" si="612"/>
        <v>0</v>
      </c>
      <c r="AG724" s="41">
        <f t="shared" si="613"/>
        <v>0</v>
      </c>
      <c r="AH724" s="41">
        <f t="shared" si="614"/>
        <v>400.50062630136983</v>
      </c>
      <c r="AI724" s="60">
        <f t="shared" si="615"/>
        <v>89.000139178082193</v>
      </c>
      <c r="AJ724" s="60">
        <f t="shared" si="616"/>
        <v>500.62578287671232</v>
      </c>
      <c r="AK724" s="60">
        <f t="shared" si="617"/>
        <v>1048.4309589041095</v>
      </c>
      <c r="AL724" s="60">
        <f t="shared" si="618"/>
        <v>770.59675479452051</v>
      </c>
      <c r="AM724" s="41">
        <f t="shared" si="619"/>
        <v>864.78080260273987</v>
      </c>
      <c r="AN724" s="42">
        <f t="shared" si="620"/>
        <v>45715</v>
      </c>
      <c r="AO724" s="43">
        <f t="shared" si="621"/>
        <v>2225.0034794520548</v>
      </c>
    </row>
    <row r="725" spans="1:42" ht="15" customHeight="1" x14ac:dyDescent="0.35">
      <c r="A725" s="36" t="s">
        <v>27</v>
      </c>
      <c r="B725" s="36">
        <v>202512</v>
      </c>
      <c r="C725" s="24" t="s">
        <v>128</v>
      </c>
      <c r="D725" s="24" t="s">
        <v>129</v>
      </c>
      <c r="E725" s="62">
        <v>45818</v>
      </c>
      <c r="F725" s="62">
        <v>46182</v>
      </c>
      <c r="G725" s="37" t="s">
        <v>1556</v>
      </c>
      <c r="H725" s="36">
        <v>2375</v>
      </c>
      <c r="I725" s="63">
        <v>34323</v>
      </c>
      <c r="J725" s="24" t="s">
        <v>1565</v>
      </c>
      <c r="K725" s="63">
        <f t="shared" si="605"/>
        <v>45992</v>
      </c>
      <c r="L725" s="55">
        <f t="shared" si="606"/>
        <v>0.04</v>
      </c>
      <c r="M725" s="76">
        <v>0.22500000000000001</v>
      </c>
      <c r="N725" s="62">
        <v>45992</v>
      </c>
      <c r="O725" s="62">
        <v>46182</v>
      </c>
      <c r="P725" s="63"/>
      <c r="Q725" s="63"/>
      <c r="R725" s="82">
        <v>31</v>
      </c>
      <c r="S725" s="63" t="str">
        <f>VLOOKUP(R725,SA!$B$5:$C$11,2,1)</f>
        <v>0-35</v>
      </c>
      <c r="T725" s="38" t="s">
        <v>97</v>
      </c>
      <c r="U725" s="24" t="s">
        <v>115</v>
      </c>
      <c r="V725" s="24">
        <v>300000</v>
      </c>
      <c r="W725" s="39">
        <f t="shared" si="607"/>
        <v>0</v>
      </c>
      <c r="X725" s="29">
        <f t="shared" si="608"/>
        <v>0</v>
      </c>
      <c r="Y725" s="40">
        <f t="shared" si="609"/>
        <v>191</v>
      </c>
      <c r="Z725" s="38">
        <f t="shared" si="575"/>
        <v>46081</v>
      </c>
      <c r="AA725" s="41">
        <f t="shared" si="610"/>
        <v>90</v>
      </c>
      <c r="AB725" s="24" t="s">
        <v>125</v>
      </c>
      <c r="AC725" s="41">
        <f t="shared" si="611"/>
        <v>2027.3270613698633</v>
      </c>
      <c r="AD725" s="41">
        <v>1</v>
      </c>
      <c r="AE725" s="72">
        <f>IFERROR(INDEX(SA!$C$4:$E$11,MATCH(Details!S725,SA!$C$4:$C$11,0),MATCH(Details!V725,SA!$C$4:$E$4,0)),0)*Y725/(F725-E725+1)</f>
        <v>1718.073780821918</v>
      </c>
      <c r="AF725" s="41">
        <f t="shared" si="612"/>
        <v>0</v>
      </c>
      <c r="AG725" s="41">
        <f t="shared" si="613"/>
        <v>0</v>
      </c>
      <c r="AH725" s="41">
        <f t="shared" si="614"/>
        <v>309.25328054794522</v>
      </c>
      <c r="AI725" s="60">
        <f t="shared" si="615"/>
        <v>68.722951232876724</v>
      </c>
      <c r="AJ725" s="60">
        <f t="shared" si="616"/>
        <v>386.56660068493159</v>
      </c>
      <c r="AK725" s="60">
        <f t="shared" si="617"/>
        <v>809.56356164383567</v>
      </c>
      <c r="AL725" s="60">
        <f t="shared" si="618"/>
        <v>595.02921780821919</v>
      </c>
      <c r="AM725" s="41">
        <f t="shared" si="619"/>
        <v>667.75501109589038</v>
      </c>
      <c r="AN725" s="42">
        <f t="shared" si="620"/>
        <v>45715</v>
      </c>
      <c r="AO725" s="43">
        <f t="shared" si="621"/>
        <v>1718.073780821918</v>
      </c>
    </row>
    <row r="726" spans="1:42" ht="15" customHeight="1" x14ac:dyDescent="0.35">
      <c r="A726" s="36" t="s">
        <v>27</v>
      </c>
      <c r="B726" s="36">
        <v>202512</v>
      </c>
      <c r="C726" s="24" t="s">
        <v>128</v>
      </c>
      <c r="D726" s="24" t="s">
        <v>129</v>
      </c>
      <c r="E726" s="62">
        <v>45818</v>
      </c>
      <c r="F726" s="62">
        <v>46182</v>
      </c>
      <c r="G726" s="37" t="s">
        <v>1557</v>
      </c>
      <c r="H726" s="36">
        <v>2375</v>
      </c>
      <c r="I726" s="63">
        <v>45559</v>
      </c>
      <c r="J726" s="24" t="s">
        <v>1566</v>
      </c>
      <c r="K726" s="63">
        <f t="shared" si="605"/>
        <v>45992</v>
      </c>
      <c r="L726" s="55">
        <f t="shared" si="606"/>
        <v>0.04</v>
      </c>
      <c r="M726" s="76">
        <v>0.22500000000000001</v>
      </c>
      <c r="N726" s="62">
        <v>45992</v>
      </c>
      <c r="O726" s="62">
        <v>46182</v>
      </c>
      <c r="P726" s="63"/>
      <c r="Q726" s="63"/>
      <c r="R726" s="82">
        <v>1</v>
      </c>
      <c r="S726" s="63" t="str">
        <f>VLOOKUP(R726,SA!$B$5:$C$11,2,1)</f>
        <v>0-35</v>
      </c>
      <c r="T726" s="38" t="s">
        <v>96</v>
      </c>
      <c r="U726" s="24" t="s">
        <v>114</v>
      </c>
      <c r="V726" s="24">
        <v>300000</v>
      </c>
      <c r="W726" s="39">
        <f t="shared" si="607"/>
        <v>0</v>
      </c>
      <c r="X726" s="29">
        <f t="shared" si="608"/>
        <v>0</v>
      </c>
      <c r="Y726" s="40">
        <f t="shared" si="609"/>
        <v>191</v>
      </c>
      <c r="Z726" s="38">
        <f t="shared" si="575"/>
        <v>46081</v>
      </c>
      <c r="AA726" s="41">
        <f t="shared" si="610"/>
        <v>90</v>
      </c>
      <c r="AB726" s="24" t="s">
        <v>125</v>
      </c>
      <c r="AC726" s="41">
        <f t="shared" si="611"/>
        <v>2027.3270613698633</v>
      </c>
      <c r="AD726" s="41">
        <v>1</v>
      </c>
      <c r="AE726" s="72">
        <f>IFERROR(INDEX(SA!$C$4:$E$11,MATCH(Details!S726,SA!$C$4:$C$11,0),MATCH(Details!V726,SA!$C$4:$E$4,0)),0)*Y726/(F726-E726+1)</f>
        <v>1718.073780821918</v>
      </c>
      <c r="AF726" s="41">
        <f t="shared" si="612"/>
        <v>0</v>
      </c>
      <c r="AG726" s="41">
        <f t="shared" si="613"/>
        <v>0</v>
      </c>
      <c r="AH726" s="41">
        <f t="shared" si="614"/>
        <v>309.25328054794522</v>
      </c>
      <c r="AI726" s="60">
        <f t="shared" si="615"/>
        <v>68.722951232876724</v>
      </c>
      <c r="AJ726" s="60">
        <f t="shared" si="616"/>
        <v>386.56660068493159</v>
      </c>
      <c r="AK726" s="60">
        <f t="shared" si="617"/>
        <v>809.56356164383567</v>
      </c>
      <c r="AL726" s="60">
        <f t="shared" si="618"/>
        <v>595.02921780821919</v>
      </c>
      <c r="AM726" s="41">
        <f t="shared" si="619"/>
        <v>667.75501109589038</v>
      </c>
      <c r="AN726" s="42">
        <f t="shared" si="620"/>
        <v>45715</v>
      </c>
      <c r="AO726" s="43">
        <f t="shared" si="621"/>
        <v>1718.073780821918</v>
      </c>
    </row>
    <row r="727" spans="1:42" ht="15" customHeight="1" x14ac:dyDescent="0.35">
      <c r="A727" s="36" t="s">
        <v>27</v>
      </c>
      <c r="B727" s="36">
        <v>202512</v>
      </c>
      <c r="C727" s="24" t="s">
        <v>128</v>
      </c>
      <c r="D727" s="24" t="s">
        <v>129</v>
      </c>
      <c r="E727" s="62">
        <v>45818</v>
      </c>
      <c r="F727" s="62">
        <v>46182</v>
      </c>
      <c r="G727" s="37" t="s">
        <v>1558</v>
      </c>
      <c r="H727" s="36">
        <v>2375</v>
      </c>
      <c r="I727" s="63">
        <v>44345</v>
      </c>
      <c r="J727" s="24" t="s">
        <v>1567</v>
      </c>
      <c r="K727" s="63">
        <f t="shared" si="605"/>
        <v>45992</v>
      </c>
      <c r="L727" s="55">
        <f t="shared" si="606"/>
        <v>0.04</v>
      </c>
      <c r="M727" s="76">
        <v>0.22500000000000001</v>
      </c>
      <c r="N727" s="62">
        <v>45992</v>
      </c>
      <c r="O727" s="62">
        <v>46182</v>
      </c>
      <c r="P727" s="63"/>
      <c r="Q727" s="63"/>
      <c r="R727" s="82">
        <v>4</v>
      </c>
      <c r="S727" s="63" t="str">
        <f>VLOOKUP(R727,SA!$B$5:$C$11,2,1)</f>
        <v>0-35</v>
      </c>
      <c r="T727" s="38" t="s">
        <v>97</v>
      </c>
      <c r="U727" s="24" t="s">
        <v>113</v>
      </c>
      <c r="V727" s="24">
        <v>300000</v>
      </c>
      <c r="W727" s="39">
        <f t="shared" si="607"/>
        <v>0</v>
      </c>
      <c r="X727" s="29">
        <f t="shared" si="608"/>
        <v>0</v>
      </c>
      <c r="Y727" s="40">
        <f t="shared" si="609"/>
        <v>191</v>
      </c>
      <c r="Z727" s="38">
        <f t="shared" si="575"/>
        <v>46081</v>
      </c>
      <c r="AA727" s="41">
        <f t="shared" si="610"/>
        <v>90</v>
      </c>
      <c r="AB727" s="24" t="s">
        <v>125</v>
      </c>
      <c r="AC727" s="41">
        <f t="shared" si="611"/>
        <v>2027.3270613698633</v>
      </c>
      <c r="AD727" s="41">
        <v>1</v>
      </c>
      <c r="AE727" s="72">
        <f>IFERROR(INDEX(SA!$C$4:$E$11,MATCH(Details!S727,SA!$C$4:$C$11,0),MATCH(Details!V727,SA!$C$4:$E$4,0)),0)*Y727/(F727-E727+1)</f>
        <v>1718.073780821918</v>
      </c>
      <c r="AF727" s="41">
        <f t="shared" si="612"/>
        <v>0</v>
      </c>
      <c r="AG727" s="41">
        <f t="shared" si="613"/>
        <v>0</v>
      </c>
      <c r="AH727" s="41">
        <f t="shared" si="614"/>
        <v>309.25328054794522</v>
      </c>
      <c r="AI727" s="60">
        <f t="shared" si="615"/>
        <v>68.722951232876724</v>
      </c>
      <c r="AJ727" s="60">
        <f t="shared" si="616"/>
        <v>386.56660068493159</v>
      </c>
      <c r="AK727" s="60">
        <f t="shared" si="617"/>
        <v>809.56356164383567</v>
      </c>
      <c r="AL727" s="60">
        <f t="shared" si="618"/>
        <v>595.02921780821919</v>
      </c>
      <c r="AM727" s="41">
        <f t="shared" si="619"/>
        <v>667.75501109589038</v>
      </c>
      <c r="AN727" s="42">
        <f t="shared" si="620"/>
        <v>45715</v>
      </c>
      <c r="AO727" s="43">
        <f t="shared" si="621"/>
        <v>1718.073780821918</v>
      </c>
    </row>
    <row r="728" spans="1:42" ht="15" customHeight="1" x14ac:dyDescent="0.35">
      <c r="A728" s="36" t="s">
        <v>27</v>
      </c>
      <c r="B728" s="36">
        <v>202512</v>
      </c>
      <c r="C728" s="24" t="s">
        <v>128</v>
      </c>
      <c r="D728" s="24" t="s">
        <v>129</v>
      </c>
      <c r="E728" s="62">
        <v>45818</v>
      </c>
      <c r="F728" s="62">
        <v>46182</v>
      </c>
      <c r="G728" s="37" t="s">
        <v>1559</v>
      </c>
      <c r="H728" s="36">
        <v>2376</v>
      </c>
      <c r="I728" s="63">
        <v>36079</v>
      </c>
      <c r="J728" s="24" t="s">
        <v>1568</v>
      </c>
      <c r="K728" s="63">
        <f t="shared" si="605"/>
        <v>45992</v>
      </c>
      <c r="L728" s="55">
        <f t="shared" si="606"/>
        <v>0.04</v>
      </c>
      <c r="M728" s="76">
        <v>0.22500000000000001</v>
      </c>
      <c r="N728" s="62">
        <v>45992</v>
      </c>
      <c r="O728" s="62">
        <v>46182</v>
      </c>
      <c r="P728" s="63"/>
      <c r="Q728" s="63"/>
      <c r="R728" s="82">
        <v>27</v>
      </c>
      <c r="S728" s="63" t="str">
        <f>VLOOKUP(R728,SA!$B$5:$C$11,2,1)</f>
        <v>0-35</v>
      </c>
      <c r="T728" s="38" t="s">
        <v>96</v>
      </c>
      <c r="U728" s="24" t="s">
        <v>56</v>
      </c>
      <c r="V728" s="24">
        <v>300000</v>
      </c>
      <c r="W728" s="39">
        <f t="shared" si="607"/>
        <v>300000</v>
      </c>
      <c r="X728" s="29">
        <f t="shared" si="608"/>
        <v>1</v>
      </c>
      <c r="Y728" s="40">
        <f t="shared" si="609"/>
        <v>191</v>
      </c>
      <c r="Z728" s="38">
        <f t="shared" si="575"/>
        <v>46081</v>
      </c>
      <c r="AA728" s="41">
        <f t="shared" si="610"/>
        <v>90</v>
      </c>
      <c r="AB728" s="24" t="s">
        <v>125</v>
      </c>
      <c r="AC728" s="41">
        <f t="shared" si="611"/>
        <v>2027.3270613698633</v>
      </c>
      <c r="AD728" s="41">
        <v>1</v>
      </c>
      <c r="AE728" s="72">
        <f>IFERROR(INDEX(SA!$C$4:$E$11,MATCH(Details!S728,SA!$C$4:$C$11,0),MATCH(Details!V728,SA!$C$4:$E$4,0)),0)*Y728/(F728-E728+1)</f>
        <v>1718.073780821918</v>
      </c>
      <c r="AF728" s="41">
        <f t="shared" si="612"/>
        <v>0</v>
      </c>
      <c r="AG728" s="41">
        <f t="shared" si="613"/>
        <v>0</v>
      </c>
      <c r="AH728" s="41">
        <f t="shared" si="614"/>
        <v>309.25328054794522</v>
      </c>
      <c r="AI728" s="60">
        <f t="shared" si="615"/>
        <v>68.722951232876724</v>
      </c>
      <c r="AJ728" s="60">
        <f t="shared" si="616"/>
        <v>386.56660068493159</v>
      </c>
      <c r="AK728" s="60">
        <f t="shared" si="617"/>
        <v>809.56356164383567</v>
      </c>
      <c r="AL728" s="60">
        <f t="shared" si="618"/>
        <v>595.02921780821919</v>
      </c>
      <c r="AM728" s="41">
        <f t="shared" si="619"/>
        <v>667.75501109589038</v>
      </c>
      <c r="AN728" s="42">
        <f t="shared" si="620"/>
        <v>45715</v>
      </c>
      <c r="AO728" s="43">
        <f t="shared" si="621"/>
        <v>1718.073780821918</v>
      </c>
    </row>
    <row r="729" spans="1:42" ht="15" customHeight="1" x14ac:dyDescent="0.35">
      <c r="A729" s="36" t="s">
        <v>1480</v>
      </c>
      <c r="B729" s="36">
        <v>202512</v>
      </c>
      <c r="C729" s="24" t="s">
        <v>128</v>
      </c>
      <c r="D729" s="24" t="s">
        <v>129</v>
      </c>
      <c r="E729" s="62">
        <v>45818</v>
      </c>
      <c r="F729" s="62">
        <v>46182</v>
      </c>
      <c r="G729" s="37" t="s">
        <v>290</v>
      </c>
      <c r="H729" s="36">
        <v>1123</v>
      </c>
      <c r="I729" s="63">
        <v>32239</v>
      </c>
      <c r="J729" s="24" t="s">
        <v>938</v>
      </c>
      <c r="K729" s="63">
        <f t="shared" ref="K729" si="622">N729</f>
        <v>45818</v>
      </c>
      <c r="L729" s="55">
        <f t="shared" ref="L729" si="623">IF(K729&gt;=DATE(2022,4,1),4%,5%)</f>
        <v>0.04</v>
      </c>
      <c r="M729" s="76">
        <v>0.22500000000000001</v>
      </c>
      <c r="N729" s="62">
        <v>45818</v>
      </c>
      <c r="O729" s="62">
        <v>46182</v>
      </c>
      <c r="P729" s="63">
        <v>45983</v>
      </c>
      <c r="Q729" s="63">
        <f t="shared" ref="Q729" si="624">P729+1</f>
        <v>45984</v>
      </c>
      <c r="R729" s="82">
        <v>37</v>
      </c>
      <c r="S729" s="63" t="str">
        <f>VLOOKUP(R729,SA!$B$5:$C$11,2,1)</f>
        <v>36-45</v>
      </c>
      <c r="T729" s="38" t="s">
        <v>96</v>
      </c>
      <c r="U729" s="24" t="s">
        <v>56</v>
      </c>
      <c r="V729" s="24">
        <v>-300000</v>
      </c>
      <c r="W729" s="39">
        <f t="shared" ref="W729" si="625">IF(U729="self",V729,0)</f>
        <v>-300000</v>
      </c>
      <c r="X729" s="29">
        <f t="shared" ref="X729" si="626">IF(U729="self",-1,0)</f>
        <v>-1</v>
      </c>
      <c r="Y729" s="40">
        <f t="shared" ref="Y729" si="627">O729-Q729+1</f>
        <v>199</v>
      </c>
      <c r="Z729" s="38">
        <f t="shared" ref="Z729:Z735" si="628">$Z$1</f>
        <v>46081</v>
      </c>
      <c r="AA729" s="41">
        <f t="shared" ref="AA729" si="629">IF(MIN((Z729-Q729)+1,Y729)&lt;0,0,MIN((Z729-Q729)+1,Y729))</f>
        <v>98</v>
      </c>
      <c r="AB729" s="24" t="s">
        <v>125</v>
      </c>
      <c r="AC729" s="41">
        <f t="shared" ref="AC729" si="630">AE729+AF729+AG729+AH729</f>
        <v>-2735.472864109589</v>
      </c>
      <c r="AD729" s="41">
        <v>-1</v>
      </c>
      <c r="AE729" s="72">
        <f>-IFERROR(INDEX(SA!$C$4:$E$11,MATCH(Details!S729,SA!$C$4:$C$11,0),MATCH(-Details!V729,SA!$C$4:$E$4,0)),0)*Y729/(F729-E729+1)</f>
        <v>-2318.1973424657535</v>
      </c>
      <c r="AF729" s="41">
        <f t="shared" ref="AF729" si="631">IF(AB729="Karnataka",AE729*9%,0)</f>
        <v>0</v>
      </c>
      <c r="AG729" s="41">
        <f t="shared" ref="AG729" si="632">IF(AB729="Karnataka",AE729*9%,0)</f>
        <v>0</v>
      </c>
      <c r="AH729" s="41">
        <f t="shared" ref="AH729" si="633">IF(AF729+AG729&gt;0,0,AE729*18%)</f>
        <v>-417.27552164383565</v>
      </c>
      <c r="AI729" s="60">
        <f t="shared" ref="AI729" si="634">AE729*L729</f>
        <v>-92.72789369863014</v>
      </c>
      <c r="AJ729" s="60">
        <f t="shared" ref="AJ729" si="635">$AE729*M729</f>
        <v>-521.59440205479461</v>
      </c>
      <c r="AK729" s="60">
        <f t="shared" ref="AK729" si="636">(AE729)*AA729/Y729</f>
        <v>-1141.6248219178083</v>
      </c>
      <c r="AL729" s="60">
        <f t="shared" ref="AL729" si="637">AK729*(1-L729-M729)</f>
        <v>-839.09424410958911</v>
      </c>
      <c r="AM729" s="41">
        <f t="shared" ref="AM729" si="638">AE729-AI729-AL729-AJ729</f>
        <v>-864.78080260273998</v>
      </c>
      <c r="AN729" s="42">
        <f t="shared" ref="AN729" si="639">Z729-366</f>
        <v>45715</v>
      </c>
      <c r="AO729" s="43">
        <f t="shared" ref="AO729" si="640">IF(AND(O729&gt;Z729,N729&gt;AN729),AE729,0)</f>
        <v>-2318.1973424657535</v>
      </c>
      <c r="AP729" s="3" t="s">
        <v>1522</v>
      </c>
    </row>
    <row r="730" spans="1:42" ht="15" customHeight="1" x14ac:dyDescent="0.35">
      <c r="A730" s="36" t="s">
        <v>1480</v>
      </c>
      <c r="B730" s="36">
        <v>202512</v>
      </c>
      <c r="C730" s="24" t="s">
        <v>128</v>
      </c>
      <c r="D730" s="24" t="s">
        <v>129</v>
      </c>
      <c r="E730" s="62">
        <v>45818</v>
      </c>
      <c r="F730" s="62">
        <v>46182</v>
      </c>
      <c r="G730" s="37" t="s">
        <v>291</v>
      </c>
      <c r="H730" s="36">
        <v>1123</v>
      </c>
      <c r="I730" s="63">
        <v>42958</v>
      </c>
      <c r="J730" s="24" t="s">
        <v>939</v>
      </c>
      <c r="K730" s="63">
        <f t="shared" ref="K730:K735" si="641">N730</f>
        <v>45818</v>
      </c>
      <c r="L730" s="55">
        <f t="shared" ref="L730:L735" si="642">IF(K730&gt;=DATE(2022,4,1),4%,5%)</f>
        <v>0.04</v>
      </c>
      <c r="M730" s="76">
        <v>0.22500000000000001</v>
      </c>
      <c r="N730" s="62">
        <v>45818</v>
      </c>
      <c r="O730" s="62">
        <v>46182</v>
      </c>
      <c r="P730" s="63">
        <v>45983</v>
      </c>
      <c r="Q730" s="63">
        <f t="shared" ref="Q730:Q735" si="643">P730+1</f>
        <v>45984</v>
      </c>
      <c r="R730" s="82">
        <v>7</v>
      </c>
      <c r="S730" s="63" t="str">
        <f>VLOOKUP(R730,SA!$B$5:$C$11,2,1)</f>
        <v>0-35</v>
      </c>
      <c r="T730" s="38" t="s">
        <v>96</v>
      </c>
      <c r="U730" s="24" t="s">
        <v>114</v>
      </c>
      <c r="V730" s="24">
        <v>-300000</v>
      </c>
      <c r="W730" s="39">
        <f t="shared" ref="W730:W735" si="644">IF(U730="self",V730,0)</f>
        <v>0</v>
      </c>
      <c r="X730" s="29">
        <f t="shared" ref="X730:X735" si="645">IF(U730="self",-1,0)</f>
        <v>0</v>
      </c>
      <c r="Y730" s="40">
        <f t="shared" ref="Y730:Y735" si="646">O730-Q730+1</f>
        <v>199</v>
      </c>
      <c r="Z730" s="38">
        <f t="shared" si="628"/>
        <v>46081</v>
      </c>
      <c r="AA730" s="41">
        <f t="shared" ref="AA730:AA735" si="647">IF(MIN((Z730-Q730)+1,Y730)&lt;0,0,MIN((Z730-Q730)+1,Y730))</f>
        <v>98</v>
      </c>
      <c r="AB730" s="24" t="s">
        <v>125</v>
      </c>
      <c r="AC730" s="41">
        <f t="shared" ref="AC730:AC735" si="648">AE730+AF730+AG730+AH730</f>
        <v>-2112.2412838356163</v>
      </c>
      <c r="AD730" s="41">
        <v>-1</v>
      </c>
      <c r="AE730" s="72">
        <f>-IFERROR(INDEX(SA!$C$4:$E$11,MATCH(Details!S730,SA!$C$4:$C$11,0),MATCH(-Details!V730,SA!$C$4:$E$4,0)),0)*Y730/(F730-E730+1)</f>
        <v>-1790.0349863013698</v>
      </c>
      <c r="AF730" s="41">
        <f t="shared" ref="AF730:AF735" si="649">IF(AB730="Karnataka",AE730*9%,0)</f>
        <v>0</v>
      </c>
      <c r="AG730" s="41">
        <f t="shared" ref="AG730:AG735" si="650">IF(AB730="Karnataka",AE730*9%,0)</f>
        <v>0</v>
      </c>
      <c r="AH730" s="41">
        <f t="shared" ref="AH730:AH735" si="651">IF(AF730+AG730&gt;0,0,AE730*18%)</f>
        <v>-322.20629753424657</v>
      </c>
      <c r="AI730" s="60">
        <f t="shared" ref="AI730:AI735" si="652">AE730*L730</f>
        <v>-71.601399452054793</v>
      </c>
      <c r="AJ730" s="60">
        <f t="shared" ref="AJ730:AJ735" si="653">$AE730*M730</f>
        <v>-402.75787191780825</v>
      </c>
      <c r="AK730" s="60">
        <f t="shared" ref="AK730:AK735" si="654">(AE730)*AA730/Y730</f>
        <v>-881.52476712328769</v>
      </c>
      <c r="AL730" s="60">
        <f t="shared" ref="AL730:AL735" si="655">AK730*(1-L730-M730)</f>
        <v>-647.92070383561645</v>
      </c>
      <c r="AM730" s="41">
        <f t="shared" ref="AM730:AM735" si="656">AE730-AI730-AL730-AJ730</f>
        <v>-667.7550110958905</v>
      </c>
      <c r="AN730" s="42">
        <f t="shared" ref="AN730:AN735" si="657">Z730-366</f>
        <v>45715</v>
      </c>
      <c r="AO730" s="43">
        <f t="shared" ref="AO730:AO735" si="658">IF(AND(O730&gt;Z730,N730&gt;AN730),AE730,0)</f>
        <v>-1790.0349863013698</v>
      </c>
      <c r="AP730" s="3" t="s">
        <v>1522</v>
      </c>
    </row>
    <row r="731" spans="1:42" ht="15" customHeight="1" x14ac:dyDescent="0.35">
      <c r="A731" s="36" t="s">
        <v>1480</v>
      </c>
      <c r="B731" s="36">
        <v>202512</v>
      </c>
      <c r="C731" s="24" t="s">
        <v>128</v>
      </c>
      <c r="D731" s="24" t="s">
        <v>129</v>
      </c>
      <c r="E731" s="62">
        <v>45818</v>
      </c>
      <c r="F731" s="62">
        <v>46182</v>
      </c>
      <c r="G731" s="37" t="s">
        <v>292</v>
      </c>
      <c r="H731" s="36">
        <v>1123</v>
      </c>
      <c r="I731" s="63">
        <v>34038</v>
      </c>
      <c r="J731" s="24" t="s">
        <v>940</v>
      </c>
      <c r="K731" s="63">
        <f t="shared" si="641"/>
        <v>45818</v>
      </c>
      <c r="L731" s="55">
        <f t="shared" si="642"/>
        <v>0.04</v>
      </c>
      <c r="M731" s="76">
        <v>0.22500000000000001</v>
      </c>
      <c r="N731" s="62">
        <v>45818</v>
      </c>
      <c r="O731" s="62">
        <v>46182</v>
      </c>
      <c r="P731" s="63">
        <v>45983</v>
      </c>
      <c r="Q731" s="63">
        <f t="shared" si="643"/>
        <v>45984</v>
      </c>
      <c r="R731" s="82">
        <v>32</v>
      </c>
      <c r="S731" s="63" t="str">
        <f>VLOOKUP(R731,SA!$B$5:$C$11,2,1)</f>
        <v>0-35</v>
      </c>
      <c r="T731" s="38" t="s">
        <v>97</v>
      </c>
      <c r="U731" s="24" t="s">
        <v>115</v>
      </c>
      <c r="V731" s="24">
        <v>-300000</v>
      </c>
      <c r="W731" s="39">
        <f t="shared" si="644"/>
        <v>0</v>
      </c>
      <c r="X731" s="29">
        <f t="shared" si="645"/>
        <v>0</v>
      </c>
      <c r="Y731" s="40">
        <f t="shared" si="646"/>
        <v>199</v>
      </c>
      <c r="Z731" s="38">
        <f t="shared" si="628"/>
        <v>46081</v>
      </c>
      <c r="AA731" s="41">
        <f t="shared" si="647"/>
        <v>98</v>
      </c>
      <c r="AB731" s="24" t="s">
        <v>125</v>
      </c>
      <c r="AC731" s="41">
        <f t="shared" si="648"/>
        <v>-2112.2412838356163</v>
      </c>
      <c r="AD731" s="41">
        <v>-1</v>
      </c>
      <c r="AE731" s="72">
        <f>-IFERROR(INDEX(SA!$C$4:$E$11,MATCH(Details!S731,SA!$C$4:$C$11,0),MATCH(-Details!V731,SA!$C$4:$E$4,0)),0)*Y731/(F731-E731+1)</f>
        <v>-1790.0349863013698</v>
      </c>
      <c r="AF731" s="41">
        <f t="shared" si="649"/>
        <v>0</v>
      </c>
      <c r="AG731" s="41">
        <f t="shared" si="650"/>
        <v>0</v>
      </c>
      <c r="AH731" s="41">
        <f t="shared" si="651"/>
        <v>-322.20629753424657</v>
      </c>
      <c r="AI731" s="60">
        <f t="shared" si="652"/>
        <v>-71.601399452054793</v>
      </c>
      <c r="AJ731" s="60">
        <f t="shared" si="653"/>
        <v>-402.75787191780825</v>
      </c>
      <c r="AK731" s="60">
        <f t="shared" si="654"/>
        <v>-881.52476712328769</v>
      </c>
      <c r="AL731" s="60">
        <f t="shared" si="655"/>
        <v>-647.92070383561645</v>
      </c>
      <c r="AM731" s="41">
        <f t="shared" si="656"/>
        <v>-667.7550110958905</v>
      </c>
      <c r="AN731" s="42">
        <f t="shared" si="657"/>
        <v>45715</v>
      </c>
      <c r="AO731" s="43">
        <f t="shared" si="658"/>
        <v>-1790.0349863013698</v>
      </c>
      <c r="AP731" s="3" t="s">
        <v>1522</v>
      </c>
    </row>
    <row r="732" spans="1:42" ht="15" customHeight="1" x14ac:dyDescent="0.35">
      <c r="A732" s="36" t="s">
        <v>1480</v>
      </c>
      <c r="B732" s="36">
        <v>202512</v>
      </c>
      <c r="C732" s="24" t="s">
        <v>128</v>
      </c>
      <c r="D732" s="24" t="s">
        <v>129</v>
      </c>
      <c r="E732" s="62">
        <v>45818</v>
      </c>
      <c r="F732" s="62">
        <v>46182</v>
      </c>
      <c r="G732" s="37" t="s">
        <v>293</v>
      </c>
      <c r="H732" s="36">
        <v>1123</v>
      </c>
      <c r="I732" s="63">
        <v>45231</v>
      </c>
      <c r="J732" s="24" t="s">
        <v>941</v>
      </c>
      <c r="K732" s="63">
        <f t="shared" si="641"/>
        <v>45818</v>
      </c>
      <c r="L732" s="55">
        <f t="shared" si="642"/>
        <v>0.04</v>
      </c>
      <c r="M732" s="76">
        <v>0.22500000000000001</v>
      </c>
      <c r="N732" s="62">
        <v>45818</v>
      </c>
      <c r="O732" s="62">
        <v>46182</v>
      </c>
      <c r="P732" s="63">
        <v>45983</v>
      </c>
      <c r="Q732" s="63">
        <f t="shared" si="643"/>
        <v>45984</v>
      </c>
      <c r="R732" s="82">
        <v>1</v>
      </c>
      <c r="S732" s="63" t="str">
        <f>VLOOKUP(R732,SA!$B$5:$C$11,2,1)</f>
        <v>0-35</v>
      </c>
      <c r="T732" s="38" t="s">
        <v>97</v>
      </c>
      <c r="U732" s="24" t="s">
        <v>113</v>
      </c>
      <c r="V732" s="24">
        <v>-300000</v>
      </c>
      <c r="W732" s="39">
        <f t="shared" si="644"/>
        <v>0</v>
      </c>
      <c r="X732" s="29">
        <f t="shared" si="645"/>
        <v>0</v>
      </c>
      <c r="Y732" s="40">
        <f t="shared" si="646"/>
        <v>199</v>
      </c>
      <c r="Z732" s="38">
        <f t="shared" si="628"/>
        <v>46081</v>
      </c>
      <c r="AA732" s="41">
        <f t="shared" si="647"/>
        <v>98</v>
      </c>
      <c r="AB732" s="24" t="s">
        <v>125</v>
      </c>
      <c r="AC732" s="41">
        <f t="shared" si="648"/>
        <v>-2112.2412838356163</v>
      </c>
      <c r="AD732" s="41">
        <v>-1</v>
      </c>
      <c r="AE732" s="72">
        <f>-IFERROR(INDEX(SA!$C$4:$E$11,MATCH(Details!S732,SA!$C$4:$C$11,0),MATCH(-Details!V732,SA!$C$4:$E$4,0)),0)*Y732/(F732-E732+1)</f>
        <v>-1790.0349863013698</v>
      </c>
      <c r="AF732" s="41">
        <f t="shared" si="649"/>
        <v>0</v>
      </c>
      <c r="AG732" s="41">
        <f t="shared" si="650"/>
        <v>0</v>
      </c>
      <c r="AH732" s="41">
        <f t="shared" si="651"/>
        <v>-322.20629753424657</v>
      </c>
      <c r="AI732" s="60">
        <f t="shared" si="652"/>
        <v>-71.601399452054793</v>
      </c>
      <c r="AJ732" s="60">
        <f t="shared" si="653"/>
        <v>-402.75787191780825</v>
      </c>
      <c r="AK732" s="60">
        <f t="shared" si="654"/>
        <v>-881.52476712328769</v>
      </c>
      <c r="AL732" s="60">
        <f t="shared" si="655"/>
        <v>-647.92070383561645</v>
      </c>
      <c r="AM732" s="41">
        <f t="shared" si="656"/>
        <v>-667.7550110958905</v>
      </c>
      <c r="AN732" s="42">
        <f t="shared" si="657"/>
        <v>45715</v>
      </c>
      <c r="AO732" s="43">
        <f t="shared" si="658"/>
        <v>-1790.0349863013698</v>
      </c>
      <c r="AP732" s="3" t="s">
        <v>1522</v>
      </c>
    </row>
    <row r="733" spans="1:42" ht="15" customHeight="1" x14ac:dyDescent="0.35">
      <c r="A733" s="36" t="s">
        <v>1480</v>
      </c>
      <c r="B733" s="36">
        <v>202512</v>
      </c>
      <c r="C733" s="24" t="s">
        <v>128</v>
      </c>
      <c r="D733" s="24" t="s">
        <v>129</v>
      </c>
      <c r="E733" s="62">
        <v>45818</v>
      </c>
      <c r="F733" s="62">
        <v>46182</v>
      </c>
      <c r="G733" s="37" t="s">
        <v>742</v>
      </c>
      <c r="H733" s="36">
        <v>2339</v>
      </c>
      <c r="I733" s="63">
        <v>36854</v>
      </c>
      <c r="J733" s="24" t="s">
        <v>1392</v>
      </c>
      <c r="K733" s="63">
        <f t="shared" si="641"/>
        <v>45818</v>
      </c>
      <c r="L733" s="55">
        <f t="shared" si="642"/>
        <v>0.04</v>
      </c>
      <c r="M733" s="76">
        <v>0.22500000000000001</v>
      </c>
      <c r="N733" s="62">
        <v>45818</v>
      </c>
      <c r="O733" s="62">
        <v>46182</v>
      </c>
      <c r="P733" s="63">
        <v>45967</v>
      </c>
      <c r="Q733" s="63">
        <f t="shared" si="643"/>
        <v>45968</v>
      </c>
      <c r="R733" s="82">
        <v>24</v>
      </c>
      <c r="S733" s="63" t="str">
        <f>VLOOKUP(R733,SA!$B$5:$C$11,2,1)</f>
        <v>0-35</v>
      </c>
      <c r="T733" s="38" t="s">
        <v>97</v>
      </c>
      <c r="U733" s="24" t="s">
        <v>56</v>
      </c>
      <c r="V733" s="24">
        <v>-300000</v>
      </c>
      <c r="W733" s="39">
        <f t="shared" si="644"/>
        <v>-300000</v>
      </c>
      <c r="X733" s="29">
        <f t="shared" si="645"/>
        <v>-1</v>
      </c>
      <c r="Y733" s="40">
        <f t="shared" si="646"/>
        <v>215</v>
      </c>
      <c r="Z733" s="38">
        <f t="shared" si="628"/>
        <v>46081</v>
      </c>
      <c r="AA733" s="41">
        <f t="shared" si="647"/>
        <v>114</v>
      </c>
      <c r="AB733" s="24" t="s">
        <v>125</v>
      </c>
      <c r="AC733" s="41">
        <f t="shared" si="648"/>
        <v>0</v>
      </c>
      <c r="AD733" s="41">
        <v>-1</v>
      </c>
      <c r="AE733" s="72">
        <f>-IFERROR(INDEX(SA!$C$4:$E$11,MATCH(Details!S733,SA!$C$4:$C$11,0),MATCH(-Details!V733,SA!$C$4:$E$4,0)),0)*Y733/(F733-E733+1)*0</f>
        <v>0</v>
      </c>
      <c r="AF733" s="41">
        <f t="shared" si="649"/>
        <v>0</v>
      </c>
      <c r="AG733" s="41">
        <f t="shared" si="650"/>
        <v>0</v>
      </c>
      <c r="AH733" s="41">
        <f t="shared" si="651"/>
        <v>0</v>
      </c>
      <c r="AI733" s="60">
        <f t="shared" si="652"/>
        <v>0</v>
      </c>
      <c r="AJ733" s="60">
        <f t="shared" si="653"/>
        <v>0</v>
      </c>
      <c r="AK733" s="60">
        <f t="shared" si="654"/>
        <v>0</v>
      </c>
      <c r="AL733" s="60">
        <f t="shared" si="655"/>
        <v>0</v>
      </c>
      <c r="AM733" s="41">
        <f t="shared" si="656"/>
        <v>0</v>
      </c>
      <c r="AN733" s="42">
        <f t="shared" si="657"/>
        <v>45715</v>
      </c>
      <c r="AO733" s="43">
        <f t="shared" si="658"/>
        <v>0</v>
      </c>
      <c r="AP733" s="3" t="s">
        <v>1481</v>
      </c>
    </row>
    <row r="734" spans="1:42" ht="15" customHeight="1" x14ac:dyDescent="0.35">
      <c r="A734" s="36" t="s">
        <v>1480</v>
      </c>
      <c r="B734" s="36">
        <v>202512</v>
      </c>
      <c r="C734" s="24" t="s">
        <v>128</v>
      </c>
      <c r="D734" s="24" t="s">
        <v>129</v>
      </c>
      <c r="E734" s="62">
        <v>45818</v>
      </c>
      <c r="F734" s="62">
        <v>46182</v>
      </c>
      <c r="G734" s="37" t="s">
        <v>748</v>
      </c>
      <c r="H734" s="36">
        <v>2331</v>
      </c>
      <c r="I734" s="63">
        <v>35541</v>
      </c>
      <c r="J734" s="24" t="s">
        <v>1398</v>
      </c>
      <c r="K734" s="63">
        <f t="shared" si="641"/>
        <v>45818</v>
      </c>
      <c r="L734" s="55">
        <f t="shared" si="642"/>
        <v>0.04</v>
      </c>
      <c r="M734" s="76">
        <v>0.22500000000000001</v>
      </c>
      <c r="N734" s="62">
        <v>45818</v>
      </c>
      <c r="O734" s="62">
        <v>46182</v>
      </c>
      <c r="P734" s="63">
        <v>45963</v>
      </c>
      <c r="Q734" s="63">
        <f t="shared" si="643"/>
        <v>45964</v>
      </c>
      <c r="R734" s="82">
        <v>28</v>
      </c>
      <c r="S734" s="63" t="str">
        <f>VLOOKUP(R734,SA!$B$5:$C$11,2,1)</f>
        <v>0-35</v>
      </c>
      <c r="T734" s="38" t="s">
        <v>97</v>
      </c>
      <c r="U734" s="24" t="s">
        <v>56</v>
      </c>
      <c r="V734" s="24">
        <v>-300000</v>
      </c>
      <c r="W734" s="39">
        <f t="shared" si="644"/>
        <v>-300000</v>
      </c>
      <c r="X734" s="29">
        <f t="shared" si="645"/>
        <v>-1</v>
      </c>
      <c r="Y734" s="40">
        <f t="shared" si="646"/>
        <v>219</v>
      </c>
      <c r="Z734" s="38">
        <f t="shared" si="628"/>
        <v>46081</v>
      </c>
      <c r="AA734" s="41">
        <f t="shared" si="647"/>
        <v>118</v>
      </c>
      <c r="AB734" s="24" t="s">
        <v>125</v>
      </c>
      <c r="AC734" s="41">
        <f t="shared" si="648"/>
        <v>-2324.52684</v>
      </c>
      <c r="AD734" s="41">
        <v>-1</v>
      </c>
      <c r="AE734" s="72">
        <f>-IFERROR(INDEX(SA!$C$4:$E$11,MATCH(Details!S734,SA!$C$4:$C$11,0),MATCH(-Details!V734,SA!$C$4:$E$4,0)),0)*Y734/(F734-E734+1)</f>
        <v>-1969.9379999999999</v>
      </c>
      <c r="AF734" s="41">
        <f t="shared" si="649"/>
        <v>0</v>
      </c>
      <c r="AG734" s="41">
        <f t="shared" si="650"/>
        <v>0</v>
      </c>
      <c r="AH734" s="41">
        <f t="shared" si="651"/>
        <v>-354.58883999999995</v>
      </c>
      <c r="AI734" s="60">
        <f t="shared" si="652"/>
        <v>-78.797519999999992</v>
      </c>
      <c r="AJ734" s="60">
        <f t="shared" si="653"/>
        <v>-443.23604999999998</v>
      </c>
      <c r="AK734" s="60">
        <f t="shared" si="654"/>
        <v>-1061.4277808219176</v>
      </c>
      <c r="AL734" s="60">
        <f t="shared" si="655"/>
        <v>-780.14941890410944</v>
      </c>
      <c r="AM734" s="41">
        <f t="shared" si="656"/>
        <v>-667.7550110958905</v>
      </c>
      <c r="AN734" s="42">
        <f t="shared" si="657"/>
        <v>45715</v>
      </c>
      <c r="AO734" s="43">
        <f t="shared" si="658"/>
        <v>-1969.9379999999999</v>
      </c>
      <c r="AP734" s="3" t="s">
        <v>1522</v>
      </c>
    </row>
    <row r="735" spans="1:42" ht="15" customHeight="1" x14ac:dyDescent="0.35">
      <c r="A735" s="36" t="s">
        <v>1480</v>
      </c>
      <c r="B735" s="36">
        <v>202512</v>
      </c>
      <c r="C735" s="24" t="s">
        <v>128</v>
      </c>
      <c r="D735" s="24" t="s">
        <v>129</v>
      </c>
      <c r="E735" s="62">
        <v>45818</v>
      </c>
      <c r="F735" s="62">
        <v>46182</v>
      </c>
      <c r="G735" s="37" t="s">
        <v>761</v>
      </c>
      <c r="H735" s="36">
        <v>2315</v>
      </c>
      <c r="I735" s="63">
        <v>37962</v>
      </c>
      <c r="J735" s="24" t="s">
        <v>1412</v>
      </c>
      <c r="K735" s="63">
        <f t="shared" si="641"/>
        <v>45818</v>
      </c>
      <c r="L735" s="55">
        <f t="shared" si="642"/>
        <v>0.04</v>
      </c>
      <c r="M735" s="76">
        <v>0.22500000000000001</v>
      </c>
      <c r="N735" s="62">
        <v>45818</v>
      </c>
      <c r="O735" s="62">
        <v>46182</v>
      </c>
      <c r="P735" s="63">
        <v>45982</v>
      </c>
      <c r="Q735" s="63">
        <f t="shared" si="643"/>
        <v>45983</v>
      </c>
      <c r="R735" s="82">
        <v>21</v>
      </c>
      <c r="S735" s="63" t="str">
        <f>VLOOKUP(R735,SA!$B$5:$C$11,2,1)</f>
        <v>0-35</v>
      </c>
      <c r="T735" s="38" t="s">
        <v>97</v>
      </c>
      <c r="U735" s="24" t="s">
        <v>56</v>
      </c>
      <c r="V735" s="24">
        <v>-300000</v>
      </c>
      <c r="W735" s="39">
        <f t="shared" si="644"/>
        <v>-300000</v>
      </c>
      <c r="X735" s="29">
        <f t="shared" si="645"/>
        <v>-1</v>
      </c>
      <c r="Y735" s="40">
        <f t="shared" si="646"/>
        <v>200</v>
      </c>
      <c r="Z735" s="38">
        <f t="shared" si="628"/>
        <v>46081</v>
      </c>
      <c r="AA735" s="41">
        <f t="shared" si="647"/>
        <v>99</v>
      </c>
      <c r="AB735" s="24" t="s">
        <v>125</v>
      </c>
      <c r="AC735" s="41">
        <f t="shared" si="648"/>
        <v>-2122.8555616438357</v>
      </c>
      <c r="AD735" s="41">
        <v>-1</v>
      </c>
      <c r="AE735" s="72">
        <f>-IFERROR(INDEX(SA!$C$4:$E$11,MATCH(Details!S735,SA!$C$4:$C$11,0),MATCH(-Details!V735,SA!$C$4:$E$4,0)),0)*Y735/(F735-E735+1)</f>
        <v>-1799.0301369863014</v>
      </c>
      <c r="AF735" s="41">
        <f t="shared" si="649"/>
        <v>0</v>
      </c>
      <c r="AG735" s="41">
        <f t="shared" si="650"/>
        <v>0</v>
      </c>
      <c r="AH735" s="41">
        <f t="shared" si="651"/>
        <v>-323.82542465753426</v>
      </c>
      <c r="AI735" s="60">
        <f t="shared" si="652"/>
        <v>-71.961205479452062</v>
      </c>
      <c r="AJ735" s="60">
        <f t="shared" si="653"/>
        <v>-404.78178082191783</v>
      </c>
      <c r="AK735" s="60">
        <f t="shared" si="654"/>
        <v>-890.51991780821913</v>
      </c>
      <c r="AL735" s="60">
        <f t="shared" si="655"/>
        <v>-654.53213958904109</v>
      </c>
      <c r="AM735" s="41">
        <f t="shared" si="656"/>
        <v>-667.7550110958905</v>
      </c>
      <c r="AN735" s="42">
        <f t="shared" si="657"/>
        <v>45715</v>
      </c>
      <c r="AO735" s="43">
        <f t="shared" si="658"/>
        <v>-1799.0301369863014</v>
      </c>
      <c r="AP735" s="3" t="s">
        <v>1522</v>
      </c>
    </row>
    <row r="736" spans="1:42" ht="15" customHeight="1" x14ac:dyDescent="0.35">
      <c r="A736" s="36" t="s">
        <v>27</v>
      </c>
      <c r="B736" s="36">
        <v>202602</v>
      </c>
      <c r="C736" s="24" t="s">
        <v>128</v>
      </c>
      <c r="D736" s="24" t="s">
        <v>129</v>
      </c>
      <c r="E736" s="62">
        <v>45818</v>
      </c>
      <c r="F736" s="62">
        <v>46182</v>
      </c>
      <c r="G736" s="37" t="s">
        <v>1571</v>
      </c>
      <c r="H736" s="36">
        <v>2382</v>
      </c>
      <c r="I736" s="63" t="s">
        <v>1572</v>
      </c>
      <c r="J736" s="24" t="s">
        <v>1612</v>
      </c>
      <c r="K736" s="63">
        <f t="shared" ref="K736" si="659">N736</f>
        <v>46037</v>
      </c>
      <c r="L736" s="55">
        <f t="shared" ref="L736" si="660">IF(K736&gt;=DATE(2022,4,1),4%,5%)</f>
        <v>0.04</v>
      </c>
      <c r="M736" s="76">
        <v>0.22500000000000001</v>
      </c>
      <c r="N736" s="62">
        <v>46037</v>
      </c>
      <c r="O736" s="62">
        <v>46182</v>
      </c>
      <c r="P736" s="63"/>
      <c r="Q736" s="63"/>
      <c r="R736" s="82">
        <v>25</v>
      </c>
      <c r="S736" s="63" t="str">
        <f>VLOOKUP(R736,SA!$B$5:$C$11,2,1)</f>
        <v>0-35</v>
      </c>
      <c r="T736" s="38" t="s">
        <v>1496</v>
      </c>
      <c r="U736" s="24" t="s">
        <v>56</v>
      </c>
      <c r="V736" s="24">
        <v>300000</v>
      </c>
      <c r="W736" s="39">
        <f t="shared" ref="W736" si="661">IF(U736="self",V736,0)</f>
        <v>300000</v>
      </c>
      <c r="X736" s="29">
        <f t="shared" ref="X736" si="662">IF(U736="self",1,0)</f>
        <v>1</v>
      </c>
      <c r="Y736" s="40">
        <f t="shared" ref="Y736" si="663">O736-N736+1</f>
        <v>146</v>
      </c>
      <c r="Z736" s="38">
        <f t="shared" ref="Z736:Z754" si="664">$Z$1</f>
        <v>46081</v>
      </c>
      <c r="AA736" s="41">
        <f t="shared" ref="AA736" si="665">IF(MIN((Z736-N736)+1,Y736)&lt;0,0,MIN((Z736-N736)+1,Y736))</f>
        <v>45</v>
      </c>
      <c r="AB736" s="24" t="s">
        <v>125</v>
      </c>
      <c r="AC736" s="41">
        <f t="shared" ref="AC736" si="666">AE736+AF736+AG736+AH736</f>
        <v>1549.6845600000001</v>
      </c>
      <c r="AD736" s="41">
        <v>1</v>
      </c>
      <c r="AE736" s="72">
        <f>IFERROR(INDEX(SA!$C$4:$E$11,MATCH(Details!S736,SA!$C$4:$C$11,0),MATCH(Details!V736,SA!$C$4:$E$4,0)),0)*Y736/(F736-E736+1)</f>
        <v>1313.2920000000001</v>
      </c>
      <c r="AF736" s="41">
        <f t="shared" ref="AF736" si="667">IF(AB736="Karnataka",AE736*9%,0)</f>
        <v>0</v>
      </c>
      <c r="AG736" s="41">
        <f t="shared" ref="AG736" si="668">IF(AB736="Karnataka",AE736*9%,0)</f>
        <v>0</v>
      </c>
      <c r="AH736" s="41">
        <f t="shared" ref="AH736" si="669">IF(AF736+AG736&gt;0,0,AE736*18%)</f>
        <v>236.39256</v>
      </c>
      <c r="AI736" s="60">
        <f t="shared" ref="AI736" si="670">AE736*L736</f>
        <v>52.531680000000009</v>
      </c>
      <c r="AJ736" s="60">
        <f t="shared" ref="AJ736" si="671">$AE736*M736</f>
        <v>295.49070000000006</v>
      </c>
      <c r="AK736" s="60">
        <f t="shared" ref="AK736" si="672">(AE736)*AA736/Y736</f>
        <v>404.78178082191783</v>
      </c>
      <c r="AL736" s="60">
        <f t="shared" ref="AL736" si="673">AK736*(1-L736-M736)</f>
        <v>297.51460890410959</v>
      </c>
      <c r="AM736" s="41">
        <f t="shared" ref="AM736" si="674">AE736-AI736-AL736-AJ736</f>
        <v>667.7550110958905</v>
      </c>
      <c r="AN736" s="42">
        <f t="shared" ref="AN736" si="675">Z736-366</f>
        <v>45715</v>
      </c>
      <c r="AO736" s="43">
        <f t="shared" ref="AO736" si="676">IF(AND(O736&gt;Z736,N736&gt;AN736),AE736,0)</f>
        <v>1313.2920000000001</v>
      </c>
    </row>
    <row r="737" spans="1:41" ht="15" customHeight="1" x14ac:dyDescent="0.35">
      <c r="A737" s="36" t="s">
        <v>27</v>
      </c>
      <c r="B737" s="36">
        <v>202602</v>
      </c>
      <c r="C737" s="24" t="s">
        <v>128</v>
      </c>
      <c r="D737" s="24" t="s">
        <v>129</v>
      </c>
      <c r="E737" s="62">
        <v>45818</v>
      </c>
      <c r="F737" s="62">
        <v>46182</v>
      </c>
      <c r="G737" s="37" t="s">
        <v>1573</v>
      </c>
      <c r="H737" s="36">
        <v>2380</v>
      </c>
      <c r="I737" s="63" t="s">
        <v>1574</v>
      </c>
      <c r="J737" s="24" t="s">
        <v>1613</v>
      </c>
      <c r="K737" s="63">
        <f t="shared" ref="K737:K754" si="677">N737</f>
        <v>46023</v>
      </c>
      <c r="L737" s="55">
        <f t="shared" ref="L737:L754" si="678">IF(K737&gt;=DATE(2022,4,1),4%,5%)</f>
        <v>0.04</v>
      </c>
      <c r="M737" s="76">
        <v>0.22500000000000001</v>
      </c>
      <c r="N737" s="62">
        <v>46023</v>
      </c>
      <c r="O737" s="62">
        <v>46182</v>
      </c>
      <c r="P737" s="63"/>
      <c r="Q737" s="63"/>
      <c r="R737" s="82">
        <v>28</v>
      </c>
      <c r="S737" s="63" t="str">
        <f>VLOOKUP(R737,SA!$B$5:$C$11,2,1)</f>
        <v>0-35</v>
      </c>
      <c r="T737" s="38" t="s">
        <v>1495</v>
      </c>
      <c r="U737" s="24" t="s">
        <v>56</v>
      </c>
      <c r="V737" s="24">
        <v>300000</v>
      </c>
      <c r="W737" s="39">
        <f t="shared" ref="W737:W754" si="679">IF(U737="self",V737,0)</f>
        <v>300000</v>
      </c>
      <c r="X737" s="29">
        <f t="shared" ref="X737:X754" si="680">IF(U737="self",1,0)</f>
        <v>1</v>
      </c>
      <c r="Y737" s="40">
        <f t="shared" ref="Y737:Y754" si="681">O737-N737+1</f>
        <v>160</v>
      </c>
      <c r="Z737" s="38">
        <f t="shared" si="664"/>
        <v>46081</v>
      </c>
      <c r="AA737" s="41">
        <f t="shared" ref="AA737:AA754" si="682">IF(MIN((Z737-N737)+1,Y737)&lt;0,0,MIN((Z737-N737)+1,Y737))</f>
        <v>59</v>
      </c>
      <c r="AB737" s="24" t="s">
        <v>125</v>
      </c>
      <c r="AC737" s="41">
        <f t="shared" ref="AC737:AC754" si="683">AE737+AF737+AG737+AH737</f>
        <v>1698.2844493150687</v>
      </c>
      <c r="AD737" s="41">
        <v>1</v>
      </c>
      <c r="AE737" s="72">
        <f>IFERROR(INDEX(SA!$C$4:$E$11,MATCH(Details!S737,SA!$C$4:$C$11,0),MATCH(Details!V737,SA!$C$4:$E$4,0)),0)*Y737/(F737-E737+1)</f>
        <v>1439.2241095890413</v>
      </c>
      <c r="AF737" s="41">
        <f t="shared" ref="AF737:AF754" si="684">IF(AB737="Karnataka",AE737*9%,0)</f>
        <v>0</v>
      </c>
      <c r="AG737" s="41">
        <f t="shared" ref="AG737:AG754" si="685">IF(AB737="Karnataka",AE737*9%,0)</f>
        <v>0</v>
      </c>
      <c r="AH737" s="41">
        <f t="shared" ref="AH737:AH754" si="686">IF(AF737+AG737&gt;0,0,AE737*18%)</f>
        <v>259.06033972602745</v>
      </c>
      <c r="AI737" s="60">
        <f t="shared" ref="AI737:AI754" si="687">AE737*L737</f>
        <v>57.568964383561649</v>
      </c>
      <c r="AJ737" s="60">
        <f t="shared" ref="AJ737:AJ754" si="688">$AE737*M737</f>
        <v>323.82542465753431</v>
      </c>
      <c r="AK737" s="60">
        <f t="shared" ref="AK737:AK754" si="689">(AE737)*AA737/Y737</f>
        <v>530.71389041095904</v>
      </c>
      <c r="AL737" s="60">
        <f t="shared" ref="AL737:AL754" si="690">AK737*(1-L737-M737)</f>
        <v>390.07470945205489</v>
      </c>
      <c r="AM737" s="41">
        <f t="shared" ref="AM737:AM754" si="691">AE737-AI737-AL737-AJ737</f>
        <v>667.75501109589038</v>
      </c>
      <c r="AN737" s="42">
        <f t="shared" ref="AN737:AN754" si="692">Z737-366</f>
        <v>45715</v>
      </c>
      <c r="AO737" s="43">
        <f t="shared" ref="AO737:AO754" si="693">IF(AND(O737&gt;Z737,N737&gt;AN737),AE737,0)</f>
        <v>1439.2241095890413</v>
      </c>
    </row>
    <row r="738" spans="1:41" ht="15" customHeight="1" x14ac:dyDescent="0.35">
      <c r="A738" s="36" t="s">
        <v>27</v>
      </c>
      <c r="B738" s="36">
        <v>202602</v>
      </c>
      <c r="C738" s="24" t="s">
        <v>128</v>
      </c>
      <c r="D738" s="24" t="s">
        <v>129</v>
      </c>
      <c r="E738" s="62">
        <v>45818</v>
      </c>
      <c r="F738" s="62">
        <v>46182</v>
      </c>
      <c r="G738" s="37" t="s">
        <v>1575</v>
      </c>
      <c r="H738" s="36">
        <v>2380</v>
      </c>
      <c r="I738" s="63" t="s">
        <v>1576</v>
      </c>
      <c r="J738" s="24" t="s">
        <v>1614</v>
      </c>
      <c r="K738" s="63">
        <f t="shared" si="677"/>
        <v>46023</v>
      </c>
      <c r="L738" s="55">
        <f t="shared" si="678"/>
        <v>0.04</v>
      </c>
      <c r="M738" s="76">
        <v>0.22500000000000001</v>
      </c>
      <c r="N738" s="62">
        <v>46023</v>
      </c>
      <c r="O738" s="62">
        <v>46182</v>
      </c>
      <c r="P738" s="63"/>
      <c r="Q738" s="63"/>
      <c r="R738" s="82">
        <v>31</v>
      </c>
      <c r="S738" s="63" t="str">
        <f>VLOOKUP(R738,SA!$B$5:$C$11,2,1)</f>
        <v>0-35</v>
      </c>
      <c r="T738" s="38" t="s">
        <v>1496</v>
      </c>
      <c r="U738" s="24" t="s">
        <v>115</v>
      </c>
      <c r="V738" s="24">
        <v>300000</v>
      </c>
      <c r="W738" s="39">
        <f t="shared" si="679"/>
        <v>0</v>
      </c>
      <c r="X738" s="29">
        <f t="shared" si="680"/>
        <v>0</v>
      </c>
      <c r="Y738" s="40">
        <f t="shared" si="681"/>
        <v>160</v>
      </c>
      <c r="Z738" s="38">
        <f t="shared" si="664"/>
        <v>46081</v>
      </c>
      <c r="AA738" s="41">
        <f t="shared" si="682"/>
        <v>59</v>
      </c>
      <c r="AB738" s="24" t="s">
        <v>125</v>
      </c>
      <c r="AC738" s="41">
        <f t="shared" si="683"/>
        <v>1698.2844493150687</v>
      </c>
      <c r="AD738" s="41">
        <v>1</v>
      </c>
      <c r="AE738" s="72">
        <f>IFERROR(INDEX(SA!$C$4:$E$11,MATCH(Details!S738,SA!$C$4:$C$11,0),MATCH(Details!V738,SA!$C$4:$E$4,0)),0)*Y738/(F738-E738+1)</f>
        <v>1439.2241095890413</v>
      </c>
      <c r="AF738" s="41">
        <f t="shared" si="684"/>
        <v>0</v>
      </c>
      <c r="AG738" s="41">
        <f t="shared" si="685"/>
        <v>0</v>
      </c>
      <c r="AH738" s="41">
        <f t="shared" si="686"/>
        <v>259.06033972602745</v>
      </c>
      <c r="AI738" s="60">
        <f t="shared" si="687"/>
        <v>57.568964383561649</v>
      </c>
      <c r="AJ738" s="60">
        <f t="shared" si="688"/>
        <v>323.82542465753431</v>
      </c>
      <c r="AK738" s="60">
        <f t="shared" si="689"/>
        <v>530.71389041095904</v>
      </c>
      <c r="AL738" s="60">
        <f t="shared" si="690"/>
        <v>390.07470945205489</v>
      </c>
      <c r="AM738" s="41">
        <f t="shared" si="691"/>
        <v>667.75501109589038</v>
      </c>
      <c r="AN738" s="42">
        <f t="shared" si="692"/>
        <v>45715</v>
      </c>
      <c r="AO738" s="43">
        <f t="shared" si="693"/>
        <v>1439.2241095890413</v>
      </c>
    </row>
    <row r="739" spans="1:41" ht="15" customHeight="1" x14ac:dyDescent="0.35">
      <c r="A739" s="36" t="s">
        <v>27</v>
      </c>
      <c r="B739" s="36">
        <v>202602</v>
      </c>
      <c r="C739" s="24" t="s">
        <v>128</v>
      </c>
      <c r="D739" s="24" t="s">
        <v>129</v>
      </c>
      <c r="E739" s="62">
        <v>45818</v>
      </c>
      <c r="F739" s="62">
        <v>46182</v>
      </c>
      <c r="G739" s="37" t="s">
        <v>1577</v>
      </c>
      <c r="H739" s="36">
        <v>2099</v>
      </c>
      <c r="I739" s="63" t="s">
        <v>1578</v>
      </c>
      <c r="J739" s="24" t="s">
        <v>1615</v>
      </c>
      <c r="K739" s="63">
        <f t="shared" si="677"/>
        <v>46047</v>
      </c>
      <c r="L739" s="55">
        <f t="shared" si="678"/>
        <v>0.04</v>
      </c>
      <c r="M739" s="76">
        <v>0.22500000000000001</v>
      </c>
      <c r="N739" s="62">
        <v>46047</v>
      </c>
      <c r="O739" s="62">
        <v>46182</v>
      </c>
      <c r="P739" s="63"/>
      <c r="Q739" s="63"/>
      <c r="R739" s="82">
        <v>45</v>
      </c>
      <c r="S739" s="63" t="str">
        <f>VLOOKUP(R739,SA!$B$5:$C$11,2,1)</f>
        <v>36-45</v>
      </c>
      <c r="T739" s="38" t="s">
        <v>1495</v>
      </c>
      <c r="U739" s="24" t="s">
        <v>56</v>
      </c>
      <c r="V739" s="24">
        <v>300000</v>
      </c>
      <c r="W739" s="39">
        <f t="shared" si="679"/>
        <v>300000</v>
      </c>
      <c r="X739" s="29">
        <f t="shared" si="680"/>
        <v>1</v>
      </c>
      <c r="Y739" s="40">
        <f t="shared" si="681"/>
        <v>136</v>
      </c>
      <c r="Z739" s="38">
        <f t="shared" si="664"/>
        <v>46081</v>
      </c>
      <c r="AA739" s="41">
        <f t="shared" si="682"/>
        <v>35</v>
      </c>
      <c r="AB739" s="24" t="s">
        <v>125</v>
      </c>
      <c r="AC739" s="41">
        <f t="shared" si="683"/>
        <v>1869.4688920547947</v>
      </c>
      <c r="AD739" s="41">
        <v>1</v>
      </c>
      <c r="AE739" s="72">
        <f>IFERROR(INDEX(SA!$C$4:$E$11,MATCH(Details!S739,SA!$C$4:$C$11,0),MATCH(Details!V739,SA!$C$4:$E$4,0)),0)*Y739/(F739-E739+1)</f>
        <v>1584.2956712328769</v>
      </c>
      <c r="AF739" s="41">
        <f t="shared" si="684"/>
        <v>0</v>
      </c>
      <c r="AG739" s="41">
        <f t="shared" si="685"/>
        <v>0</v>
      </c>
      <c r="AH739" s="41">
        <f t="shared" si="686"/>
        <v>285.17322082191782</v>
      </c>
      <c r="AI739" s="60">
        <f t="shared" si="687"/>
        <v>63.371826849315077</v>
      </c>
      <c r="AJ739" s="60">
        <f t="shared" si="688"/>
        <v>356.46652602739732</v>
      </c>
      <c r="AK739" s="60">
        <f t="shared" si="689"/>
        <v>407.72315068493157</v>
      </c>
      <c r="AL739" s="60">
        <f t="shared" si="690"/>
        <v>299.67651575342472</v>
      </c>
      <c r="AM739" s="41">
        <f t="shared" si="691"/>
        <v>864.78080260273964</v>
      </c>
      <c r="AN739" s="42">
        <f t="shared" si="692"/>
        <v>45715</v>
      </c>
      <c r="AO739" s="43">
        <f t="shared" si="693"/>
        <v>1584.2956712328769</v>
      </c>
    </row>
    <row r="740" spans="1:41" ht="15" customHeight="1" x14ac:dyDescent="0.35">
      <c r="A740" s="36" t="s">
        <v>27</v>
      </c>
      <c r="B740" s="36">
        <v>202602</v>
      </c>
      <c r="C740" s="24" t="s">
        <v>128</v>
      </c>
      <c r="D740" s="24" t="s">
        <v>129</v>
      </c>
      <c r="E740" s="62">
        <v>45818</v>
      </c>
      <c r="F740" s="62">
        <v>46182</v>
      </c>
      <c r="G740" s="37" t="s">
        <v>1579</v>
      </c>
      <c r="H740" s="36">
        <v>2099</v>
      </c>
      <c r="I740" s="63" t="s">
        <v>1580</v>
      </c>
      <c r="J740" s="24" t="s">
        <v>1616</v>
      </c>
      <c r="K740" s="63">
        <f t="shared" si="677"/>
        <v>46047</v>
      </c>
      <c r="L740" s="55">
        <f t="shared" si="678"/>
        <v>0.04</v>
      </c>
      <c r="M740" s="76">
        <v>0.22500000000000001</v>
      </c>
      <c r="N740" s="62">
        <v>46047</v>
      </c>
      <c r="O740" s="62">
        <v>46182</v>
      </c>
      <c r="P740" s="63"/>
      <c r="Q740" s="63"/>
      <c r="R740" s="82">
        <v>40</v>
      </c>
      <c r="S740" s="63" t="str">
        <f>VLOOKUP(R740,SA!$B$5:$C$11,2,1)</f>
        <v>36-45</v>
      </c>
      <c r="T740" s="38" t="s">
        <v>1496</v>
      </c>
      <c r="U740" s="24" t="s">
        <v>115</v>
      </c>
      <c r="V740" s="24">
        <v>300000</v>
      </c>
      <c r="W740" s="39">
        <f t="shared" si="679"/>
        <v>0</v>
      </c>
      <c r="X740" s="29">
        <f t="shared" si="680"/>
        <v>0</v>
      </c>
      <c r="Y740" s="40">
        <f t="shared" si="681"/>
        <v>136</v>
      </c>
      <c r="Z740" s="38">
        <f t="shared" si="664"/>
        <v>46081</v>
      </c>
      <c r="AA740" s="41">
        <f t="shared" si="682"/>
        <v>35</v>
      </c>
      <c r="AB740" s="24" t="s">
        <v>125</v>
      </c>
      <c r="AC740" s="41">
        <f t="shared" si="683"/>
        <v>1869.4688920547947</v>
      </c>
      <c r="AD740" s="41">
        <v>1</v>
      </c>
      <c r="AE740" s="72">
        <f>IFERROR(INDEX(SA!$C$4:$E$11,MATCH(Details!S740,SA!$C$4:$C$11,0),MATCH(Details!V740,SA!$C$4:$E$4,0)),0)*Y740/(F740-E740+1)</f>
        <v>1584.2956712328769</v>
      </c>
      <c r="AF740" s="41">
        <f t="shared" si="684"/>
        <v>0</v>
      </c>
      <c r="AG740" s="41">
        <f t="shared" si="685"/>
        <v>0</v>
      </c>
      <c r="AH740" s="41">
        <f t="shared" si="686"/>
        <v>285.17322082191782</v>
      </c>
      <c r="AI740" s="60">
        <f t="shared" si="687"/>
        <v>63.371826849315077</v>
      </c>
      <c r="AJ740" s="60">
        <f t="shared" si="688"/>
        <v>356.46652602739732</v>
      </c>
      <c r="AK740" s="60">
        <f t="shared" si="689"/>
        <v>407.72315068493157</v>
      </c>
      <c r="AL740" s="60">
        <f t="shared" si="690"/>
        <v>299.67651575342472</v>
      </c>
      <c r="AM740" s="41">
        <f t="shared" si="691"/>
        <v>864.78080260273964</v>
      </c>
      <c r="AN740" s="42">
        <f t="shared" si="692"/>
        <v>45715</v>
      </c>
      <c r="AO740" s="43">
        <f t="shared" si="693"/>
        <v>1584.2956712328769</v>
      </c>
    </row>
    <row r="741" spans="1:41" ht="15" customHeight="1" x14ac:dyDescent="0.35">
      <c r="A741" s="36" t="s">
        <v>27</v>
      </c>
      <c r="B741" s="36">
        <v>202602</v>
      </c>
      <c r="C741" s="24" t="s">
        <v>128</v>
      </c>
      <c r="D741" s="24" t="s">
        <v>129</v>
      </c>
      <c r="E741" s="62">
        <v>45818</v>
      </c>
      <c r="F741" s="62">
        <v>46182</v>
      </c>
      <c r="G741" s="37" t="s">
        <v>1581</v>
      </c>
      <c r="H741" s="36">
        <v>2099</v>
      </c>
      <c r="I741" s="63" t="s">
        <v>1582</v>
      </c>
      <c r="J741" s="24" t="s">
        <v>1617</v>
      </c>
      <c r="K741" s="63">
        <f t="shared" si="677"/>
        <v>46047</v>
      </c>
      <c r="L741" s="55">
        <f t="shared" si="678"/>
        <v>0.04</v>
      </c>
      <c r="M741" s="76">
        <v>0.22500000000000001</v>
      </c>
      <c r="N741" s="62">
        <v>46047</v>
      </c>
      <c r="O741" s="62">
        <v>46182</v>
      </c>
      <c r="P741" s="63"/>
      <c r="Q741" s="63"/>
      <c r="R741" s="82">
        <v>13</v>
      </c>
      <c r="S741" s="63" t="str">
        <f>VLOOKUP(R741,SA!$B$5:$C$11,2,1)</f>
        <v>0-35</v>
      </c>
      <c r="T741" s="38" t="s">
        <v>1496</v>
      </c>
      <c r="U741" s="24" t="s">
        <v>113</v>
      </c>
      <c r="V741" s="24">
        <v>300000</v>
      </c>
      <c r="W741" s="39">
        <f t="shared" si="679"/>
        <v>0</v>
      </c>
      <c r="X741" s="29">
        <f t="shared" si="680"/>
        <v>0</v>
      </c>
      <c r="Y741" s="40">
        <f t="shared" si="681"/>
        <v>136</v>
      </c>
      <c r="Z741" s="38">
        <f t="shared" si="664"/>
        <v>46081</v>
      </c>
      <c r="AA741" s="41">
        <f t="shared" si="682"/>
        <v>35</v>
      </c>
      <c r="AB741" s="24" t="s">
        <v>125</v>
      </c>
      <c r="AC741" s="41">
        <f t="shared" si="683"/>
        <v>1443.5417819178083</v>
      </c>
      <c r="AD741" s="41">
        <v>1</v>
      </c>
      <c r="AE741" s="72">
        <f>IFERROR(INDEX(SA!$C$4:$E$11,MATCH(Details!S741,SA!$C$4:$C$11,0),MATCH(Details!V741,SA!$C$4:$E$4,0)),0)*Y741/(F741-E741+1)</f>
        <v>1223.340493150685</v>
      </c>
      <c r="AF741" s="41">
        <f t="shared" si="684"/>
        <v>0</v>
      </c>
      <c r="AG741" s="41">
        <f t="shared" si="685"/>
        <v>0</v>
      </c>
      <c r="AH741" s="41">
        <f t="shared" si="686"/>
        <v>220.20128876712329</v>
      </c>
      <c r="AI741" s="60">
        <f t="shared" si="687"/>
        <v>48.933619726027402</v>
      </c>
      <c r="AJ741" s="60">
        <f t="shared" si="688"/>
        <v>275.25161095890411</v>
      </c>
      <c r="AK741" s="60">
        <f t="shared" si="689"/>
        <v>314.83027397260275</v>
      </c>
      <c r="AL741" s="60">
        <f t="shared" si="690"/>
        <v>231.40025136986301</v>
      </c>
      <c r="AM741" s="41">
        <f t="shared" si="691"/>
        <v>667.7550110958905</v>
      </c>
      <c r="AN741" s="42">
        <f t="shared" si="692"/>
        <v>45715</v>
      </c>
      <c r="AO741" s="43">
        <f t="shared" si="693"/>
        <v>1223.340493150685</v>
      </c>
    </row>
    <row r="742" spans="1:41" ht="15" customHeight="1" x14ac:dyDescent="0.35">
      <c r="A742" s="36" t="s">
        <v>27</v>
      </c>
      <c r="B742" s="36">
        <v>202602</v>
      </c>
      <c r="C742" s="24" t="s">
        <v>128</v>
      </c>
      <c r="D742" s="24" t="s">
        <v>129</v>
      </c>
      <c r="E742" s="62">
        <v>45818</v>
      </c>
      <c r="F742" s="62">
        <v>46182</v>
      </c>
      <c r="G742" s="37" t="s">
        <v>1583</v>
      </c>
      <c r="H742" s="36">
        <v>2099</v>
      </c>
      <c r="I742" s="63" t="s">
        <v>1584</v>
      </c>
      <c r="J742" s="24" t="s">
        <v>1618</v>
      </c>
      <c r="K742" s="63">
        <f t="shared" si="677"/>
        <v>46047</v>
      </c>
      <c r="L742" s="55">
        <f t="shared" si="678"/>
        <v>0.04</v>
      </c>
      <c r="M742" s="76">
        <v>0.22500000000000001</v>
      </c>
      <c r="N742" s="62">
        <v>46047</v>
      </c>
      <c r="O742" s="62">
        <v>46182</v>
      </c>
      <c r="P742" s="63"/>
      <c r="Q742" s="63"/>
      <c r="R742" s="82">
        <v>11</v>
      </c>
      <c r="S742" s="63" t="str">
        <f>VLOOKUP(R742,SA!$B$5:$C$11,2,1)</f>
        <v>0-35</v>
      </c>
      <c r="T742" s="38" t="s">
        <v>1496</v>
      </c>
      <c r="U742" s="24" t="s">
        <v>113</v>
      </c>
      <c r="V742" s="24">
        <v>300000</v>
      </c>
      <c r="W742" s="39">
        <f t="shared" si="679"/>
        <v>0</v>
      </c>
      <c r="X742" s="29">
        <f t="shared" si="680"/>
        <v>0</v>
      </c>
      <c r="Y742" s="40">
        <f t="shared" si="681"/>
        <v>136</v>
      </c>
      <c r="Z742" s="38">
        <f t="shared" si="664"/>
        <v>46081</v>
      </c>
      <c r="AA742" s="41">
        <f t="shared" si="682"/>
        <v>35</v>
      </c>
      <c r="AB742" s="24" t="s">
        <v>125</v>
      </c>
      <c r="AC742" s="41">
        <f t="shared" si="683"/>
        <v>1443.5417819178083</v>
      </c>
      <c r="AD742" s="41">
        <v>1</v>
      </c>
      <c r="AE742" s="72">
        <f>IFERROR(INDEX(SA!$C$4:$E$11,MATCH(Details!S742,SA!$C$4:$C$11,0),MATCH(Details!V742,SA!$C$4:$E$4,0)),0)*Y742/(F742-E742+1)</f>
        <v>1223.340493150685</v>
      </c>
      <c r="AF742" s="41">
        <f t="shared" si="684"/>
        <v>0</v>
      </c>
      <c r="AG742" s="41">
        <f t="shared" si="685"/>
        <v>0</v>
      </c>
      <c r="AH742" s="41">
        <f t="shared" si="686"/>
        <v>220.20128876712329</v>
      </c>
      <c r="AI742" s="60">
        <f t="shared" si="687"/>
        <v>48.933619726027402</v>
      </c>
      <c r="AJ742" s="60">
        <f t="shared" si="688"/>
        <v>275.25161095890411</v>
      </c>
      <c r="AK742" s="60">
        <f t="shared" si="689"/>
        <v>314.83027397260275</v>
      </c>
      <c r="AL742" s="60">
        <f t="shared" si="690"/>
        <v>231.40025136986301</v>
      </c>
      <c r="AM742" s="41">
        <f t="shared" si="691"/>
        <v>667.7550110958905</v>
      </c>
      <c r="AN742" s="42">
        <f t="shared" si="692"/>
        <v>45715</v>
      </c>
      <c r="AO742" s="43">
        <f t="shared" si="693"/>
        <v>1223.340493150685</v>
      </c>
    </row>
    <row r="743" spans="1:41" ht="15" customHeight="1" x14ac:dyDescent="0.35">
      <c r="A743" s="36" t="s">
        <v>27</v>
      </c>
      <c r="B743" s="36">
        <v>202602</v>
      </c>
      <c r="C743" s="24" t="s">
        <v>128</v>
      </c>
      <c r="D743" s="24" t="s">
        <v>129</v>
      </c>
      <c r="E743" s="62">
        <v>45818</v>
      </c>
      <c r="F743" s="62">
        <v>46182</v>
      </c>
      <c r="G743" s="37" t="s">
        <v>1585</v>
      </c>
      <c r="H743" s="36">
        <v>2099</v>
      </c>
      <c r="I743" s="63" t="s">
        <v>1586</v>
      </c>
      <c r="J743" s="24" t="s">
        <v>1619</v>
      </c>
      <c r="K743" s="63">
        <f t="shared" si="677"/>
        <v>46047</v>
      </c>
      <c r="L743" s="55">
        <f t="shared" si="678"/>
        <v>0.04</v>
      </c>
      <c r="M743" s="76">
        <v>0.22500000000000001</v>
      </c>
      <c r="N743" s="62">
        <v>46047</v>
      </c>
      <c r="O743" s="62">
        <v>46182</v>
      </c>
      <c r="P743" s="63"/>
      <c r="Q743" s="63"/>
      <c r="R743" s="82">
        <v>5</v>
      </c>
      <c r="S743" s="63" t="str">
        <f>VLOOKUP(R743,SA!$B$5:$C$11,2,1)</f>
        <v>0-35</v>
      </c>
      <c r="T743" s="38" t="s">
        <v>1495</v>
      </c>
      <c r="U743" s="24" t="s">
        <v>114</v>
      </c>
      <c r="V743" s="24">
        <v>300000</v>
      </c>
      <c r="W743" s="39">
        <f t="shared" si="679"/>
        <v>0</v>
      </c>
      <c r="X743" s="29">
        <f t="shared" si="680"/>
        <v>0</v>
      </c>
      <c r="Y743" s="40">
        <f t="shared" si="681"/>
        <v>136</v>
      </c>
      <c r="Z743" s="38">
        <f t="shared" si="664"/>
        <v>46081</v>
      </c>
      <c r="AA743" s="41">
        <f t="shared" si="682"/>
        <v>35</v>
      </c>
      <c r="AB743" s="24" t="s">
        <v>125</v>
      </c>
      <c r="AC743" s="41">
        <f t="shared" si="683"/>
        <v>1443.5417819178083</v>
      </c>
      <c r="AD743" s="41">
        <v>1</v>
      </c>
      <c r="AE743" s="72">
        <f>IFERROR(INDEX(SA!$C$4:$E$11,MATCH(Details!S743,SA!$C$4:$C$11,0),MATCH(Details!V743,SA!$C$4:$E$4,0)),0)*Y743/(F743-E743+1)</f>
        <v>1223.340493150685</v>
      </c>
      <c r="AF743" s="41">
        <f t="shared" si="684"/>
        <v>0</v>
      </c>
      <c r="AG743" s="41">
        <f t="shared" si="685"/>
        <v>0</v>
      </c>
      <c r="AH743" s="41">
        <f t="shared" si="686"/>
        <v>220.20128876712329</v>
      </c>
      <c r="AI743" s="60">
        <f t="shared" si="687"/>
        <v>48.933619726027402</v>
      </c>
      <c r="AJ743" s="60">
        <f t="shared" si="688"/>
        <v>275.25161095890411</v>
      </c>
      <c r="AK743" s="60">
        <f t="shared" si="689"/>
        <v>314.83027397260275</v>
      </c>
      <c r="AL743" s="60">
        <f t="shared" si="690"/>
        <v>231.40025136986301</v>
      </c>
      <c r="AM743" s="41">
        <f t="shared" si="691"/>
        <v>667.7550110958905</v>
      </c>
      <c r="AN743" s="42">
        <f t="shared" si="692"/>
        <v>45715</v>
      </c>
      <c r="AO743" s="43">
        <f t="shared" si="693"/>
        <v>1223.340493150685</v>
      </c>
    </row>
    <row r="744" spans="1:41" ht="15" customHeight="1" x14ac:dyDescent="0.35">
      <c r="A744" s="36" t="s">
        <v>27</v>
      </c>
      <c r="B744" s="36">
        <v>202602</v>
      </c>
      <c r="C744" s="24" t="s">
        <v>128</v>
      </c>
      <c r="D744" s="24" t="s">
        <v>129</v>
      </c>
      <c r="E744" s="62">
        <v>45818</v>
      </c>
      <c r="F744" s="62">
        <v>46182</v>
      </c>
      <c r="G744" s="37" t="s">
        <v>1587</v>
      </c>
      <c r="H744" s="36" t="s">
        <v>1588</v>
      </c>
      <c r="I744" s="63" t="s">
        <v>1589</v>
      </c>
      <c r="J744" s="24" t="s">
        <v>1620</v>
      </c>
      <c r="K744" s="63">
        <f t="shared" si="677"/>
        <v>46024</v>
      </c>
      <c r="L744" s="55">
        <f t="shared" si="678"/>
        <v>0.04</v>
      </c>
      <c r="M744" s="76">
        <v>0.22500000000000001</v>
      </c>
      <c r="N744" s="62">
        <v>46024</v>
      </c>
      <c r="O744" s="62">
        <v>46182</v>
      </c>
      <c r="P744" s="63"/>
      <c r="Q744" s="63"/>
      <c r="R744" s="82">
        <v>33</v>
      </c>
      <c r="S744" s="63" t="str">
        <f>VLOOKUP(R744,SA!$B$5:$C$11,2,1)</f>
        <v>0-35</v>
      </c>
      <c r="T744" s="38" t="s">
        <v>1495</v>
      </c>
      <c r="U744" s="24" t="s">
        <v>56</v>
      </c>
      <c r="V744" s="24">
        <v>300000</v>
      </c>
      <c r="W744" s="39">
        <f t="shared" si="679"/>
        <v>300000</v>
      </c>
      <c r="X744" s="29">
        <f t="shared" si="680"/>
        <v>1</v>
      </c>
      <c r="Y744" s="40">
        <f t="shared" si="681"/>
        <v>159</v>
      </c>
      <c r="Z744" s="38">
        <f t="shared" si="664"/>
        <v>46081</v>
      </c>
      <c r="AA744" s="41">
        <f t="shared" si="682"/>
        <v>58</v>
      </c>
      <c r="AB744" s="24" t="s">
        <v>125</v>
      </c>
      <c r="AC744" s="41">
        <f t="shared" si="683"/>
        <v>1687.6701715068493</v>
      </c>
      <c r="AD744" s="41">
        <v>1</v>
      </c>
      <c r="AE744" s="72">
        <f>IFERROR(INDEX(SA!$C$4:$E$11,MATCH(Details!S744,SA!$C$4:$C$11,0),MATCH(Details!V744,SA!$C$4:$E$4,0)),0)*Y744/(F744-E744+1)</f>
        <v>1430.2289589041095</v>
      </c>
      <c r="AF744" s="41">
        <f t="shared" si="684"/>
        <v>0</v>
      </c>
      <c r="AG744" s="41">
        <f t="shared" si="685"/>
        <v>0</v>
      </c>
      <c r="AH744" s="41">
        <f t="shared" si="686"/>
        <v>257.44121260273971</v>
      </c>
      <c r="AI744" s="60">
        <f t="shared" si="687"/>
        <v>57.20915835616438</v>
      </c>
      <c r="AJ744" s="60">
        <f t="shared" si="688"/>
        <v>321.80151575342467</v>
      </c>
      <c r="AK744" s="60">
        <f t="shared" si="689"/>
        <v>521.71873972602737</v>
      </c>
      <c r="AL744" s="60">
        <f t="shared" si="690"/>
        <v>383.46327369863013</v>
      </c>
      <c r="AM744" s="41">
        <f t="shared" si="691"/>
        <v>667.75501109589027</v>
      </c>
      <c r="AN744" s="42">
        <f t="shared" si="692"/>
        <v>45715</v>
      </c>
      <c r="AO744" s="43">
        <f t="shared" si="693"/>
        <v>1430.2289589041095</v>
      </c>
    </row>
    <row r="745" spans="1:41" ht="15" customHeight="1" x14ac:dyDescent="0.35">
      <c r="A745" s="36" t="s">
        <v>27</v>
      </c>
      <c r="B745" s="36">
        <v>202602</v>
      </c>
      <c r="C745" s="24" t="s">
        <v>128</v>
      </c>
      <c r="D745" s="24" t="s">
        <v>129</v>
      </c>
      <c r="E745" s="62">
        <v>45818</v>
      </c>
      <c r="F745" s="62">
        <v>46182</v>
      </c>
      <c r="G745" s="37" t="s">
        <v>1590</v>
      </c>
      <c r="H745" s="36" t="s">
        <v>1588</v>
      </c>
      <c r="I745" s="63" t="s">
        <v>1591</v>
      </c>
      <c r="J745" s="24" t="s">
        <v>1621</v>
      </c>
      <c r="K745" s="63">
        <f t="shared" si="677"/>
        <v>46024</v>
      </c>
      <c r="L745" s="55">
        <f t="shared" si="678"/>
        <v>0.04</v>
      </c>
      <c r="M745" s="76">
        <v>0.22500000000000001</v>
      </c>
      <c r="N745" s="62">
        <v>46024</v>
      </c>
      <c r="O745" s="62">
        <v>46182</v>
      </c>
      <c r="P745" s="63"/>
      <c r="Q745" s="63"/>
      <c r="R745" s="82">
        <v>31</v>
      </c>
      <c r="S745" s="63" t="str">
        <f>VLOOKUP(R745,SA!$B$5:$C$11,2,1)</f>
        <v>0-35</v>
      </c>
      <c r="T745" s="38" t="s">
        <v>1496</v>
      </c>
      <c r="U745" s="24" t="s">
        <v>115</v>
      </c>
      <c r="V745" s="24">
        <v>300000</v>
      </c>
      <c r="W745" s="39">
        <f t="shared" si="679"/>
        <v>0</v>
      </c>
      <c r="X745" s="29">
        <f t="shared" si="680"/>
        <v>0</v>
      </c>
      <c r="Y745" s="40">
        <f t="shared" si="681"/>
        <v>159</v>
      </c>
      <c r="Z745" s="38">
        <f t="shared" si="664"/>
        <v>46081</v>
      </c>
      <c r="AA745" s="41">
        <f t="shared" si="682"/>
        <v>58</v>
      </c>
      <c r="AB745" s="24" t="s">
        <v>125</v>
      </c>
      <c r="AC745" s="41">
        <f t="shared" si="683"/>
        <v>1687.6701715068493</v>
      </c>
      <c r="AD745" s="41">
        <v>1</v>
      </c>
      <c r="AE745" s="72">
        <f>IFERROR(INDEX(SA!$C$4:$E$11,MATCH(Details!S745,SA!$C$4:$C$11,0),MATCH(Details!V745,SA!$C$4:$E$4,0)),0)*Y745/(F745-E745+1)</f>
        <v>1430.2289589041095</v>
      </c>
      <c r="AF745" s="41">
        <f t="shared" si="684"/>
        <v>0</v>
      </c>
      <c r="AG745" s="41">
        <f t="shared" si="685"/>
        <v>0</v>
      </c>
      <c r="AH745" s="41">
        <f t="shared" si="686"/>
        <v>257.44121260273971</v>
      </c>
      <c r="AI745" s="60">
        <f t="shared" si="687"/>
        <v>57.20915835616438</v>
      </c>
      <c r="AJ745" s="60">
        <f t="shared" si="688"/>
        <v>321.80151575342467</v>
      </c>
      <c r="AK745" s="60">
        <f t="shared" si="689"/>
        <v>521.71873972602737</v>
      </c>
      <c r="AL745" s="60">
        <f t="shared" si="690"/>
        <v>383.46327369863013</v>
      </c>
      <c r="AM745" s="41">
        <f t="shared" si="691"/>
        <v>667.75501109589027</v>
      </c>
      <c r="AN745" s="42">
        <f t="shared" si="692"/>
        <v>45715</v>
      </c>
      <c r="AO745" s="43">
        <f t="shared" si="693"/>
        <v>1430.2289589041095</v>
      </c>
    </row>
    <row r="746" spans="1:41" ht="15" customHeight="1" x14ac:dyDescent="0.35">
      <c r="A746" s="36" t="s">
        <v>27</v>
      </c>
      <c r="B746" s="36">
        <v>202602</v>
      </c>
      <c r="C746" s="24" t="s">
        <v>128</v>
      </c>
      <c r="D746" s="24" t="s">
        <v>129</v>
      </c>
      <c r="E746" s="62">
        <v>45818</v>
      </c>
      <c r="F746" s="62">
        <v>46182</v>
      </c>
      <c r="G746" s="37" t="s">
        <v>1592</v>
      </c>
      <c r="H746" s="36" t="s">
        <v>1593</v>
      </c>
      <c r="I746" s="63" t="s">
        <v>1594</v>
      </c>
      <c r="J746" s="24" t="s">
        <v>1622</v>
      </c>
      <c r="K746" s="63">
        <f t="shared" si="677"/>
        <v>46024</v>
      </c>
      <c r="L746" s="55">
        <f t="shared" si="678"/>
        <v>0.04</v>
      </c>
      <c r="M746" s="76">
        <v>0.22500000000000001</v>
      </c>
      <c r="N746" s="62">
        <v>46024</v>
      </c>
      <c r="O746" s="62">
        <v>46182</v>
      </c>
      <c r="P746" s="63"/>
      <c r="Q746" s="63"/>
      <c r="R746" s="82">
        <v>37</v>
      </c>
      <c r="S746" s="63" t="str">
        <f>VLOOKUP(R746,SA!$B$5:$C$11,2,1)</f>
        <v>36-45</v>
      </c>
      <c r="T746" s="38" t="s">
        <v>1495</v>
      </c>
      <c r="U746" s="24" t="s">
        <v>56</v>
      </c>
      <c r="V746" s="24">
        <v>300000</v>
      </c>
      <c r="W746" s="39">
        <f t="shared" si="679"/>
        <v>300000</v>
      </c>
      <c r="X746" s="29">
        <f t="shared" si="680"/>
        <v>1</v>
      </c>
      <c r="Y746" s="40">
        <f t="shared" si="681"/>
        <v>159</v>
      </c>
      <c r="Z746" s="38">
        <f t="shared" si="664"/>
        <v>46081</v>
      </c>
      <c r="AA746" s="41">
        <f t="shared" si="682"/>
        <v>58</v>
      </c>
      <c r="AB746" s="24" t="s">
        <v>125</v>
      </c>
      <c r="AC746" s="41">
        <f t="shared" si="683"/>
        <v>2185.6290723287675</v>
      </c>
      <c r="AD746" s="41">
        <v>1</v>
      </c>
      <c r="AE746" s="72">
        <f>IFERROR(INDEX(SA!$C$4:$E$11,MATCH(Details!S746,SA!$C$4:$C$11,0),MATCH(Details!V746,SA!$C$4:$E$4,0)),0)*Y746/(F746-E746+1)</f>
        <v>1852.2280273972606</v>
      </c>
      <c r="AF746" s="41">
        <f t="shared" si="684"/>
        <v>0</v>
      </c>
      <c r="AG746" s="41">
        <f t="shared" si="685"/>
        <v>0</v>
      </c>
      <c r="AH746" s="41">
        <f t="shared" si="686"/>
        <v>333.40104493150687</v>
      </c>
      <c r="AI746" s="60">
        <f t="shared" si="687"/>
        <v>74.08912109589042</v>
      </c>
      <c r="AJ746" s="60">
        <f t="shared" si="688"/>
        <v>416.75130616438366</v>
      </c>
      <c r="AK746" s="60">
        <f t="shared" si="689"/>
        <v>675.6555068493152</v>
      </c>
      <c r="AL746" s="60">
        <f t="shared" si="690"/>
        <v>496.60679753424665</v>
      </c>
      <c r="AM746" s="41">
        <f t="shared" si="691"/>
        <v>864.78080260273975</v>
      </c>
      <c r="AN746" s="42">
        <f t="shared" si="692"/>
        <v>45715</v>
      </c>
      <c r="AO746" s="43">
        <f t="shared" si="693"/>
        <v>1852.2280273972606</v>
      </c>
    </row>
    <row r="747" spans="1:41" ht="15" customHeight="1" x14ac:dyDescent="0.35">
      <c r="A747" s="36" t="s">
        <v>27</v>
      </c>
      <c r="B747" s="36">
        <v>202602</v>
      </c>
      <c r="C747" s="24" t="s">
        <v>128</v>
      </c>
      <c r="D747" s="24" t="s">
        <v>129</v>
      </c>
      <c r="E747" s="62">
        <v>45818</v>
      </c>
      <c r="F747" s="62">
        <v>46182</v>
      </c>
      <c r="G747" s="37" t="s">
        <v>1595</v>
      </c>
      <c r="H747" s="36" t="s">
        <v>1593</v>
      </c>
      <c r="I747" s="63" t="s">
        <v>1596</v>
      </c>
      <c r="J747" s="24" t="s">
        <v>1623</v>
      </c>
      <c r="K747" s="63">
        <f t="shared" si="677"/>
        <v>46024</v>
      </c>
      <c r="L747" s="55">
        <f t="shared" si="678"/>
        <v>0.04</v>
      </c>
      <c r="M747" s="76">
        <v>0.22500000000000001</v>
      </c>
      <c r="N747" s="62">
        <v>46024</v>
      </c>
      <c r="O747" s="62">
        <v>46182</v>
      </c>
      <c r="P747" s="63"/>
      <c r="Q747" s="63"/>
      <c r="R747" s="82">
        <v>29</v>
      </c>
      <c r="S747" s="63" t="str">
        <f>VLOOKUP(R747,SA!$B$5:$C$11,2,1)</f>
        <v>0-35</v>
      </c>
      <c r="T747" s="38" t="s">
        <v>1496</v>
      </c>
      <c r="U747" s="24" t="s">
        <v>115</v>
      </c>
      <c r="V747" s="24">
        <v>300000</v>
      </c>
      <c r="W747" s="39">
        <f t="shared" si="679"/>
        <v>0</v>
      </c>
      <c r="X747" s="29">
        <f t="shared" si="680"/>
        <v>0</v>
      </c>
      <c r="Y747" s="40">
        <f t="shared" si="681"/>
        <v>159</v>
      </c>
      <c r="Z747" s="38">
        <f t="shared" si="664"/>
        <v>46081</v>
      </c>
      <c r="AA747" s="41">
        <f t="shared" si="682"/>
        <v>58</v>
      </c>
      <c r="AB747" s="24" t="s">
        <v>125</v>
      </c>
      <c r="AC747" s="41">
        <f t="shared" si="683"/>
        <v>1687.6701715068493</v>
      </c>
      <c r="AD747" s="41">
        <v>1</v>
      </c>
      <c r="AE747" s="72">
        <f>IFERROR(INDEX(SA!$C$4:$E$11,MATCH(Details!S747,SA!$C$4:$C$11,0),MATCH(Details!V747,SA!$C$4:$E$4,0)),0)*Y747/(F747-E747+1)</f>
        <v>1430.2289589041095</v>
      </c>
      <c r="AF747" s="41">
        <f t="shared" si="684"/>
        <v>0</v>
      </c>
      <c r="AG747" s="41">
        <f t="shared" si="685"/>
        <v>0</v>
      </c>
      <c r="AH747" s="41">
        <f t="shared" si="686"/>
        <v>257.44121260273971</v>
      </c>
      <c r="AI747" s="60">
        <f t="shared" si="687"/>
        <v>57.20915835616438</v>
      </c>
      <c r="AJ747" s="60">
        <f t="shared" si="688"/>
        <v>321.80151575342467</v>
      </c>
      <c r="AK747" s="60">
        <f t="shared" si="689"/>
        <v>521.71873972602737</v>
      </c>
      <c r="AL747" s="60">
        <f t="shared" si="690"/>
        <v>383.46327369863013</v>
      </c>
      <c r="AM747" s="41">
        <f t="shared" si="691"/>
        <v>667.75501109589027</v>
      </c>
      <c r="AN747" s="42">
        <f t="shared" si="692"/>
        <v>45715</v>
      </c>
      <c r="AO747" s="43">
        <f t="shared" si="693"/>
        <v>1430.2289589041095</v>
      </c>
    </row>
    <row r="748" spans="1:41" ht="15" customHeight="1" x14ac:dyDescent="0.35">
      <c r="A748" s="36" t="s">
        <v>27</v>
      </c>
      <c r="B748" s="36">
        <v>202602</v>
      </c>
      <c r="C748" s="24" t="s">
        <v>128</v>
      </c>
      <c r="D748" s="24" t="s">
        <v>129</v>
      </c>
      <c r="E748" s="62">
        <v>45818</v>
      </c>
      <c r="F748" s="62">
        <v>46182</v>
      </c>
      <c r="G748" s="37" t="s">
        <v>1597</v>
      </c>
      <c r="H748" s="36" t="s">
        <v>1593</v>
      </c>
      <c r="I748" s="63" t="s">
        <v>1598</v>
      </c>
      <c r="J748" s="24" t="s">
        <v>1624</v>
      </c>
      <c r="K748" s="63">
        <f t="shared" si="677"/>
        <v>46024</v>
      </c>
      <c r="L748" s="55">
        <f t="shared" si="678"/>
        <v>0.04</v>
      </c>
      <c r="M748" s="76">
        <v>0.22500000000000001</v>
      </c>
      <c r="N748" s="62">
        <v>46024</v>
      </c>
      <c r="O748" s="62">
        <v>46182</v>
      </c>
      <c r="P748" s="63"/>
      <c r="Q748" s="63"/>
      <c r="R748" s="82">
        <v>5</v>
      </c>
      <c r="S748" s="63" t="str">
        <f>VLOOKUP(R748,SA!$B$5:$C$11,2,1)</f>
        <v>0-35</v>
      </c>
      <c r="T748" s="38" t="s">
        <v>1496</v>
      </c>
      <c r="U748" s="24" t="s">
        <v>113</v>
      </c>
      <c r="V748" s="24">
        <v>300000</v>
      </c>
      <c r="W748" s="39">
        <f t="shared" si="679"/>
        <v>0</v>
      </c>
      <c r="X748" s="29">
        <f t="shared" si="680"/>
        <v>0</v>
      </c>
      <c r="Y748" s="40">
        <f t="shared" si="681"/>
        <v>159</v>
      </c>
      <c r="Z748" s="38">
        <f t="shared" si="664"/>
        <v>46081</v>
      </c>
      <c r="AA748" s="41">
        <f t="shared" si="682"/>
        <v>58</v>
      </c>
      <c r="AB748" s="24" t="s">
        <v>125</v>
      </c>
      <c r="AC748" s="41">
        <f t="shared" si="683"/>
        <v>1687.6701715068493</v>
      </c>
      <c r="AD748" s="41">
        <v>1</v>
      </c>
      <c r="AE748" s="72">
        <f>IFERROR(INDEX(SA!$C$4:$E$11,MATCH(Details!S748,SA!$C$4:$C$11,0),MATCH(Details!V748,SA!$C$4:$E$4,0)),0)*Y748/(F748-E748+1)</f>
        <v>1430.2289589041095</v>
      </c>
      <c r="AF748" s="41">
        <f t="shared" si="684"/>
        <v>0</v>
      </c>
      <c r="AG748" s="41">
        <f t="shared" si="685"/>
        <v>0</v>
      </c>
      <c r="AH748" s="41">
        <f t="shared" si="686"/>
        <v>257.44121260273971</v>
      </c>
      <c r="AI748" s="60">
        <f t="shared" si="687"/>
        <v>57.20915835616438</v>
      </c>
      <c r="AJ748" s="60">
        <f t="shared" si="688"/>
        <v>321.80151575342467</v>
      </c>
      <c r="AK748" s="60">
        <f t="shared" si="689"/>
        <v>521.71873972602737</v>
      </c>
      <c r="AL748" s="60">
        <f t="shared" si="690"/>
        <v>383.46327369863013</v>
      </c>
      <c r="AM748" s="41">
        <f t="shared" si="691"/>
        <v>667.75501109589027</v>
      </c>
      <c r="AN748" s="42">
        <f t="shared" si="692"/>
        <v>45715</v>
      </c>
      <c r="AO748" s="43">
        <f t="shared" si="693"/>
        <v>1430.2289589041095</v>
      </c>
    </row>
    <row r="749" spans="1:41" ht="15" customHeight="1" x14ac:dyDescent="0.35">
      <c r="A749" s="36" t="s">
        <v>27</v>
      </c>
      <c r="B749" s="36">
        <v>202602</v>
      </c>
      <c r="C749" s="24" t="s">
        <v>128</v>
      </c>
      <c r="D749" s="24" t="s">
        <v>129</v>
      </c>
      <c r="E749" s="62">
        <v>45818</v>
      </c>
      <c r="F749" s="62">
        <v>46182</v>
      </c>
      <c r="G749" s="37" t="s">
        <v>1599</v>
      </c>
      <c r="H749" s="36" t="s">
        <v>1600</v>
      </c>
      <c r="I749" s="63" t="s">
        <v>1601</v>
      </c>
      <c r="J749" s="24" t="s">
        <v>1625</v>
      </c>
      <c r="K749" s="63">
        <f t="shared" si="677"/>
        <v>46043</v>
      </c>
      <c r="L749" s="55">
        <f t="shared" si="678"/>
        <v>0.04</v>
      </c>
      <c r="M749" s="76">
        <v>0.22500000000000001</v>
      </c>
      <c r="N749" s="62">
        <v>46043</v>
      </c>
      <c r="O749" s="62">
        <v>46182</v>
      </c>
      <c r="P749" s="63"/>
      <c r="Q749" s="63"/>
      <c r="R749" s="82">
        <v>30</v>
      </c>
      <c r="S749" s="63" t="str">
        <f>VLOOKUP(R749,SA!$B$5:$C$11,2,1)</f>
        <v>0-35</v>
      </c>
      <c r="T749" s="38" t="s">
        <v>1495</v>
      </c>
      <c r="U749" s="24" t="s">
        <v>56</v>
      </c>
      <c r="V749" s="24">
        <v>300000</v>
      </c>
      <c r="W749" s="39">
        <f t="shared" si="679"/>
        <v>300000</v>
      </c>
      <c r="X749" s="29">
        <f t="shared" si="680"/>
        <v>1</v>
      </c>
      <c r="Y749" s="40">
        <f t="shared" si="681"/>
        <v>140</v>
      </c>
      <c r="Z749" s="38">
        <f t="shared" si="664"/>
        <v>46081</v>
      </c>
      <c r="AA749" s="41">
        <f t="shared" si="682"/>
        <v>39</v>
      </c>
      <c r="AB749" s="24" t="s">
        <v>125</v>
      </c>
      <c r="AC749" s="41">
        <f t="shared" si="683"/>
        <v>1485.998893150685</v>
      </c>
      <c r="AD749" s="41">
        <v>1</v>
      </c>
      <c r="AE749" s="72">
        <f>IFERROR(INDEX(SA!$C$4:$E$11,MATCH(Details!S749,SA!$C$4:$C$11,0),MATCH(Details!V749,SA!$C$4:$E$4,0)),0)*Y749/(F749-E749+1)</f>
        <v>1259.321095890411</v>
      </c>
      <c r="AF749" s="41">
        <f t="shared" si="684"/>
        <v>0</v>
      </c>
      <c r="AG749" s="41">
        <f t="shared" si="685"/>
        <v>0</v>
      </c>
      <c r="AH749" s="41">
        <f t="shared" si="686"/>
        <v>226.67779726027396</v>
      </c>
      <c r="AI749" s="60">
        <f t="shared" si="687"/>
        <v>50.372843835616443</v>
      </c>
      <c r="AJ749" s="60">
        <f t="shared" si="688"/>
        <v>283.34724657534247</v>
      </c>
      <c r="AK749" s="60">
        <f t="shared" si="689"/>
        <v>350.81087671232882</v>
      </c>
      <c r="AL749" s="60">
        <f t="shared" si="690"/>
        <v>257.84599438356167</v>
      </c>
      <c r="AM749" s="41">
        <f t="shared" si="691"/>
        <v>667.75501109589027</v>
      </c>
      <c r="AN749" s="42">
        <f t="shared" si="692"/>
        <v>45715</v>
      </c>
      <c r="AO749" s="43">
        <f t="shared" si="693"/>
        <v>1259.321095890411</v>
      </c>
    </row>
    <row r="750" spans="1:41" ht="15" customHeight="1" x14ac:dyDescent="0.35">
      <c r="A750" s="36" t="s">
        <v>27</v>
      </c>
      <c r="B750" s="36">
        <v>202602</v>
      </c>
      <c r="C750" s="24" t="s">
        <v>128</v>
      </c>
      <c r="D750" s="24" t="s">
        <v>129</v>
      </c>
      <c r="E750" s="62">
        <v>45818</v>
      </c>
      <c r="F750" s="62">
        <v>46182</v>
      </c>
      <c r="G750" s="37" t="s">
        <v>1602</v>
      </c>
      <c r="H750" s="36" t="s">
        <v>1600</v>
      </c>
      <c r="I750" s="63" t="s">
        <v>1603</v>
      </c>
      <c r="J750" s="24" t="s">
        <v>1626</v>
      </c>
      <c r="K750" s="63">
        <f t="shared" si="677"/>
        <v>46043</v>
      </c>
      <c r="L750" s="55">
        <f t="shared" si="678"/>
        <v>0.04</v>
      </c>
      <c r="M750" s="76">
        <v>0.22500000000000001</v>
      </c>
      <c r="N750" s="62">
        <v>46043</v>
      </c>
      <c r="O750" s="62">
        <v>46182</v>
      </c>
      <c r="P750" s="63"/>
      <c r="Q750" s="63"/>
      <c r="R750" s="82">
        <v>26</v>
      </c>
      <c r="S750" s="63" t="str">
        <f>VLOOKUP(R750,SA!$B$5:$C$11,2,1)</f>
        <v>0-35</v>
      </c>
      <c r="T750" s="38" t="s">
        <v>1496</v>
      </c>
      <c r="U750" s="24" t="s">
        <v>115</v>
      </c>
      <c r="V750" s="24">
        <v>300000</v>
      </c>
      <c r="W750" s="39">
        <f t="shared" si="679"/>
        <v>0</v>
      </c>
      <c r="X750" s="29">
        <f t="shared" si="680"/>
        <v>0</v>
      </c>
      <c r="Y750" s="40">
        <f t="shared" si="681"/>
        <v>140</v>
      </c>
      <c r="Z750" s="38">
        <f t="shared" si="664"/>
        <v>46081</v>
      </c>
      <c r="AA750" s="41">
        <f t="shared" si="682"/>
        <v>39</v>
      </c>
      <c r="AB750" s="24" t="s">
        <v>125</v>
      </c>
      <c r="AC750" s="41">
        <f t="shared" si="683"/>
        <v>1485.998893150685</v>
      </c>
      <c r="AD750" s="41">
        <v>1</v>
      </c>
      <c r="AE750" s="72">
        <f>IFERROR(INDEX(SA!$C$4:$E$11,MATCH(Details!S750,SA!$C$4:$C$11,0),MATCH(Details!V750,SA!$C$4:$E$4,0)),0)*Y750/(F750-E750+1)</f>
        <v>1259.321095890411</v>
      </c>
      <c r="AF750" s="41">
        <f t="shared" si="684"/>
        <v>0</v>
      </c>
      <c r="AG750" s="41">
        <f t="shared" si="685"/>
        <v>0</v>
      </c>
      <c r="AH750" s="41">
        <f t="shared" si="686"/>
        <v>226.67779726027396</v>
      </c>
      <c r="AI750" s="60">
        <f t="shared" si="687"/>
        <v>50.372843835616443</v>
      </c>
      <c r="AJ750" s="60">
        <f t="shared" si="688"/>
        <v>283.34724657534247</v>
      </c>
      <c r="AK750" s="60">
        <f t="shared" si="689"/>
        <v>350.81087671232882</v>
      </c>
      <c r="AL750" s="60">
        <f t="shared" si="690"/>
        <v>257.84599438356167</v>
      </c>
      <c r="AM750" s="41">
        <f t="shared" si="691"/>
        <v>667.75501109589027</v>
      </c>
      <c r="AN750" s="42">
        <f t="shared" si="692"/>
        <v>45715</v>
      </c>
      <c r="AO750" s="43">
        <f t="shared" si="693"/>
        <v>1259.321095890411</v>
      </c>
    </row>
    <row r="751" spans="1:41" ht="15" customHeight="1" x14ac:dyDescent="0.35">
      <c r="A751" s="36" t="s">
        <v>27</v>
      </c>
      <c r="B751" s="36">
        <v>202602</v>
      </c>
      <c r="C751" s="24" t="s">
        <v>128</v>
      </c>
      <c r="D751" s="24" t="s">
        <v>129</v>
      </c>
      <c r="E751" s="62">
        <v>45818</v>
      </c>
      <c r="F751" s="62">
        <v>46182</v>
      </c>
      <c r="G751" s="37" t="s">
        <v>1604</v>
      </c>
      <c r="H751" s="36" t="s">
        <v>1600</v>
      </c>
      <c r="I751" s="63" t="s">
        <v>1605</v>
      </c>
      <c r="J751" s="24" t="s">
        <v>1627</v>
      </c>
      <c r="K751" s="63">
        <f t="shared" si="677"/>
        <v>46043</v>
      </c>
      <c r="L751" s="55">
        <f t="shared" si="678"/>
        <v>0.04</v>
      </c>
      <c r="M751" s="76">
        <v>0.22500000000000001</v>
      </c>
      <c r="N751" s="62">
        <v>46043</v>
      </c>
      <c r="O751" s="62">
        <v>46182</v>
      </c>
      <c r="P751" s="63"/>
      <c r="Q751" s="63"/>
      <c r="R751" s="82">
        <v>4</v>
      </c>
      <c r="S751" s="63" t="str">
        <f>VLOOKUP(R751,SA!$B$5:$C$11,2,1)</f>
        <v>0-35</v>
      </c>
      <c r="T751" s="38" t="s">
        <v>1495</v>
      </c>
      <c r="U751" s="24" t="s">
        <v>114</v>
      </c>
      <c r="V751" s="24">
        <v>300000</v>
      </c>
      <c r="W751" s="39">
        <f t="shared" si="679"/>
        <v>0</v>
      </c>
      <c r="X751" s="29">
        <f t="shared" si="680"/>
        <v>0</v>
      </c>
      <c r="Y751" s="40">
        <f t="shared" si="681"/>
        <v>140</v>
      </c>
      <c r="Z751" s="38">
        <f t="shared" si="664"/>
        <v>46081</v>
      </c>
      <c r="AA751" s="41">
        <f t="shared" si="682"/>
        <v>39</v>
      </c>
      <c r="AB751" s="24" t="s">
        <v>125</v>
      </c>
      <c r="AC751" s="41">
        <f t="shared" si="683"/>
        <v>1485.998893150685</v>
      </c>
      <c r="AD751" s="41">
        <v>1</v>
      </c>
      <c r="AE751" s="72">
        <f>IFERROR(INDEX(SA!$C$4:$E$11,MATCH(Details!S751,SA!$C$4:$C$11,0),MATCH(Details!V751,SA!$C$4:$E$4,0)),0)*Y751/(F751-E751+1)</f>
        <v>1259.321095890411</v>
      </c>
      <c r="AF751" s="41">
        <f t="shared" si="684"/>
        <v>0</v>
      </c>
      <c r="AG751" s="41">
        <f t="shared" si="685"/>
        <v>0</v>
      </c>
      <c r="AH751" s="41">
        <f t="shared" si="686"/>
        <v>226.67779726027396</v>
      </c>
      <c r="AI751" s="60">
        <f t="shared" si="687"/>
        <v>50.372843835616443</v>
      </c>
      <c r="AJ751" s="60">
        <f t="shared" si="688"/>
        <v>283.34724657534247</v>
      </c>
      <c r="AK751" s="60">
        <f t="shared" si="689"/>
        <v>350.81087671232882</v>
      </c>
      <c r="AL751" s="60">
        <f t="shared" si="690"/>
        <v>257.84599438356167</v>
      </c>
      <c r="AM751" s="41">
        <f t="shared" si="691"/>
        <v>667.75501109589027</v>
      </c>
      <c r="AN751" s="42">
        <f t="shared" si="692"/>
        <v>45715</v>
      </c>
      <c r="AO751" s="43">
        <f t="shared" si="693"/>
        <v>1259.321095890411</v>
      </c>
    </row>
    <row r="752" spans="1:41" ht="15" customHeight="1" x14ac:dyDescent="0.35">
      <c r="A752" s="36" t="s">
        <v>27</v>
      </c>
      <c r="B752" s="36">
        <v>202602</v>
      </c>
      <c r="C752" s="24" t="s">
        <v>128</v>
      </c>
      <c r="D752" s="24" t="s">
        <v>129</v>
      </c>
      <c r="E752" s="62">
        <v>45818</v>
      </c>
      <c r="F752" s="62">
        <v>46182</v>
      </c>
      <c r="G752" s="37" t="s">
        <v>1606</v>
      </c>
      <c r="H752" s="36" t="s">
        <v>1600</v>
      </c>
      <c r="I752" s="63" t="s">
        <v>1607</v>
      </c>
      <c r="J752" s="24" t="s">
        <v>1628</v>
      </c>
      <c r="K752" s="63">
        <f t="shared" si="677"/>
        <v>46043</v>
      </c>
      <c r="L752" s="55">
        <f t="shared" si="678"/>
        <v>0.04</v>
      </c>
      <c r="M752" s="76">
        <v>0.22500000000000001</v>
      </c>
      <c r="N752" s="62">
        <v>46043</v>
      </c>
      <c r="O752" s="62">
        <v>46182</v>
      </c>
      <c r="P752" s="63"/>
      <c r="Q752" s="63"/>
      <c r="R752" s="82">
        <v>2</v>
      </c>
      <c r="S752" s="63" t="str">
        <f>VLOOKUP(R752,SA!$B$5:$C$11,2,1)</f>
        <v>0-35</v>
      </c>
      <c r="T752" s="38" t="s">
        <v>1495</v>
      </c>
      <c r="U752" s="24" t="s">
        <v>114</v>
      </c>
      <c r="V752" s="24">
        <v>300000</v>
      </c>
      <c r="W752" s="39">
        <f t="shared" si="679"/>
        <v>0</v>
      </c>
      <c r="X752" s="29">
        <f t="shared" si="680"/>
        <v>0</v>
      </c>
      <c r="Y752" s="40">
        <f t="shared" si="681"/>
        <v>140</v>
      </c>
      <c r="Z752" s="38">
        <f t="shared" si="664"/>
        <v>46081</v>
      </c>
      <c r="AA752" s="41">
        <f t="shared" si="682"/>
        <v>39</v>
      </c>
      <c r="AB752" s="24" t="s">
        <v>125</v>
      </c>
      <c r="AC752" s="41">
        <f t="shared" si="683"/>
        <v>1485.998893150685</v>
      </c>
      <c r="AD752" s="41">
        <v>1</v>
      </c>
      <c r="AE752" s="72">
        <f>IFERROR(INDEX(SA!$C$4:$E$11,MATCH(Details!S752,SA!$C$4:$C$11,0),MATCH(Details!V752,SA!$C$4:$E$4,0)),0)*Y752/(F752-E752+1)</f>
        <v>1259.321095890411</v>
      </c>
      <c r="AF752" s="41">
        <f t="shared" si="684"/>
        <v>0</v>
      </c>
      <c r="AG752" s="41">
        <f t="shared" si="685"/>
        <v>0</v>
      </c>
      <c r="AH752" s="41">
        <f t="shared" si="686"/>
        <v>226.67779726027396</v>
      </c>
      <c r="AI752" s="60">
        <f t="shared" si="687"/>
        <v>50.372843835616443</v>
      </c>
      <c r="AJ752" s="60">
        <f t="shared" si="688"/>
        <v>283.34724657534247</v>
      </c>
      <c r="AK752" s="60">
        <f t="shared" si="689"/>
        <v>350.81087671232882</v>
      </c>
      <c r="AL752" s="60">
        <f t="shared" si="690"/>
        <v>257.84599438356167</v>
      </c>
      <c r="AM752" s="41">
        <f t="shared" si="691"/>
        <v>667.75501109589027</v>
      </c>
      <c r="AN752" s="42">
        <f t="shared" si="692"/>
        <v>45715</v>
      </c>
      <c r="AO752" s="43">
        <f t="shared" si="693"/>
        <v>1259.321095890411</v>
      </c>
    </row>
    <row r="753" spans="1:42" ht="15" customHeight="1" x14ac:dyDescent="0.35">
      <c r="A753" s="36" t="s">
        <v>27</v>
      </c>
      <c r="B753" s="36">
        <v>202602</v>
      </c>
      <c r="C753" s="24" t="s">
        <v>128</v>
      </c>
      <c r="D753" s="24" t="s">
        <v>129</v>
      </c>
      <c r="E753" s="62">
        <v>45818</v>
      </c>
      <c r="F753" s="62">
        <v>46182</v>
      </c>
      <c r="G753" s="37" t="s">
        <v>1608</v>
      </c>
      <c r="H753" s="36">
        <v>2381</v>
      </c>
      <c r="I753" s="63" t="s">
        <v>1609</v>
      </c>
      <c r="J753" s="24" t="s">
        <v>1629</v>
      </c>
      <c r="K753" s="63">
        <f t="shared" si="677"/>
        <v>46023</v>
      </c>
      <c r="L753" s="55">
        <f t="shared" si="678"/>
        <v>0.04</v>
      </c>
      <c r="M753" s="76">
        <v>0.22500000000000001</v>
      </c>
      <c r="N753" s="62">
        <v>46023</v>
      </c>
      <c r="O753" s="62">
        <v>46182</v>
      </c>
      <c r="P753" s="63"/>
      <c r="Q753" s="63"/>
      <c r="R753" s="82">
        <v>31</v>
      </c>
      <c r="S753" s="63" t="str">
        <f>VLOOKUP(R753,SA!$B$5:$C$11,2,1)</f>
        <v>0-35</v>
      </c>
      <c r="T753" s="38" t="s">
        <v>1495</v>
      </c>
      <c r="U753" s="24" t="s">
        <v>56</v>
      </c>
      <c r="V753" s="24">
        <v>300000</v>
      </c>
      <c r="W753" s="39">
        <f t="shared" si="679"/>
        <v>300000</v>
      </c>
      <c r="X753" s="29">
        <f t="shared" si="680"/>
        <v>1</v>
      </c>
      <c r="Y753" s="40">
        <f t="shared" si="681"/>
        <v>160</v>
      </c>
      <c r="Z753" s="38">
        <f t="shared" si="664"/>
        <v>46081</v>
      </c>
      <c r="AA753" s="41">
        <f t="shared" si="682"/>
        <v>59</v>
      </c>
      <c r="AB753" s="24" t="s">
        <v>125</v>
      </c>
      <c r="AC753" s="41">
        <f t="shared" si="683"/>
        <v>1698.2844493150687</v>
      </c>
      <c r="AD753" s="41">
        <v>1</v>
      </c>
      <c r="AE753" s="72">
        <f>IFERROR(INDEX(SA!$C$4:$E$11,MATCH(Details!S753,SA!$C$4:$C$11,0),MATCH(Details!V753,SA!$C$4:$E$4,0)),0)*Y753/(F753-E753+1)</f>
        <v>1439.2241095890413</v>
      </c>
      <c r="AF753" s="41">
        <f t="shared" si="684"/>
        <v>0</v>
      </c>
      <c r="AG753" s="41">
        <f t="shared" si="685"/>
        <v>0</v>
      </c>
      <c r="AH753" s="41">
        <f t="shared" si="686"/>
        <v>259.06033972602745</v>
      </c>
      <c r="AI753" s="60">
        <f t="shared" si="687"/>
        <v>57.568964383561649</v>
      </c>
      <c r="AJ753" s="60">
        <f t="shared" si="688"/>
        <v>323.82542465753431</v>
      </c>
      <c r="AK753" s="60">
        <f t="shared" si="689"/>
        <v>530.71389041095904</v>
      </c>
      <c r="AL753" s="60">
        <f t="shared" si="690"/>
        <v>390.07470945205489</v>
      </c>
      <c r="AM753" s="41">
        <f t="shared" si="691"/>
        <v>667.75501109589038</v>
      </c>
      <c r="AN753" s="42">
        <f t="shared" si="692"/>
        <v>45715</v>
      </c>
      <c r="AO753" s="43">
        <f t="shared" si="693"/>
        <v>1439.2241095890413</v>
      </c>
    </row>
    <row r="754" spans="1:42" ht="15" customHeight="1" x14ac:dyDescent="0.35">
      <c r="A754" s="36" t="s">
        <v>27</v>
      </c>
      <c r="B754" s="36">
        <v>202602</v>
      </c>
      <c r="C754" s="24" t="s">
        <v>128</v>
      </c>
      <c r="D754" s="24" t="s">
        <v>129</v>
      </c>
      <c r="E754" s="62">
        <v>45818</v>
      </c>
      <c r="F754" s="62">
        <v>46182</v>
      </c>
      <c r="G754" s="37" t="s">
        <v>1610</v>
      </c>
      <c r="H754" s="36">
        <v>2381</v>
      </c>
      <c r="I754" s="63" t="s">
        <v>1611</v>
      </c>
      <c r="J754" s="24" t="s">
        <v>1630</v>
      </c>
      <c r="K754" s="63">
        <f t="shared" si="677"/>
        <v>46023</v>
      </c>
      <c r="L754" s="55">
        <f t="shared" si="678"/>
        <v>0.04</v>
      </c>
      <c r="M754" s="76">
        <v>0.22500000000000001</v>
      </c>
      <c r="N754" s="62">
        <v>46023</v>
      </c>
      <c r="O754" s="62">
        <v>46182</v>
      </c>
      <c r="P754" s="63"/>
      <c r="Q754" s="63"/>
      <c r="R754" s="82">
        <v>19</v>
      </c>
      <c r="S754" s="63" t="str">
        <f>VLOOKUP(R754,SA!$B$5:$C$11,2,1)</f>
        <v>0-35</v>
      </c>
      <c r="T754" s="38" t="s">
        <v>1496</v>
      </c>
      <c r="U754" s="24" t="s">
        <v>115</v>
      </c>
      <c r="V754" s="24">
        <v>300000</v>
      </c>
      <c r="W754" s="39">
        <f t="shared" si="679"/>
        <v>0</v>
      </c>
      <c r="X754" s="29">
        <f t="shared" si="680"/>
        <v>0</v>
      </c>
      <c r="Y754" s="40">
        <f t="shared" si="681"/>
        <v>160</v>
      </c>
      <c r="Z754" s="38">
        <f t="shared" si="664"/>
        <v>46081</v>
      </c>
      <c r="AA754" s="41">
        <f t="shared" si="682"/>
        <v>59</v>
      </c>
      <c r="AB754" s="24" t="s">
        <v>125</v>
      </c>
      <c r="AC754" s="41">
        <f t="shared" si="683"/>
        <v>1698.2844493150687</v>
      </c>
      <c r="AD754" s="41">
        <v>1</v>
      </c>
      <c r="AE754" s="72">
        <f>IFERROR(INDEX(SA!$C$4:$E$11,MATCH(Details!S754,SA!$C$4:$C$11,0),MATCH(Details!V754,SA!$C$4:$E$4,0)),0)*Y754/(F754-E754+1)</f>
        <v>1439.2241095890413</v>
      </c>
      <c r="AF754" s="41">
        <f t="shared" si="684"/>
        <v>0</v>
      </c>
      <c r="AG754" s="41">
        <f t="shared" si="685"/>
        <v>0</v>
      </c>
      <c r="AH754" s="41">
        <f t="shared" si="686"/>
        <v>259.06033972602745</v>
      </c>
      <c r="AI754" s="60">
        <f t="shared" si="687"/>
        <v>57.568964383561649</v>
      </c>
      <c r="AJ754" s="60">
        <f t="shared" si="688"/>
        <v>323.82542465753431</v>
      </c>
      <c r="AK754" s="60">
        <f t="shared" si="689"/>
        <v>530.71389041095904</v>
      </c>
      <c r="AL754" s="60">
        <f t="shared" si="690"/>
        <v>390.07470945205489</v>
      </c>
      <c r="AM754" s="41">
        <f t="shared" si="691"/>
        <v>667.75501109589038</v>
      </c>
      <c r="AN754" s="42">
        <f t="shared" si="692"/>
        <v>45715</v>
      </c>
      <c r="AO754" s="43">
        <f t="shared" si="693"/>
        <v>1439.2241095890413</v>
      </c>
    </row>
    <row r="755" spans="1:42" ht="15" customHeight="1" x14ac:dyDescent="0.35">
      <c r="A755" s="36" t="s">
        <v>1480</v>
      </c>
      <c r="B755" s="36">
        <v>202602</v>
      </c>
      <c r="C755" s="24" t="s">
        <v>128</v>
      </c>
      <c r="D755" s="24" t="s">
        <v>129</v>
      </c>
      <c r="E755" s="62">
        <v>45818</v>
      </c>
      <c r="F755" s="62">
        <v>46182</v>
      </c>
      <c r="G755" s="37" t="s">
        <v>498</v>
      </c>
      <c r="H755" s="36">
        <v>2153</v>
      </c>
      <c r="I755" s="63">
        <v>27549</v>
      </c>
      <c r="J755" s="24" t="s">
        <v>1147</v>
      </c>
      <c r="K755" s="63">
        <f t="shared" ref="K755" si="694">N755</f>
        <v>45818</v>
      </c>
      <c r="L755" s="55">
        <f t="shared" ref="L755" si="695">IF(K755&gt;=DATE(2022,4,1),4%,5%)</f>
        <v>0.04</v>
      </c>
      <c r="M755" s="76">
        <v>0.22500000000000001</v>
      </c>
      <c r="N755" s="62">
        <v>45818</v>
      </c>
      <c r="O755" s="62">
        <v>46182</v>
      </c>
      <c r="P755" s="63">
        <v>46053</v>
      </c>
      <c r="Q755" s="63">
        <f t="shared" ref="Q755" si="696">P755+1</f>
        <v>46054</v>
      </c>
      <c r="R755" s="82">
        <v>50</v>
      </c>
      <c r="S755" s="63" t="str">
        <f>VLOOKUP(R755,SA!$B$5:$C$11,2,1)</f>
        <v>46-55</v>
      </c>
      <c r="T755" s="38" t="s">
        <v>96</v>
      </c>
      <c r="U755" s="24" t="s">
        <v>56</v>
      </c>
      <c r="V755" s="24">
        <v>-300000</v>
      </c>
      <c r="W755" s="39">
        <f t="shared" ref="W755" si="697">IF(U755="self",V755,0)</f>
        <v>-300000</v>
      </c>
      <c r="X755" s="29">
        <f t="shared" ref="X755" si="698">IF(U755="self",-1,0)</f>
        <v>-1</v>
      </c>
      <c r="Y755" s="40">
        <f t="shared" ref="Y755" si="699">O755-Q755+1</f>
        <v>129</v>
      </c>
      <c r="Z755" s="38">
        <f t="shared" ref="Z755:Z762" si="700">$Z$1</f>
        <v>46081</v>
      </c>
      <c r="AA755" s="41">
        <f t="shared" ref="AA755" si="701">IF(MIN((Z755-Q755)+1,Y755)&lt;0,0,MIN((Z755-Q755)+1,Y755))</f>
        <v>28</v>
      </c>
      <c r="AB755" s="24" t="s">
        <v>125</v>
      </c>
      <c r="AC755" s="41">
        <f t="shared" ref="AC755" si="702">AE755+AF755+AG755+AH755</f>
        <v>-3388.2795764383554</v>
      </c>
      <c r="AD755" s="41">
        <v>-1</v>
      </c>
      <c r="AE755" s="72">
        <f>-IFERROR(INDEX(SA!$C$4:$E$11,MATCH(Details!S755,SA!$C$4:$C$11,0),MATCH(-Details!V755,SA!$C$4:$E$4,0)),0)*Y755/(F755-E755+1)</f>
        <v>-2871.4233698630132</v>
      </c>
      <c r="AF755" s="41">
        <f t="shared" ref="AF755" si="703">IF(AB755="Karnataka",AE755*9%,0)</f>
        <v>0</v>
      </c>
      <c r="AG755" s="41">
        <f t="shared" ref="AG755" si="704">IF(AB755="Karnataka",AE755*9%,0)</f>
        <v>0</v>
      </c>
      <c r="AH755" s="41">
        <f t="shared" ref="AH755" si="705">IF(AF755+AG755&gt;0,0,AE755*18%)</f>
        <v>-516.85620657534241</v>
      </c>
      <c r="AI755" s="60">
        <f t="shared" ref="AI755" si="706">AE755*L755</f>
        <v>-114.85693479452053</v>
      </c>
      <c r="AJ755" s="60">
        <f t="shared" ref="AJ755" si="707">$AE755*M755</f>
        <v>-646.07025821917796</v>
      </c>
      <c r="AK755" s="60">
        <f t="shared" ref="AK755" si="708">(AE755)*AA755/Y755</f>
        <v>-623.25468493150674</v>
      </c>
      <c r="AL755" s="60">
        <f t="shared" ref="AL755" si="709">AK755*(1-L755-M755)</f>
        <v>-458.09219342465747</v>
      </c>
      <c r="AM755" s="41">
        <f t="shared" ref="AM755" si="710">AE755-AI755-AL755-AJ755</f>
        <v>-1652.4039834246573</v>
      </c>
      <c r="AN755" s="42">
        <f t="shared" ref="AN755" si="711">Z755-366</f>
        <v>45715</v>
      </c>
      <c r="AO755" s="43">
        <f t="shared" ref="AO755" si="712">IF(AND(O755&gt;Z755,N755&gt;AN755),AE755,0)</f>
        <v>-2871.4233698630132</v>
      </c>
      <c r="AP755" s="3" t="s">
        <v>1522</v>
      </c>
    </row>
    <row r="756" spans="1:42" ht="15" customHeight="1" x14ac:dyDescent="0.35">
      <c r="A756" s="36" t="s">
        <v>1480</v>
      </c>
      <c r="B756" s="36">
        <v>202602</v>
      </c>
      <c r="C756" s="24" t="s">
        <v>128</v>
      </c>
      <c r="D756" s="24" t="s">
        <v>129</v>
      </c>
      <c r="E756" s="62">
        <v>45818</v>
      </c>
      <c r="F756" s="62">
        <v>46182</v>
      </c>
      <c r="G756" s="37" t="s">
        <v>499</v>
      </c>
      <c r="H756" s="36">
        <v>2153</v>
      </c>
      <c r="I756" s="63">
        <v>29238</v>
      </c>
      <c r="J756" s="24" t="s">
        <v>1148</v>
      </c>
      <c r="K756" s="63">
        <f t="shared" ref="K756:K762" si="713">N756</f>
        <v>45818</v>
      </c>
      <c r="L756" s="55">
        <f t="shared" ref="L756:L762" si="714">IF(K756&gt;=DATE(2022,4,1),4%,5%)</f>
        <v>0.04</v>
      </c>
      <c r="M756" s="76">
        <v>0.22500000000000001</v>
      </c>
      <c r="N756" s="62">
        <v>45818</v>
      </c>
      <c r="O756" s="62">
        <v>46182</v>
      </c>
      <c r="P756" s="63">
        <v>46053</v>
      </c>
      <c r="Q756" s="63">
        <f t="shared" ref="Q756:Q762" si="715">P756+1</f>
        <v>46054</v>
      </c>
      <c r="R756" s="82">
        <v>45</v>
      </c>
      <c r="S756" s="63" t="str">
        <f>VLOOKUP(R756,SA!$B$5:$C$11,2,1)</f>
        <v>36-45</v>
      </c>
      <c r="T756" s="38" t="s">
        <v>97</v>
      </c>
      <c r="U756" s="24" t="s">
        <v>115</v>
      </c>
      <c r="V756" s="24">
        <v>-300000</v>
      </c>
      <c r="W756" s="39">
        <f t="shared" ref="W756:W762" si="716">IF(U756="self",V756,0)</f>
        <v>0</v>
      </c>
      <c r="X756" s="29">
        <f t="shared" ref="X756:X762" si="717">IF(U756="self",-1,0)</f>
        <v>0</v>
      </c>
      <c r="Y756" s="40">
        <f t="shared" ref="Y756:Y762" si="718">O756-Q756+1</f>
        <v>129</v>
      </c>
      <c r="Z756" s="38">
        <f t="shared" si="700"/>
        <v>46081</v>
      </c>
      <c r="AA756" s="41">
        <f t="shared" ref="AA756:AA762" si="719">IF(MIN((Z756-Q756)+1,Y756)&lt;0,0,MIN((Z756-Q756)+1,Y756))</f>
        <v>28</v>
      </c>
      <c r="AB756" s="24" t="s">
        <v>125</v>
      </c>
      <c r="AC756" s="41">
        <f t="shared" ref="AC756:AC762" si="720">AE756+AF756+AG756+AH756</f>
        <v>-1773.2462284931507</v>
      </c>
      <c r="AD756" s="41">
        <v>-1</v>
      </c>
      <c r="AE756" s="72">
        <f>-IFERROR(INDEX(SA!$C$4:$E$11,MATCH(Details!S756,SA!$C$4:$C$11,0),MATCH(-Details!V756,SA!$C$4:$E$4,0)),0)*Y756/(F756-E756+1)</f>
        <v>-1502.7510410958905</v>
      </c>
      <c r="AF756" s="41">
        <f t="shared" ref="AF756:AF762" si="721">IF(AB756="Karnataka",AE756*9%,0)</f>
        <v>0</v>
      </c>
      <c r="AG756" s="41">
        <f t="shared" ref="AG756:AG762" si="722">IF(AB756="Karnataka",AE756*9%,0)</f>
        <v>0</v>
      </c>
      <c r="AH756" s="41">
        <f t="shared" ref="AH756:AH762" si="723">IF(AF756+AG756&gt;0,0,AE756*18%)</f>
        <v>-270.49518739726028</v>
      </c>
      <c r="AI756" s="60">
        <f t="shared" ref="AI756:AI762" si="724">AE756*L756</f>
        <v>-60.110041643835622</v>
      </c>
      <c r="AJ756" s="60">
        <f t="shared" ref="AJ756:AJ762" si="725">$AE756*M756</f>
        <v>-338.11898424657539</v>
      </c>
      <c r="AK756" s="60">
        <f t="shared" ref="AK756:AK762" si="726">(AE756)*AA756/Y756</f>
        <v>-326.1785205479452</v>
      </c>
      <c r="AL756" s="60">
        <f t="shared" ref="AL756:AL762" si="727">AK756*(1-L756-M756)</f>
        <v>-239.74121260273972</v>
      </c>
      <c r="AM756" s="41">
        <f t="shared" ref="AM756:AM762" si="728">AE756-AI756-AL756-AJ756</f>
        <v>-864.78080260273987</v>
      </c>
      <c r="AN756" s="42">
        <f t="shared" ref="AN756:AN762" si="729">Z756-366</f>
        <v>45715</v>
      </c>
      <c r="AO756" s="43">
        <f t="shared" ref="AO756:AO762" si="730">IF(AND(O756&gt;Z756,N756&gt;AN756),AE756,0)</f>
        <v>-1502.7510410958905</v>
      </c>
      <c r="AP756" s="3" t="s">
        <v>1522</v>
      </c>
    </row>
    <row r="757" spans="1:42" ht="15" customHeight="1" x14ac:dyDescent="0.35">
      <c r="A757" s="36" t="s">
        <v>1480</v>
      </c>
      <c r="B757" s="36">
        <v>202602</v>
      </c>
      <c r="C757" s="24" t="s">
        <v>128</v>
      </c>
      <c r="D757" s="24" t="s">
        <v>129</v>
      </c>
      <c r="E757" s="62">
        <v>45818</v>
      </c>
      <c r="F757" s="62">
        <v>46182</v>
      </c>
      <c r="G757" s="37" t="s">
        <v>500</v>
      </c>
      <c r="H757" s="36">
        <v>2153</v>
      </c>
      <c r="I757" s="63">
        <v>38509</v>
      </c>
      <c r="J757" s="24" t="s">
        <v>1149</v>
      </c>
      <c r="K757" s="63">
        <f t="shared" si="713"/>
        <v>45818</v>
      </c>
      <c r="L757" s="55">
        <f t="shared" si="714"/>
        <v>0.04</v>
      </c>
      <c r="M757" s="76">
        <v>0.22500000000000001</v>
      </c>
      <c r="N757" s="62">
        <v>45818</v>
      </c>
      <c r="O757" s="62">
        <v>46182</v>
      </c>
      <c r="P757" s="63">
        <v>46053</v>
      </c>
      <c r="Q757" s="63">
        <f t="shared" si="715"/>
        <v>46054</v>
      </c>
      <c r="R757" s="82">
        <v>20</v>
      </c>
      <c r="S757" s="63" t="str">
        <f>VLOOKUP(R757,SA!$B$5:$C$11,2,1)</f>
        <v>0-35</v>
      </c>
      <c r="T757" s="38" t="s">
        <v>96</v>
      </c>
      <c r="U757" s="24" t="s">
        <v>114</v>
      </c>
      <c r="V757" s="24">
        <v>-300000</v>
      </c>
      <c r="W757" s="39">
        <f t="shared" si="716"/>
        <v>0</v>
      </c>
      <c r="X757" s="29">
        <f t="shared" si="717"/>
        <v>0</v>
      </c>
      <c r="Y757" s="40">
        <f t="shared" si="718"/>
        <v>129</v>
      </c>
      <c r="Z757" s="38">
        <f t="shared" si="700"/>
        <v>46081</v>
      </c>
      <c r="AA757" s="41">
        <f t="shared" si="719"/>
        <v>28</v>
      </c>
      <c r="AB757" s="24" t="s">
        <v>125</v>
      </c>
      <c r="AC757" s="41">
        <f t="shared" si="720"/>
        <v>-1369.2418372602738</v>
      </c>
      <c r="AD757" s="41">
        <v>-1</v>
      </c>
      <c r="AE757" s="72">
        <f>-IFERROR(INDEX(SA!$C$4:$E$11,MATCH(Details!S757,SA!$C$4:$C$11,0),MATCH(-Details!V757,SA!$C$4:$E$4,0)),0)*Y757/(F757-E757+1)</f>
        <v>-1160.3744383561643</v>
      </c>
      <c r="AF757" s="41">
        <f t="shared" si="721"/>
        <v>0</v>
      </c>
      <c r="AG757" s="41">
        <f t="shared" si="722"/>
        <v>0</v>
      </c>
      <c r="AH757" s="41">
        <f t="shared" si="723"/>
        <v>-208.86739890410956</v>
      </c>
      <c r="AI757" s="60">
        <f t="shared" si="724"/>
        <v>-46.414977534246574</v>
      </c>
      <c r="AJ757" s="60">
        <f t="shared" si="725"/>
        <v>-261.08424863013698</v>
      </c>
      <c r="AK757" s="60">
        <f t="shared" si="726"/>
        <v>-251.86421917808218</v>
      </c>
      <c r="AL757" s="60">
        <f t="shared" si="727"/>
        <v>-185.12020109589039</v>
      </c>
      <c r="AM757" s="41">
        <f t="shared" si="728"/>
        <v>-667.75501109589027</v>
      </c>
      <c r="AN757" s="42">
        <f t="shared" si="729"/>
        <v>45715</v>
      </c>
      <c r="AO757" s="43">
        <f t="shared" si="730"/>
        <v>-1160.3744383561643</v>
      </c>
      <c r="AP757" s="3" t="s">
        <v>1522</v>
      </c>
    </row>
    <row r="758" spans="1:42" ht="15" customHeight="1" x14ac:dyDescent="0.35">
      <c r="A758" s="36" t="s">
        <v>1480</v>
      </c>
      <c r="B758" s="36">
        <v>202602</v>
      </c>
      <c r="C758" s="24" t="s">
        <v>128</v>
      </c>
      <c r="D758" s="24" t="s">
        <v>129</v>
      </c>
      <c r="E758" s="62">
        <v>45818</v>
      </c>
      <c r="F758" s="62">
        <v>46182</v>
      </c>
      <c r="G758" s="37" t="s">
        <v>501</v>
      </c>
      <c r="H758" s="36">
        <v>2153</v>
      </c>
      <c r="I758" s="63">
        <v>37883</v>
      </c>
      <c r="J758" s="24" t="s">
        <v>1150</v>
      </c>
      <c r="K758" s="63">
        <f t="shared" si="713"/>
        <v>45818</v>
      </c>
      <c r="L758" s="55">
        <f t="shared" si="714"/>
        <v>0.04</v>
      </c>
      <c r="M758" s="76">
        <v>0.22500000000000001</v>
      </c>
      <c r="N758" s="62">
        <v>45818</v>
      </c>
      <c r="O758" s="62">
        <v>46182</v>
      </c>
      <c r="P758" s="63">
        <v>46053</v>
      </c>
      <c r="Q758" s="63">
        <f t="shared" si="715"/>
        <v>46054</v>
      </c>
      <c r="R758" s="82">
        <v>21</v>
      </c>
      <c r="S758" s="63" t="str">
        <f>VLOOKUP(R758,SA!$B$5:$C$11,2,1)</f>
        <v>0-35</v>
      </c>
      <c r="T758" s="38" t="s">
        <v>97</v>
      </c>
      <c r="U758" s="24" t="s">
        <v>113</v>
      </c>
      <c r="V758" s="24">
        <v>-300000</v>
      </c>
      <c r="W758" s="39">
        <f t="shared" si="716"/>
        <v>0</v>
      </c>
      <c r="X758" s="29">
        <f t="shared" si="717"/>
        <v>0</v>
      </c>
      <c r="Y758" s="40">
        <f t="shared" si="718"/>
        <v>129</v>
      </c>
      <c r="Z758" s="38">
        <f t="shared" si="700"/>
        <v>46081</v>
      </c>
      <c r="AA758" s="41">
        <f t="shared" si="719"/>
        <v>28</v>
      </c>
      <c r="AB758" s="24" t="s">
        <v>125</v>
      </c>
      <c r="AC758" s="41">
        <f t="shared" si="720"/>
        <v>-1369.2418372602738</v>
      </c>
      <c r="AD758" s="41">
        <v>-1</v>
      </c>
      <c r="AE758" s="72">
        <f>-IFERROR(INDEX(SA!$C$4:$E$11,MATCH(Details!S758,SA!$C$4:$C$11,0),MATCH(-Details!V758,SA!$C$4:$E$4,0)),0)*Y758/(F758-E758+1)</f>
        <v>-1160.3744383561643</v>
      </c>
      <c r="AF758" s="41">
        <f t="shared" si="721"/>
        <v>0</v>
      </c>
      <c r="AG758" s="41">
        <f t="shared" si="722"/>
        <v>0</v>
      </c>
      <c r="AH758" s="41">
        <f t="shared" si="723"/>
        <v>-208.86739890410956</v>
      </c>
      <c r="AI758" s="60">
        <f t="shared" si="724"/>
        <v>-46.414977534246574</v>
      </c>
      <c r="AJ758" s="60">
        <f t="shared" si="725"/>
        <v>-261.08424863013698</v>
      </c>
      <c r="AK758" s="60">
        <f t="shared" si="726"/>
        <v>-251.86421917808218</v>
      </c>
      <c r="AL758" s="60">
        <f t="shared" si="727"/>
        <v>-185.12020109589039</v>
      </c>
      <c r="AM758" s="41">
        <f t="shared" si="728"/>
        <v>-667.75501109589027</v>
      </c>
      <c r="AN758" s="42">
        <f t="shared" si="729"/>
        <v>45715</v>
      </c>
      <c r="AO758" s="43">
        <f t="shared" si="730"/>
        <v>-1160.3744383561643</v>
      </c>
      <c r="AP758" s="3" t="s">
        <v>1522</v>
      </c>
    </row>
    <row r="759" spans="1:42" ht="15" customHeight="1" x14ac:dyDescent="0.35">
      <c r="A759" s="36" t="s">
        <v>1480</v>
      </c>
      <c r="B759" s="36">
        <v>202602</v>
      </c>
      <c r="C759" s="24" t="s">
        <v>128</v>
      </c>
      <c r="D759" s="24" t="s">
        <v>129</v>
      </c>
      <c r="E759" s="62">
        <v>45818</v>
      </c>
      <c r="F759" s="62">
        <v>46182</v>
      </c>
      <c r="G759" s="37" t="s">
        <v>556</v>
      </c>
      <c r="H759" s="36">
        <v>2195</v>
      </c>
      <c r="I759" s="63">
        <v>34311</v>
      </c>
      <c r="J759" s="24" t="s">
        <v>1205</v>
      </c>
      <c r="K759" s="63">
        <f t="shared" si="713"/>
        <v>45818</v>
      </c>
      <c r="L759" s="55">
        <f t="shared" si="714"/>
        <v>0.04</v>
      </c>
      <c r="M759" s="76">
        <v>0.22500000000000001</v>
      </c>
      <c r="N759" s="62">
        <v>45818</v>
      </c>
      <c r="O759" s="62">
        <v>46182</v>
      </c>
      <c r="P759" s="63">
        <v>46053</v>
      </c>
      <c r="Q759" s="63">
        <f t="shared" si="715"/>
        <v>46054</v>
      </c>
      <c r="R759" s="82">
        <v>31</v>
      </c>
      <c r="S759" s="63" t="str">
        <f>VLOOKUP(R759,SA!$B$5:$C$11,2,1)</f>
        <v>0-35</v>
      </c>
      <c r="T759" s="38" t="s">
        <v>96</v>
      </c>
      <c r="U759" s="24" t="s">
        <v>56</v>
      </c>
      <c r="V759" s="24">
        <v>-300000</v>
      </c>
      <c r="W759" s="39">
        <f t="shared" si="716"/>
        <v>-300000</v>
      </c>
      <c r="X759" s="29">
        <f t="shared" si="717"/>
        <v>-1</v>
      </c>
      <c r="Y759" s="40">
        <f t="shared" si="718"/>
        <v>129</v>
      </c>
      <c r="Z759" s="38">
        <f t="shared" si="700"/>
        <v>46081</v>
      </c>
      <c r="AA759" s="41">
        <f t="shared" si="719"/>
        <v>28</v>
      </c>
      <c r="AB759" s="24" t="s">
        <v>125</v>
      </c>
      <c r="AC759" s="41">
        <f t="shared" si="720"/>
        <v>-1369.2418372602738</v>
      </c>
      <c r="AD759" s="41">
        <v>-1</v>
      </c>
      <c r="AE759" s="72">
        <f>-IFERROR(INDEX(SA!$C$4:$E$11,MATCH(Details!S759,SA!$C$4:$C$11,0),MATCH(-Details!V759,SA!$C$4:$E$4,0)),0)*Y759/(F759-E759+1)</f>
        <v>-1160.3744383561643</v>
      </c>
      <c r="AF759" s="41">
        <f t="shared" si="721"/>
        <v>0</v>
      </c>
      <c r="AG759" s="41">
        <f t="shared" si="722"/>
        <v>0</v>
      </c>
      <c r="AH759" s="41">
        <f t="shared" si="723"/>
        <v>-208.86739890410956</v>
      </c>
      <c r="AI759" s="60">
        <f t="shared" si="724"/>
        <v>-46.414977534246574</v>
      </c>
      <c r="AJ759" s="60">
        <f t="shared" si="725"/>
        <v>-261.08424863013698</v>
      </c>
      <c r="AK759" s="60">
        <f t="shared" si="726"/>
        <v>-251.86421917808218</v>
      </c>
      <c r="AL759" s="60">
        <f t="shared" si="727"/>
        <v>-185.12020109589039</v>
      </c>
      <c r="AM759" s="41">
        <f t="shared" si="728"/>
        <v>-667.75501109589027</v>
      </c>
      <c r="AN759" s="42">
        <f t="shared" si="729"/>
        <v>45715</v>
      </c>
      <c r="AO759" s="43">
        <f t="shared" si="730"/>
        <v>-1160.3744383561643</v>
      </c>
      <c r="AP759" s="3" t="s">
        <v>1522</v>
      </c>
    </row>
    <row r="760" spans="1:42" ht="15" customHeight="1" x14ac:dyDescent="0.35">
      <c r="A760" s="36" t="s">
        <v>1480</v>
      </c>
      <c r="B760" s="36">
        <v>202602</v>
      </c>
      <c r="C760" s="24" t="s">
        <v>128</v>
      </c>
      <c r="D760" s="24" t="s">
        <v>129</v>
      </c>
      <c r="E760" s="62">
        <v>45818</v>
      </c>
      <c r="F760" s="62">
        <v>46182</v>
      </c>
      <c r="G760" s="37" t="s">
        <v>637</v>
      </c>
      <c r="H760" s="36">
        <v>2288</v>
      </c>
      <c r="I760" s="63">
        <v>34950</v>
      </c>
      <c r="J760" s="24" t="s">
        <v>1287</v>
      </c>
      <c r="K760" s="63">
        <f t="shared" si="713"/>
        <v>45818</v>
      </c>
      <c r="L760" s="55">
        <f t="shared" si="714"/>
        <v>0.04</v>
      </c>
      <c r="M760" s="76">
        <v>0.22500000000000001</v>
      </c>
      <c r="N760" s="62">
        <v>45818</v>
      </c>
      <c r="O760" s="62">
        <v>46182</v>
      </c>
      <c r="P760" s="63">
        <v>46022</v>
      </c>
      <c r="Q760" s="63">
        <f t="shared" si="715"/>
        <v>46023</v>
      </c>
      <c r="R760" s="82">
        <v>29</v>
      </c>
      <c r="S760" s="63" t="str">
        <f>VLOOKUP(R760,SA!$B$5:$C$11,2,1)</f>
        <v>0-35</v>
      </c>
      <c r="T760" s="38" t="s">
        <v>96</v>
      </c>
      <c r="U760" s="24" t="s">
        <v>56</v>
      </c>
      <c r="V760" s="24">
        <v>-300000</v>
      </c>
      <c r="W760" s="39">
        <f t="shared" si="716"/>
        <v>-300000</v>
      </c>
      <c r="X760" s="29">
        <f t="shared" si="717"/>
        <v>-1</v>
      </c>
      <c r="Y760" s="40">
        <f t="shared" si="718"/>
        <v>160</v>
      </c>
      <c r="Z760" s="38">
        <f t="shared" si="700"/>
        <v>46081</v>
      </c>
      <c r="AA760" s="41">
        <f t="shared" si="719"/>
        <v>59</v>
      </c>
      <c r="AB760" s="24" t="s">
        <v>125</v>
      </c>
      <c r="AC760" s="41">
        <f t="shared" si="720"/>
        <v>-1698.2844493150687</v>
      </c>
      <c r="AD760" s="41">
        <v>-1</v>
      </c>
      <c r="AE760" s="72">
        <f>-IFERROR(INDEX(SA!$C$4:$E$11,MATCH(Details!S760,SA!$C$4:$C$11,0),MATCH(-Details!V760,SA!$C$4:$E$4,0)),0)*Y760/(F760-E760+1)</f>
        <v>-1439.2241095890413</v>
      </c>
      <c r="AF760" s="41">
        <f t="shared" si="721"/>
        <v>0</v>
      </c>
      <c r="AG760" s="41">
        <f t="shared" si="722"/>
        <v>0</v>
      </c>
      <c r="AH760" s="41">
        <f t="shared" si="723"/>
        <v>-259.06033972602745</v>
      </c>
      <c r="AI760" s="60">
        <f t="shared" si="724"/>
        <v>-57.568964383561649</v>
      </c>
      <c r="AJ760" s="60">
        <f t="shared" si="725"/>
        <v>-323.82542465753431</v>
      </c>
      <c r="AK760" s="60">
        <f t="shared" si="726"/>
        <v>-530.71389041095904</v>
      </c>
      <c r="AL760" s="60">
        <f t="shared" si="727"/>
        <v>-390.07470945205489</v>
      </c>
      <c r="AM760" s="41">
        <f t="shared" si="728"/>
        <v>-667.75501109589038</v>
      </c>
      <c r="AN760" s="42">
        <f t="shared" si="729"/>
        <v>45715</v>
      </c>
      <c r="AO760" s="43">
        <f t="shared" si="730"/>
        <v>-1439.2241095890413</v>
      </c>
      <c r="AP760" s="3" t="s">
        <v>1522</v>
      </c>
    </row>
    <row r="761" spans="1:42" ht="15" customHeight="1" x14ac:dyDescent="0.35">
      <c r="A761" s="36" t="s">
        <v>1480</v>
      </c>
      <c r="B761" s="36">
        <v>202602</v>
      </c>
      <c r="C761" s="24" t="s">
        <v>128</v>
      </c>
      <c r="D761" s="24" t="s">
        <v>129</v>
      </c>
      <c r="E761" s="62">
        <v>45818</v>
      </c>
      <c r="F761" s="62">
        <v>46182</v>
      </c>
      <c r="G761" s="37" t="s">
        <v>687</v>
      </c>
      <c r="H761" s="36">
        <v>2318</v>
      </c>
      <c r="I761" s="63">
        <v>37162</v>
      </c>
      <c r="J761" s="24" t="s">
        <v>1337</v>
      </c>
      <c r="K761" s="63">
        <f t="shared" si="713"/>
        <v>45818</v>
      </c>
      <c r="L761" s="55">
        <f t="shared" si="714"/>
        <v>0.04</v>
      </c>
      <c r="M761" s="76">
        <v>0.22500000000000001</v>
      </c>
      <c r="N761" s="62">
        <v>45818</v>
      </c>
      <c r="O761" s="62">
        <v>46182</v>
      </c>
      <c r="P761" s="63">
        <v>46026</v>
      </c>
      <c r="Q761" s="63">
        <f t="shared" si="715"/>
        <v>46027</v>
      </c>
      <c r="R761" s="82">
        <v>23</v>
      </c>
      <c r="S761" s="63" t="str">
        <f>VLOOKUP(R761,SA!$B$5:$C$11,2,1)</f>
        <v>0-35</v>
      </c>
      <c r="T761" s="38" t="s">
        <v>96</v>
      </c>
      <c r="U761" s="24" t="s">
        <v>56</v>
      </c>
      <c r="V761" s="24">
        <v>-300000</v>
      </c>
      <c r="W761" s="39">
        <f t="shared" si="716"/>
        <v>-300000</v>
      </c>
      <c r="X761" s="29">
        <f t="shared" si="717"/>
        <v>-1</v>
      </c>
      <c r="Y761" s="40">
        <f t="shared" si="718"/>
        <v>156</v>
      </c>
      <c r="Z761" s="38">
        <f t="shared" si="700"/>
        <v>46081</v>
      </c>
      <c r="AA761" s="41">
        <f t="shared" si="719"/>
        <v>55</v>
      </c>
      <c r="AB761" s="24" t="s">
        <v>125</v>
      </c>
      <c r="AC761" s="41">
        <f t="shared" si="720"/>
        <v>-1655.8273380821918</v>
      </c>
      <c r="AD761" s="41">
        <v>-1</v>
      </c>
      <c r="AE761" s="72">
        <f>-IFERROR(INDEX(SA!$C$4:$E$11,MATCH(Details!S761,SA!$C$4:$C$11,0),MATCH(-Details!V761,SA!$C$4:$E$4,0)),0)*Y761/(F761-E761+1)</f>
        <v>-1403.2435068493151</v>
      </c>
      <c r="AF761" s="41">
        <f t="shared" si="721"/>
        <v>0</v>
      </c>
      <c r="AG761" s="41">
        <f t="shared" si="722"/>
        <v>0</v>
      </c>
      <c r="AH761" s="41">
        <f t="shared" si="723"/>
        <v>-252.58383123287669</v>
      </c>
      <c r="AI761" s="60">
        <f t="shared" si="724"/>
        <v>-56.129740273972601</v>
      </c>
      <c r="AJ761" s="60">
        <f t="shared" si="725"/>
        <v>-315.7297890410959</v>
      </c>
      <c r="AK761" s="60">
        <f t="shared" si="726"/>
        <v>-494.73328767123286</v>
      </c>
      <c r="AL761" s="60">
        <f t="shared" si="727"/>
        <v>-363.62896643835614</v>
      </c>
      <c r="AM761" s="41">
        <f t="shared" si="728"/>
        <v>-667.75501109589027</v>
      </c>
      <c r="AN761" s="42">
        <f t="shared" si="729"/>
        <v>45715</v>
      </c>
      <c r="AO761" s="43">
        <f t="shared" si="730"/>
        <v>-1403.2435068493151</v>
      </c>
      <c r="AP761" s="3" t="s">
        <v>1522</v>
      </c>
    </row>
    <row r="762" spans="1:42" ht="15" customHeight="1" x14ac:dyDescent="0.35">
      <c r="A762" s="36" t="s">
        <v>1480</v>
      </c>
      <c r="B762" s="36">
        <v>202602</v>
      </c>
      <c r="C762" s="24" t="s">
        <v>128</v>
      </c>
      <c r="D762" s="24" t="s">
        <v>129</v>
      </c>
      <c r="E762" s="62">
        <v>45818</v>
      </c>
      <c r="F762" s="62">
        <v>46182</v>
      </c>
      <c r="G762" s="37" t="s">
        <v>772</v>
      </c>
      <c r="H762" s="36">
        <v>2348</v>
      </c>
      <c r="I762" s="63">
        <v>37745</v>
      </c>
      <c r="J762" s="24" t="s">
        <v>1423</v>
      </c>
      <c r="K762" s="63">
        <f t="shared" si="713"/>
        <v>45818</v>
      </c>
      <c r="L762" s="55">
        <f t="shared" si="714"/>
        <v>0.04</v>
      </c>
      <c r="M762" s="76">
        <v>0.22500000000000001</v>
      </c>
      <c r="N762" s="62">
        <v>45818</v>
      </c>
      <c r="O762" s="62">
        <v>46182</v>
      </c>
      <c r="P762" s="63">
        <v>46042</v>
      </c>
      <c r="Q762" s="63">
        <f t="shared" si="715"/>
        <v>46043</v>
      </c>
      <c r="R762" s="82">
        <v>22</v>
      </c>
      <c r="S762" s="63" t="str">
        <f>VLOOKUP(R762,SA!$B$5:$C$11,2,1)</f>
        <v>0-35</v>
      </c>
      <c r="T762" s="38" t="s">
        <v>97</v>
      </c>
      <c r="U762" s="24" t="s">
        <v>56</v>
      </c>
      <c r="V762" s="24">
        <v>-300000</v>
      </c>
      <c r="W762" s="39">
        <f t="shared" si="716"/>
        <v>-300000</v>
      </c>
      <c r="X762" s="29">
        <f t="shared" si="717"/>
        <v>-1</v>
      </c>
      <c r="Y762" s="40">
        <f t="shared" si="718"/>
        <v>140</v>
      </c>
      <c r="Z762" s="38">
        <f t="shared" si="700"/>
        <v>46081</v>
      </c>
      <c r="AA762" s="41">
        <f t="shared" si="719"/>
        <v>39</v>
      </c>
      <c r="AB762" s="24" t="s">
        <v>125</v>
      </c>
      <c r="AC762" s="41">
        <f t="shared" si="720"/>
        <v>-1485.998893150685</v>
      </c>
      <c r="AD762" s="41">
        <v>-1</v>
      </c>
      <c r="AE762" s="72">
        <f>-IFERROR(INDEX(SA!$C$4:$E$11,MATCH(Details!S762,SA!$C$4:$C$11,0),MATCH(-Details!V762,SA!$C$4:$E$4,0)),0)*Y762/(F762-E762+1)</f>
        <v>-1259.321095890411</v>
      </c>
      <c r="AF762" s="41">
        <f t="shared" si="721"/>
        <v>0</v>
      </c>
      <c r="AG762" s="41">
        <f t="shared" si="722"/>
        <v>0</v>
      </c>
      <c r="AH762" s="41">
        <f t="shared" si="723"/>
        <v>-226.67779726027396</v>
      </c>
      <c r="AI762" s="60">
        <f t="shared" si="724"/>
        <v>-50.372843835616443</v>
      </c>
      <c r="AJ762" s="60">
        <f t="shared" si="725"/>
        <v>-283.34724657534247</v>
      </c>
      <c r="AK762" s="60">
        <f t="shared" si="726"/>
        <v>-350.81087671232882</v>
      </c>
      <c r="AL762" s="60">
        <f t="shared" si="727"/>
        <v>-257.84599438356167</v>
      </c>
      <c r="AM762" s="41">
        <f t="shared" si="728"/>
        <v>-667.75501109589027</v>
      </c>
      <c r="AN762" s="42">
        <f t="shared" si="729"/>
        <v>45715</v>
      </c>
      <c r="AO762" s="43">
        <f t="shared" si="730"/>
        <v>-1259.321095890411</v>
      </c>
      <c r="AP762" s="3" t="s">
        <v>1522</v>
      </c>
    </row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EC25-5A4D-4753-A0CF-61BC21AE18ED}">
  <sheetPr codeName="Sheet4"/>
  <dimension ref="B3:H31"/>
  <sheetViews>
    <sheetView showGridLines="0" tabSelected="1" topLeftCell="A19" workbookViewId="0">
      <selection activeCell="B31" sqref="B31"/>
    </sheetView>
  </sheetViews>
  <sheetFormatPr defaultColWidth="14.453125" defaultRowHeight="14.5" x14ac:dyDescent="0.35"/>
  <cols>
    <col min="1" max="1" width="1.453125" style="25" customWidth="1"/>
    <col min="2" max="2" width="10.7265625" style="25" customWidth="1"/>
    <col min="3" max="3" width="11.54296875" style="25" bestFit="1" customWidth="1"/>
    <col min="4" max="4" width="15.1796875" style="25" bestFit="1" customWidth="1"/>
    <col min="5" max="5" width="50.453125" style="25" customWidth="1"/>
    <col min="6" max="6" width="11.54296875" style="25" bestFit="1" customWidth="1"/>
    <col min="7" max="7" width="15.1796875" style="25" customWidth="1"/>
    <col min="8" max="8" width="10.7265625" style="25" customWidth="1"/>
    <col min="9" max="26" width="8.7265625" style="25" customWidth="1"/>
    <col min="27" max="16384" width="14.453125" style="25"/>
  </cols>
  <sheetData>
    <row r="3" spans="2:7" x14ac:dyDescent="0.35">
      <c r="E3"/>
    </row>
    <row r="5" spans="2:7" x14ac:dyDescent="0.35">
      <c r="B5" s="26" t="s">
        <v>45</v>
      </c>
      <c r="C5" s="27"/>
      <c r="D5" s="27"/>
      <c r="E5" s="27"/>
      <c r="F5" s="27"/>
      <c r="G5" s="27"/>
    </row>
    <row r="6" spans="2:7" x14ac:dyDescent="0.35">
      <c r="B6" s="26" t="s">
        <v>1570</v>
      </c>
      <c r="C6" s="27"/>
      <c r="D6" s="27"/>
      <c r="E6" s="27"/>
      <c r="F6" s="27"/>
      <c r="G6" s="27"/>
    </row>
    <row r="7" spans="2:7" s="51" customFormat="1" x14ac:dyDescent="0.25">
      <c r="B7" s="67" t="s">
        <v>0</v>
      </c>
      <c r="C7" s="68" t="s">
        <v>46</v>
      </c>
      <c r="D7" s="69" t="s">
        <v>108</v>
      </c>
      <c r="E7" s="69" t="s">
        <v>1</v>
      </c>
      <c r="F7" s="69" t="s">
        <v>47</v>
      </c>
      <c r="G7" s="69" t="s">
        <v>31</v>
      </c>
    </row>
    <row r="8" spans="2:7" ht="29" x14ac:dyDescent="0.35">
      <c r="B8" s="70">
        <v>45815</v>
      </c>
      <c r="C8" s="28"/>
      <c r="D8" s="71"/>
      <c r="E8" s="44" t="s">
        <v>1428</v>
      </c>
      <c r="F8" s="45">
        <v>3633220</v>
      </c>
      <c r="G8" s="46">
        <f>F8</f>
        <v>3633220</v>
      </c>
    </row>
    <row r="9" spans="2:7" x14ac:dyDescent="0.35">
      <c r="B9" s="70">
        <v>45828</v>
      </c>
      <c r="C9" s="28">
        <v>3633220.2006000006</v>
      </c>
      <c r="D9" s="71" t="s">
        <v>130</v>
      </c>
      <c r="E9" s="44" t="s">
        <v>112</v>
      </c>
      <c r="F9" s="45"/>
      <c r="G9" s="46">
        <f t="shared" ref="G9:G10" si="0">G8+F9-C9</f>
        <v>-0.20060000056400895</v>
      </c>
    </row>
    <row r="10" spans="2:7" x14ac:dyDescent="0.35">
      <c r="B10" s="70">
        <v>45838</v>
      </c>
      <c r="C10" s="28"/>
      <c r="D10" s="71"/>
      <c r="E10" s="44"/>
      <c r="F10" s="45"/>
      <c r="G10" s="46">
        <f t="shared" si="0"/>
        <v>-0.20060000056400895</v>
      </c>
    </row>
    <row r="11" spans="2:7" ht="29" x14ac:dyDescent="0.35">
      <c r="B11" s="70">
        <v>45856</v>
      </c>
      <c r="C11" s="28"/>
      <c r="D11" s="71"/>
      <c r="E11" s="44" t="s">
        <v>1429</v>
      </c>
      <c r="F11" s="45">
        <v>100000</v>
      </c>
      <c r="G11" s="46">
        <f t="shared" ref="G11" si="1">G10+F11-C11</f>
        <v>99999.799399999436</v>
      </c>
    </row>
    <row r="12" spans="2:7" x14ac:dyDescent="0.35">
      <c r="B12" s="70">
        <v>45867</v>
      </c>
      <c r="C12" s="28">
        <v>63385.809258082198</v>
      </c>
      <c r="D12" s="71" t="s">
        <v>1461</v>
      </c>
      <c r="E12" s="44" t="s">
        <v>112</v>
      </c>
      <c r="F12" s="45"/>
      <c r="G12" s="46">
        <f t="shared" ref="G12" si="2">G11+F12-C12</f>
        <v>36613.990141917238</v>
      </c>
    </row>
    <row r="13" spans="2:7" x14ac:dyDescent="0.35">
      <c r="B13" s="70">
        <v>45869</v>
      </c>
      <c r="C13" s="28"/>
      <c r="D13" s="71"/>
      <c r="E13" s="44"/>
      <c r="F13" s="45"/>
      <c r="G13" s="46">
        <f t="shared" ref="G13" si="3">G12+F13-C13</f>
        <v>36613.990141917238</v>
      </c>
    </row>
    <row r="14" spans="2:7" x14ac:dyDescent="0.35">
      <c r="B14" s="70">
        <v>45876</v>
      </c>
      <c r="C14" s="28">
        <v>29815.159055342465</v>
      </c>
      <c r="D14" s="71" t="s">
        <v>1478</v>
      </c>
      <c r="E14" s="44" t="s">
        <v>112</v>
      </c>
      <c r="F14" s="45"/>
      <c r="G14" s="46">
        <f t="shared" ref="G14:G15" si="4">G13+F14-C14</f>
        <v>6798.8310865747735</v>
      </c>
    </row>
    <row r="15" spans="2:7" x14ac:dyDescent="0.35">
      <c r="B15" s="70">
        <v>45889</v>
      </c>
      <c r="C15" s="28">
        <v>0</v>
      </c>
      <c r="D15" s="71" t="s">
        <v>1479</v>
      </c>
      <c r="E15" s="44" t="s">
        <v>112</v>
      </c>
      <c r="F15" s="45"/>
      <c r="G15" s="46">
        <f t="shared" si="4"/>
        <v>6798.8310865747735</v>
      </c>
    </row>
    <row r="16" spans="2:7" x14ac:dyDescent="0.35">
      <c r="B16" s="70">
        <v>45900</v>
      </c>
      <c r="C16" s="28">
        <v>0</v>
      </c>
      <c r="D16" s="71" t="s">
        <v>1482</v>
      </c>
      <c r="E16" s="44" t="s">
        <v>112</v>
      </c>
      <c r="F16" s="45"/>
      <c r="G16" s="46">
        <f t="shared" ref="G16" si="5">G15+F16-C16</f>
        <v>6798.8310865747735</v>
      </c>
    </row>
    <row r="17" spans="2:8" x14ac:dyDescent="0.35">
      <c r="B17" s="70">
        <v>45900</v>
      </c>
      <c r="C17" s="28"/>
      <c r="D17" s="71"/>
      <c r="E17" s="44"/>
      <c r="F17" s="45"/>
      <c r="G17" s="46">
        <f t="shared" ref="G17:G19" si="6">G16+F17-C17</f>
        <v>6798.8310865747735</v>
      </c>
    </row>
    <row r="18" spans="2:8" x14ac:dyDescent="0.35">
      <c r="B18" s="70">
        <v>45911</v>
      </c>
      <c r="C18" s="28">
        <v>0</v>
      </c>
      <c r="D18" s="71" t="s">
        <v>1499</v>
      </c>
      <c r="E18" s="44" t="s">
        <v>112</v>
      </c>
      <c r="F18" s="45"/>
      <c r="G18" s="46">
        <f t="shared" si="6"/>
        <v>6798.8310865747735</v>
      </c>
    </row>
    <row r="19" spans="2:8" x14ac:dyDescent="0.35">
      <c r="B19" s="70">
        <v>45911</v>
      </c>
      <c r="C19" s="28">
        <v>-3971.9462416438241</v>
      </c>
      <c r="D19" s="71" t="s">
        <v>1523</v>
      </c>
      <c r="E19" s="44" t="s">
        <v>112</v>
      </c>
      <c r="F19" s="45"/>
      <c r="G19" s="46">
        <f t="shared" si="6"/>
        <v>10770.777328218597</v>
      </c>
    </row>
    <row r="20" spans="2:8" ht="29" x14ac:dyDescent="0.35">
      <c r="B20" s="70">
        <v>45913</v>
      </c>
      <c r="C20" s="28"/>
      <c r="D20" s="71"/>
      <c r="E20" s="44" t="s">
        <v>1524</v>
      </c>
      <c r="F20" s="45">
        <v>100000</v>
      </c>
      <c r="G20" s="46">
        <f t="shared" ref="G20" si="7">G19+F20-C20</f>
        <v>110770.7773282186</v>
      </c>
    </row>
    <row r="21" spans="2:8" x14ac:dyDescent="0.35">
      <c r="B21" s="70">
        <v>45918</v>
      </c>
      <c r="C21" s="28">
        <v>2929.5406750684933</v>
      </c>
      <c r="D21" s="71" t="s">
        <v>1527</v>
      </c>
      <c r="E21" s="44" t="s">
        <v>112</v>
      </c>
      <c r="F21" s="45"/>
      <c r="G21" s="46">
        <f t="shared" ref="G21" si="8">G20+F21-C21</f>
        <v>107841.2366531501</v>
      </c>
    </row>
    <row r="22" spans="2:8" x14ac:dyDescent="0.35">
      <c r="B22" s="70">
        <v>45925</v>
      </c>
      <c r="C22" s="28">
        <v>6445.6585742465759</v>
      </c>
      <c r="D22" s="71" t="s">
        <v>1530</v>
      </c>
      <c r="E22" s="44" t="s">
        <v>112</v>
      </c>
      <c r="F22" s="45"/>
      <c r="G22" s="46">
        <f t="shared" ref="G22" si="9">G21+F22-C22</f>
        <v>101395.57807890352</v>
      </c>
    </row>
    <row r="23" spans="2:8" x14ac:dyDescent="0.35">
      <c r="B23" s="70">
        <v>45930</v>
      </c>
      <c r="C23" s="28"/>
      <c r="D23" s="71"/>
      <c r="E23" s="44"/>
      <c r="F23" s="45"/>
      <c r="G23" s="46">
        <f t="shared" ref="G23" si="10">G22+F23-C23</f>
        <v>101395.57807890352</v>
      </c>
    </row>
    <row r="24" spans="2:8" x14ac:dyDescent="0.35">
      <c r="B24" s="70">
        <v>45961</v>
      </c>
      <c r="C24" s="28">
        <v>62537.947931506831</v>
      </c>
      <c r="D24" s="71" t="s">
        <v>1547</v>
      </c>
      <c r="E24" s="44" t="s">
        <v>112</v>
      </c>
      <c r="F24" s="45"/>
      <c r="G24" s="46">
        <f t="shared" ref="G24" si="11">G23+F24-C24</f>
        <v>38857.630147396689</v>
      </c>
    </row>
    <row r="25" spans="2:8" x14ac:dyDescent="0.35">
      <c r="B25" s="70">
        <v>45983</v>
      </c>
      <c r="C25" s="28">
        <v>3766.0510158904108</v>
      </c>
      <c r="D25" s="71" t="s">
        <v>1550</v>
      </c>
      <c r="E25" s="44" t="s">
        <v>112</v>
      </c>
      <c r="F25" s="45"/>
      <c r="G25" s="46">
        <f t="shared" ref="G25:G31" si="12">G24+F25-C25</f>
        <v>35091.579131506282</v>
      </c>
    </row>
    <row r="26" spans="2:8" x14ac:dyDescent="0.35">
      <c r="B26" s="70">
        <v>45991</v>
      </c>
      <c r="C26" s="28"/>
      <c r="D26" s="71"/>
      <c r="E26" s="44"/>
      <c r="F26" s="45"/>
      <c r="G26" s="46">
        <f t="shared" si="12"/>
        <v>35091.579131506282</v>
      </c>
      <c r="H26" s="56"/>
    </row>
    <row r="27" spans="2:8" x14ac:dyDescent="0.35">
      <c r="B27" s="70">
        <v>46001</v>
      </c>
      <c r="C27" s="28">
        <v>5324.5414794520575</v>
      </c>
      <c r="D27" s="71" t="s">
        <v>1569</v>
      </c>
      <c r="E27" s="44" t="s">
        <v>112</v>
      </c>
      <c r="F27" s="45"/>
      <c r="G27" s="46">
        <f t="shared" si="12"/>
        <v>29767.037652054223</v>
      </c>
      <c r="H27" s="56"/>
    </row>
    <row r="28" spans="2:8" x14ac:dyDescent="0.35">
      <c r="B28" s="70">
        <v>46022</v>
      </c>
      <c r="C28" s="28"/>
      <c r="D28" s="71"/>
      <c r="E28" s="44"/>
      <c r="F28" s="45"/>
      <c r="G28" s="46">
        <f t="shared" si="12"/>
        <v>29767.037652054223</v>
      </c>
    </row>
    <row r="29" spans="2:8" x14ac:dyDescent="0.35">
      <c r="B29" s="70">
        <v>46053</v>
      </c>
      <c r="C29" s="28"/>
      <c r="D29" s="71"/>
      <c r="E29" s="44"/>
      <c r="F29" s="45"/>
      <c r="G29" s="46">
        <f t="shared" si="12"/>
        <v>29767.037652054223</v>
      </c>
    </row>
    <row r="30" spans="2:8" x14ac:dyDescent="0.35">
      <c r="B30" s="70">
        <v>46062</v>
      </c>
      <c r="C30" s="28">
        <v>17183.32882082192</v>
      </c>
      <c r="D30" s="71" t="s">
        <v>1631</v>
      </c>
      <c r="E30" s="44" t="s">
        <v>112</v>
      </c>
      <c r="F30" s="45"/>
      <c r="G30" s="46">
        <f t="shared" si="12"/>
        <v>12583.708831232303</v>
      </c>
    </row>
    <row r="31" spans="2:8" x14ac:dyDescent="0.35">
      <c r="B31" s="70">
        <v>46081</v>
      </c>
      <c r="C31" s="28"/>
      <c r="D31" s="71"/>
      <c r="E31" s="44"/>
      <c r="F31" s="45"/>
      <c r="G31" s="46">
        <f t="shared" si="12"/>
        <v>12583.708831232303</v>
      </c>
      <c r="H31" s="56">
        <f>SuM!C8+SuM!C14-SUM(C8:C36)</f>
        <v>0</v>
      </c>
    </row>
  </sheetData>
  <conditionalFormatting sqref="D1:D1048576">
    <cfRule type="duplicateValues" dxfId="2" priority="1"/>
    <cfRule type="duplicateValues" dxfId="1" priority="3"/>
  </conditionalFormatting>
  <conditionalFormatting sqref="G8:G31">
    <cfRule type="cellIs" dxfId="0" priority="2" operator="lessThan">
      <formula>0</formula>
    </cfRule>
  </conditionalFormatting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4:E11"/>
  <sheetViews>
    <sheetView showGridLines="0" workbookViewId="0"/>
  </sheetViews>
  <sheetFormatPr defaultColWidth="14.453125" defaultRowHeight="13" x14ac:dyDescent="0.3"/>
  <cols>
    <col min="1" max="1" width="11.26953125" style="47" bestFit="1" customWidth="1"/>
    <col min="2" max="16384" width="14.453125" style="47"/>
  </cols>
  <sheetData>
    <row r="4" spans="2:5" ht="13.5" thickBot="1" x14ac:dyDescent="0.35">
      <c r="B4" s="77"/>
      <c r="C4" s="78" t="s">
        <v>1424</v>
      </c>
      <c r="D4" s="79">
        <v>300000</v>
      </c>
      <c r="E4" s="47">
        <v>1000000</v>
      </c>
    </row>
    <row r="5" spans="2:5" x14ac:dyDescent="0.3">
      <c r="B5" s="77">
        <v>0</v>
      </c>
      <c r="C5" s="80" t="s">
        <v>1425</v>
      </c>
      <c r="D5" s="81">
        <v>3283.23</v>
      </c>
      <c r="E5" s="47">
        <v>5393.16</v>
      </c>
    </row>
    <row r="6" spans="2:5" x14ac:dyDescent="0.3">
      <c r="B6" s="77">
        <v>36</v>
      </c>
      <c r="C6" s="80" t="s">
        <v>117</v>
      </c>
      <c r="D6" s="81">
        <v>4251.97</v>
      </c>
      <c r="E6" s="47">
        <v>7639.02</v>
      </c>
    </row>
    <row r="7" spans="2:5" x14ac:dyDescent="0.3">
      <c r="B7" s="77">
        <v>46</v>
      </c>
      <c r="C7" s="80" t="s">
        <v>118</v>
      </c>
      <c r="D7" s="81">
        <v>8124.57</v>
      </c>
      <c r="E7" s="47">
        <v>14753.81</v>
      </c>
    </row>
    <row r="8" spans="2:5" x14ac:dyDescent="0.3">
      <c r="B8" s="77">
        <v>56</v>
      </c>
      <c r="C8" s="80" t="s">
        <v>1426</v>
      </c>
      <c r="D8" s="81">
        <v>14246.99</v>
      </c>
      <c r="E8" s="47">
        <v>26014.05</v>
      </c>
    </row>
    <row r="9" spans="2:5" x14ac:dyDescent="0.3">
      <c r="B9" s="77">
        <v>66</v>
      </c>
      <c r="C9" s="80" t="s">
        <v>119</v>
      </c>
      <c r="D9" s="81">
        <v>29312.240000000002</v>
      </c>
      <c r="E9" s="47">
        <v>54664.73</v>
      </c>
    </row>
    <row r="10" spans="2:5" x14ac:dyDescent="0.3">
      <c r="B10" s="77">
        <v>71</v>
      </c>
      <c r="C10" s="80" t="s">
        <v>120</v>
      </c>
      <c r="D10" s="81">
        <v>30115.02</v>
      </c>
      <c r="E10" s="47">
        <v>56645.56</v>
      </c>
    </row>
    <row r="11" spans="2:5" x14ac:dyDescent="0.3">
      <c r="B11" s="77">
        <v>76</v>
      </c>
      <c r="C11" s="80" t="s">
        <v>1427</v>
      </c>
      <c r="D11" s="81">
        <v>30993.25</v>
      </c>
      <c r="E11" s="47">
        <v>59709.69</v>
      </c>
    </row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3385-62C8-41D8-A50B-B5F582817804}">
  <sheetPr codeName="Sheet6"/>
  <dimension ref="A2:K729"/>
  <sheetViews>
    <sheetView topLeftCell="G1" workbookViewId="0">
      <selection activeCell="K4" sqref="K4"/>
    </sheetView>
  </sheetViews>
  <sheetFormatPr defaultRowHeight="12.5" x14ac:dyDescent="0.25"/>
  <cols>
    <col min="1" max="1" width="11.08984375" bestFit="1" customWidth="1"/>
    <col min="2" max="2" width="21.7265625" bestFit="1" customWidth="1"/>
    <col min="3" max="3" width="34.36328125" bestFit="1" customWidth="1"/>
    <col min="4" max="4" width="9.81640625" customWidth="1"/>
    <col min="5" max="5" width="22.7265625" bestFit="1" customWidth="1"/>
    <col min="6" max="6" width="27.54296875" bestFit="1" customWidth="1"/>
    <col min="7" max="7" width="13.7265625" bestFit="1" customWidth="1"/>
    <col min="8" max="8" width="27.6328125" bestFit="1" customWidth="1"/>
    <col min="9" max="9" width="12.36328125" bestFit="1" customWidth="1"/>
    <col min="10" max="10" width="32.08984375" bestFit="1" customWidth="1"/>
  </cols>
  <sheetData>
    <row r="2" spans="1:11" x14ac:dyDescent="0.25">
      <c r="D2" t="s">
        <v>53</v>
      </c>
    </row>
    <row r="3" spans="1:11" x14ac:dyDescent="0.25">
      <c r="F3" s="74"/>
    </row>
    <row r="4" spans="1:11" x14ac:dyDescent="0.25">
      <c r="A4" s="52" t="s">
        <v>1460</v>
      </c>
      <c r="B4" t="s">
        <v>59</v>
      </c>
      <c r="C4" t="s">
        <v>60</v>
      </c>
      <c r="D4" t="s">
        <v>98</v>
      </c>
      <c r="E4" s="52" t="s">
        <v>62</v>
      </c>
      <c r="F4" s="52" t="s">
        <v>93</v>
      </c>
      <c r="G4" s="52" t="s">
        <v>42</v>
      </c>
      <c r="H4" t="s">
        <v>107</v>
      </c>
      <c r="I4" t="s">
        <v>109</v>
      </c>
      <c r="J4" t="s">
        <v>60</v>
      </c>
      <c r="K4" t="s">
        <v>1498</v>
      </c>
    </row>
    <row r="5" spans="1:11" x14ac:dyDescent="0.25">
      <c r="A5" s="53">
        <v>1001</v>
      </c>
      <c r="B5" s="84">
        <v>1</v>
      </c>
      <c r="C5" s="84">
        <v>2</v>
      </c>
      <c r="E5" t="s">
        <v>779</v>
      </c>
      <c r="F5" t="s">
        <v>96</v>
      </c>
      <c r="G5" t="s">
        <v>56</v>
      </c>
      <c r="H5" s="73">
        <v>1000000</v>
      </c>
      <c r="I5" s="75">
        <v>54664.73000000001</v>
      </c>
      <c r="J5" s="75">
        <v>1</v>
      </c>
    </row>
    <row r="6" spans="1:11" x14ac:dyDescent="0.25">
      <c r="A6" s="53">
        <v>1002</v>
      </c>
      <c r="B6" s="84">
        <v>1</v>
      </c>
      <c r="C6" s="84">
        <v>1</v>
      </c>
      <c r="E6" t="s">
        <v>780</v>
      </c>
      <c r="F6" t="s">
        <v>97</v>
      </c>
      <c r="G6" t="s">
        <v>115</v>
      </c>
      <c r="H6" s="73">
        <v>0</v>
      </c>
      <c r="I6" s="75">
        <v>26014.05</v>
      </c>
      <c r="J6" s="75">
        <v>1</v>
      </c>
    </row>
    <row r="7" spans="1:11" x14ac:dyDescent="0.25">
      <c r="A7" s="53">
        <v>1004</v>
      </c>
      <c r="B7" s="84">
        <v>1</v>
      </c>
      <c r="C7" s="84">
        <v>4</v>
      </c>
      <c r="E7" t="s">
        <v>781</v>
      </c>
      <c r="F7" t="s">
        <v>96</v>
      </c>
      <c r="G7" t="s">
        <v>56</v>
      </c>
      <c r="H7" s="73">
        <v>1000000</v>
      </c>
      <c r="I7" s="75">
        <v>54664.73000000001</v>
      </c>
      <c r="J7" s="75">
        <v>1</v>
      </c>
    </row>
    <row r="8" spans="1:11" x14ac:dyDescent="0.25">
      <c r="A8" s="53">
        <v>1005</v>
      </c>
      <c r="B8" s="84">
        <v>1</v>
      </c>
      <c r="C8" s="84">
        <v>4</v>
      </c>
      <c r="E8" t="s">
        <v>782</v>
      </c>
      <c r="F8" t="s">
        <v>96</v>
      </c>
      <c r="G8" t="s">
        <v>56</v>
      </c>
      <c r="H8" s="73">
        <v>300000</v>
      </c>
      <c r="I8" s="75">
        <v>8124.57</v>
      </c>
      <c r="J8" s="75">
        <v>1</v>
      </c>
    </row>
    <row r="9" spans="1:11" x14ac:dyDescent="0.25">
      <c r="A9" s="53">
        <v>1006</v>
      </c>
      <c r="B9" s="84">
        <v>1</v>
      </c>
      <c r="C9" s="84">
        <v>3</v>
      </c>
      <c r="E9" t="s">
        <v>783</v>
      </c>
      <c r="F9" t="s">
        <v>96</v>
      </c>
      <c r="G9" t="s">
        <v>114</v>
      </c>
      <c r="H9" s="73">
        <v>0</v>
      </c>
      <c r="I9" s="75">
        <v>3283.23</v>
      </c>
      <c r="J9" s="75">
        <v>1</v>
      </c>
    </row>
    <row r="10" spans="1:11" x14ac:dyDescent="0.25">
      <c r="A10" s="53">
        <v>1007</v>
      </c>
      <c r="B10" s="84">
        <v>1</v>
      </c>
      <c r="C10" s="84">
        <v>4</v>
      </c>
      <c r="E10" t="s">
        <v>784</v>
      </c>
      <c r="F10" t="s">
        <v>96</v>
      </c>
      <c r="G10" t="s">
        <v>114</v>
      </c>
      <c r="H10" s="73">
        <v>0</v>
      </c>
      <c r="I10" s="75">
        <v>3283.23</v>
      </c>
      <c r="J10" s="75">
        <v>1</v>
      </c>
    </row>
    <row r="11" spans="1:11" x14ac:dyDescent="0.25">
      <c r="A11" s="53">
        <v>1008</v>
      </c>
      <c r="B11" s="84">
        <v>1</v>
      </c>
      <c r="C11" s="84">
        <v>3</v>
      </c>
      <c r="E11" t="s">
        <v>785</v>
      </c>
      <c r="F11" t="s">
        <v>97</v>
      </c>
      <c r="G11" t="s">
        <v>115</v>
      </c>
      <c r="H11" s="73">
        <v>0</v>
      </c>
      <c r="I11" s="75">
        <v>4251.97</v>
      </c>
      <c r="J11" s="75">
        <v>1</v>
      </c>
    </row>
    <row r="12" spans="1:11" x14ac:dyDescent="0.25">
      <c r="A12" s="53">
        <v>1016</v>
      </c>
      <c r="B12" s="84">
        <v>1</v>
      </c>
      <c r="C12" s="84">
        <v>3</v>
      </c>
      <c r="E12" t="s">
        <v>786</v>
      </c>
      <c r="F12" t="s">
        <v>96</v>
      </c>
      <c r="G12" t="s">
        <v>56</v>
      </c>
      <c r="H12" s="73">
        <v>300000</v>
      </c>
      <c r="I12" s="75">
        <v>8124.57</v>
      </c>
      <c r="J12" s="75">
        <v>1</v>
      </c>
    </row>
    <row r="13" spans="1:11" x14ac:dyDescent="0.25">
      <c r="A13" s="53">
        <v>1017</v>
      </c>
      <c r="B13" s="84">
        <v>1</v>
      </c>
      <c r="C13" s="84">
        <v>2</v>
      </c>
      <c r="E13" t="s">
        <v>787</v>
      </c>
      <c r="F13" t="s">
        <v>97</v>
      </c>
      <c r="G13" t="s">
        <v>115</v>
      </c>
      <c r="H13" s="73">
        <v>0</v>
      </c>
      <c r="I13" s="75">
        <v>4251.97</v>
      </c>
      <c r="J13" s="75">
        <v>1</v>
      </c>
    </row>
    <row r="14" spans="1:11" x14ac:dyDescent="0.25">
      <c r="A14" s="53">
        <v>1019</v>
      </c>
      <c r="B14" s="84">
        <v>1</v>
      </c>
      <c r="C14" s="84">
        <v>4</v>
      </c>
      <c r="E14" t="s">
        <v>788</v>
      </c>
      <c r="F14" t="s">
        <v>97</v>
      </c>
      <c r="G14" t="s">
        <v>113</v>
      </c>
      <c r="H14" s="73">
        <v>0</v>
      </c>
      <c r="I14" s="75">
        <v>3283.23</v>
      </c>
      <c r="J14" s="75">
        <v>1</v>
      </c>
    </row>
    <row r="15" spans="1:11" x14ac:dyDescent="0.25">
      <c r="A15" s="53">
        <v>1022</v>
      </c>
      <c r="B15" s="84">
        <v>1</v>
      </c>
      <c r="C15" s="84">
        <v>2</v>
      </c>
      <c r="E15" t="s">
        <v>789</v>
      </c>
      <c r="F15" t="s">
        <v>96</v>
      </c>
      <c r="G15" t="s">
        <v>114</v>
      </c>
      <c r="H15" s="73">
        <v>0</v>
      </c>
      <c r="I15" s="75">
        <v>3283.23</v>
      </c>
      <c r="J15" s="75">
        <v>1</v>
      </c>
    </row>
    <row r="16" spans="1:11" x14ac:dyDescent="0.25">
      <c r="A16" s="53">
        <v>1023</v>
      </c>
      <c r="B16" s="84">
        <v>1</v>
      </c>
      <c r="C16" s="84">
        <v>3</v>
      </c>
      <c r="E16" t="s">
        <v>790</v>
      </c>
      <c r="F16" t="s">
        <v>97</v>
      </c>
      <c r="G16" t="s">
        <v>56</v>
      </c>
      <c r="H16" s="73">
        <v>300000</v>
      </c>
      <c r="I16" s="75">
        <v>14246.99</v>
      </c>
      <c r="J16" s="75">
        <v>1</v>
      </c>
    </row>
    <row r="17" spans="1:10" x14ac:dyDescent="0.25">
      <c r="A17" s="53">
        <v>1024</v>
      </c>
      <c r="B17" s="84">
        <v>1</v>
      </c>
      <c r="C17" s="84">
        <v>4</v>
      </c>
      <c r="E17" t="s">
        <v>791</v>
      </c>
      <c r="F17" t="s">
        <v>96</v>
      </c>
      <c r="G17" t="s">
        <v>115</v>
      </c>
      <c r="H17" s="73">
        <v>0</v>
      </c>
      <c r="I17" s="75">
        <v>14246.99</v>
      </c>
      <c r="J17" s="75">
        <v>1</v>
      </c>
    </row>
    <row r="18" spans="1:10" x14ac:dyDescent="0.25">
      <c r="A18" s="53">
        <v>1026</v>
      </c>
      <c r="B18" s="84">
        <v>1</v>
      </c>
      <c r="C18" s="84">
        <v>4</v>
      </c>
      <c r="E18" t="s">
        <v>792</v>
      </c>
      <c r="F18" t="s">
        <v>96</v>
      </c>
      <c r="G18" t="s">
        <v>114</v>
      </c>
      <c r="H18" s="73">
        <v>0</v>
      </c>
      <c r="I18" s="75">
        <v>3283.23</v>
      </c>
      <c r="J18" s="75">
        <v>1</v>
      </c>
    </row>
    <row r="19" spans="1:10" x14ac:dyDescent="0.25">
      <c r="A19" s="53">
        <v>1027</v>
      </c>
      <c r="B19" s="84">
        <v>1</v>
      </c>
      <c r="C19" s="84">
        <v>4</v>
      </c>
      <c r="E19" t="s">
        <v>793</v>
      </c>
      <c r="F19" t="s">
        <v>96</v>
      </c>
      <c r="G19" t="s">
        <v>56</v>
      </c>
      <c r="H19" s="73">
        <v>300000</v>
      </c>
      <c r="I19" s="75">
        <v>8124.57</v>
      </c>
      <c r="J19" s="75">
        <v>1</v>
      </c>
    </row>
    <row r="20" spans="1:10" x14ac:dyDescent="0.25">
      <c r="A20" s="53">
        <v>1028</v>
      </c>
      <c r="B20" s="84">
        <v>1</v>
      </c>
      <c r="C20" s="84">
        <v>2</v>
      </c>
      <c r="E20" t="s">
        <v>794</v>
      </c>
      <c r="F20" t="s">
        <v>97</v>
      </c>
      <c r="G20" t="s">
        <v>113</v>
      </c>
      <c r="H20" s="73">
        <v>0</v>
      </c>
      <c r="I20" s="75">
        <v>3283.23</v>
      </c>
      <c r="J20" s="75">
        <v>1</v>
      </c>
    </row>
    <row r="21" spans="1:10" x14ac:dyDescent="0.25">
      <c r="A21" s="53">
        <v>1032</v>
      </c>
      <c r="B21" s="84">
        <v>1</v>
      </c>
      <c r="C21" s="84">
        <v>2</v>
      </c>
      <c r="E21" t="s">
        <v>795</v>
      </c>
      <c r="F21" t="s">
        <v>97</v>
      </c>
      <c r="G21" t="s">
        <v>115</v>
      </c>
      <c r="H21" s="73">
        <v>0</v>
      </c>
      <c r="I21" s="75">
        <v>4251.97</v>
      </c>
      <c r="J21" s="75">
        <v>1</v>
      </c>
    </row>
    <row r="22" spans="1:10" x14ac:dyDescent="0.25">
      <c r="A22" s="53">
        <v>1033</v>
      </c>
      <c r="B22" s="84">
        <v>1</v>
      </c>
      <c r="C22" s="84">
        <v>1</v>
      </c>
      <c r="E22" t="s">
        <v>796</v>
      </c>
      <c r="H22" s="73">
        <v>0</v>
      </c>
      <c r="I22" s="75">
        <v>3283.23</v>
      </c>
      <c r="J22" s="75">
        <v>1</v>
      </c>
    </row>
    <row r="23" spans="1:10" x14ac:dyDescent="0.25">
      <c r="A23" s="53">
        <v>1035</v>
      </c>
      <c r="B23" s="84">
        <v>1</v>
      </c>
      <c r="C23" s="84">
        <v>3</v>
      </c>
      <c r="E23" t="s">
        <v>797</v>
      </c>
      <c r="F23" t="s">
        <v>96</v>
      </c>
      <c r="G23" t="s">
        <v>56</v>
      </c>
      <c r="H23" s="73">
        <v>300000</v>
      </c>
      <c r="I23" s="75">
        <v>8124.57</v>
      </c>
      <c r="J23" s="75">
        <v>1</v>
      </c>
    </row>
    <row r="24" spans="1:10" x14ac:dyDescent="0.25">
      <c r="A24" s="53">
        <v>1036</v>
      </c>
      <c r="B24" s="84">
        <v>1</v>
      </c>
      <c r="C24" s="84">
        <v>3</v>
      </c>
      <c r="E24" t="s">
        <v>798</v>
      </c>
      <c r="F24" t="s">
        <v>97</v>
      </c>
      <c r="G24" t="s">
        <v>115</v>
      </c>
      <c r="H24" s="73">
        <v>0</v>
      </c>
      <c r="I24" s="75">
        <v>8124.57</v>
      </c>
      <c r="J24" s="75">
        <v>1</v>
      </c>
    </row>
    <row r="25" spans="1:10" x14ac:dyDescent="0.25">
      <c r="A25" s="53">
        <v>1044</v>
      </c>
      <c r="B25" s="84">
        <v>1</v>
      </c>
      <c r="C25" s="84">
        <v>3</v>
      </c>
      <c r="E25" t="s">
        <v>799</v>
      </c>
      <c r="F25" t="s">
        <v>97</v>
      </c>
      <c r="G25" t="s">
        <v>113</v>
      </c>
      <c r="H25" s="73">
        <v>0</v>
      </c>
      <c r="I25" s="75">
        <v>3283.23</v>
      </c>
      <c r="J25" s="75">
        <v>1</v>
      </c>
    </row>
    <row r="26" spans="1:10" x14ac:dyDescent="0.25">
      <c r="A26" s="53">
        <v>1047</v>
      </c>
      <c r="B26" s="84">
        <v>1</v>
      </c>
      <c r="C26" s="84">
        <v>4</v>
      </c>
      <c r="E26" t="s">
        <v>800</v>
      </c>
      <c r="F26" t="s">
        <v>96</v>
      </c>
      <c r="G26" t="s">
        <v>56</v>
      </c>
      <c r="H26" s="73">
        <v>300000</v>
      </c>
      <c r="I26" s="75">
        <v>8124.57</v>
      </c>
      <c r="J26" s="75">
        <v>1</v>
      </c>
    </row>
    <row r="27" spans="1:10" x14ac:dyDescent="0.25">
      <c r="A27" s="53">
        <v>1049</v>
      </c>
      <c r="B27" s="84">
        <v>1</v>
      </c>
      <c r="C27" s="84">
        <v>4</v>
      </c>
      <c r="E27" t="s">
        <v>801</v>
      </c>
      <c r="F27" t="s">
        <v>97</v>
      </c>
      <c r="G27" t="s">
        <v>115</v>
      </c>
      <c r="H27" s="73">
        <v>0</v>
      </c>
      <c r="I27" s="75">
        <v>8124.57</v>
      </c>
      <c r="J27" s="75">
        <v>1</v>
      </c>
    </row>
    <row r="28" spans="1:10" x14ac:dyDescent="0.25">
      <c r="A28" s="53">
        <v>1055</v>
      </c>
      <c r="B28" s="84">
        <v>1</v>
      </c>
      <c r="C28" s="84">
        <v>4</v>
      </c>
      <c r="E28" t="s">
        <v>802</v>
      </c>
      <c r="F28" t="s">
        <v>96</v>
      </c>
      <c r="G28" t="s">
        <v>114</v>
      </c>
      <c r="H28" s="73">
        <v>0</v>
      </c>
      <c r="I28" s="75">
        <v>3283.23</v>
      </c>
      <c r="J28" s="75">
        <v>1</v>
      </c>
    </row>
    <row r="29" spans="1:10" x14ac:dyDescent="0.25">
      <c r="A29" s="53">
        <v>1056</v>
      </c>
      <c r="B29" s="84">
        <v>1</v>
      </c>
      <c r="C29" s="84">
        <v>3</v>
      </c>
      <c r="E29" t="s">
        <v>803</v>
      </c>
      <c r="F29" t="s">
        <v>96</v>
      </c>
      <c r="G29" t="s">
        <v>56</v>
      </c>
      <c r="H29" s="73">
        <v>300000</v>
      </c>
      <c r="I29" s="75">
        <v>8124.57</v>
      </c>
      <c r="J29" s="75">
        <v>1</v>
      </c>
    </row>
    <row r="30" spans="1:10" x14ac:dyDescent="0.25">
      <c r="A30" s="53">
        <v>1057</v>
      </c>
      <c r="B30" s="84">
        <v>1</v>
      </c>
      <c r="C30" s="84">
        <v>4</v>
      </c>
      <c r="E30" t="s">
        <v>804</v>
      </c>
      <c r="F30" t="s">
        <v>97</v>
      </c>
      <c r="G30" t="s">
        <v>115</v>
      </c>
      <c r="H30" s="73">
        <v>0</v>
      </c>
      <c r="I30" s="75">
        <v>8124.57</v>
      </c>
      <c r="J30" s="75">
        <v>1</v>
      </c>
    </row>
    <row r="31" spans="1:10" x14ac:dyDescent="0.25">
      <c r="A31" s="53">
        <v>1059</v>
      </c>
      <c r="B31" s="84">
        <v>1</v>
      </c>
      <c r="C31" s="84">
        <v>4</v>
      </c>
      <c r="E31" t="s">
        <v>805</v>
      </c>
      <c r="F31" t="s">
        <v>96</v>
      </c>
      <c r="G31" t="s">
        <v>56</v>
      </c>
      <c r="H31" s="73">
        <v>300000</v>
      </c>
      <c r="I31" s="75">
        <v>8124.57</v>
      </c>
      <c r="J31" s="75">
        <v>1</v>
      </c>
    </row>
    <row r="32" spans="1:10" x14ac:dyDescent="0.25">
      <c r="A32" s="53">
        <v>1060</v>
      </c>
      <c r="B32" s="84">
        <v>1</v>
      </c>
      <c r="C32" s="84">
        <v>4</v>
      </c>
      <c r="E32" t="s">
        <v>806</v>
      </c>
      <c r="F32" t="s">
        <v>97</v>
      </c>
      <c r="G32" t="s">
        <v>113</v>
      </c>
      <c r="H32" s="73">
        <v>0</v>
      </c>
      <c r="I32" s="75">
        <v>3283.23</v>
      </c>
      <c r="J32" s="75">
        <v>1</v>
      </c>
    </row>
    <row r="33" spans="1:10" x14ac:dyDescent="0.25">
      <c r="A33" s="53">
        <v>1061</v>
      </c>
      <c r="B33" s="84">
        <v>1</v>
      </c>
      <c r="C33" s="84">
        <v>4</v>
      </c>
      <c r="E33" t="s">
        <v>807</v>
      </c>
      <c r="F33" t="s">
        <v>97</v>
      </c>
      <c r="G33" t="s">
        <v>113</v>
      </c>
      <c r="H33" s="73">
        <v>0</v>
      </c>
      <c r="I33" s="75">
        <v>3283.23</v>
      </c>
      <c r="J33" s="75">
        <v>1</v>
      </c>
    </row>
    <row r="34" spans="1:10" x14ac:dyDescent="0.25">
      <c r="A34" s="53">
        <v>1062</v>
      </c>
      <c r="B34" s="84">
        <v>1</v>
      </c>
      <c r="C34" s="84">
        <v>3</v>
      </c>
      <c r="E34" t="s">
        <v>808</v>
      </c>
      <c r="F34" t="s">
        <v>97</v>
      </c>
      <c r="G34" t="s">
        <v>115</v>
      </c>
      <c r="H34" s="73">
        <v>0</v>
      </c>
      <c r="I34" s="75">
        <v>8124.57</v>
      </c>
      <c r="J34" s="75">
        <v>1</v>
      </c>
    </row>
    <row r="35" spans="1:10" x14ac:dyDescent="0.25">
      <c r="A35" s="53">
        <v>1063</v>
      </c>
      <c r="B35" s="84">
        <v>1</v>
      </c>
      <c r="C35" s="84">
        <v>3</v>
      </c>
      <c r="E35" t="s">
        <v>809</v>
      </c>
      <c r="F35" t="s">
        <v>96</v>
      </c>
      <c r="G35" t="s">
        <v>56</v>
      </c>
      <c r="H35" s="73">
        <v>300000</v>
      </c>
      <c r="I35" s="75">
        <v>14246.99</v>
      </c>
      <c r="J35" s="75">
        <v>1</v>
      </c>
    </row>
    <row r="36" spans="1:10" x14ac:dyDescent="0.25">
      <c r="A36" s="53">
        <v>1067</v>
      </c>
      <c r="B36" s="84">
        <v>1</v>
      </c>
      <c r="C36" s="84">
        <v>1</v>
      </c>
      <c r="E36" t="s">
        <v>810</v>
      </c>
      <c r="F36" t="s">
        <v>97</v>
      </c>
      <c r="G36" t="s">
        <v>115</v>
      </c>
      <c r="H36" s="73">
        <v>0</v>
      </c>
      <c r="I36" s="75">
        <v>8124.57</v>
      </c>
      <c r="J36" s="75">
        <v>1</v>
      </c>
    </row>
    <row r="37" spans="1:10" x14ac:dyDescent="0.25">
      <c r="A37" s="53">
        <v>1075</v>
      </c>
      <c r="B37" s="84">
        <v>1</v>
      </c>
      <c r="C37" s="84">
        <v>4</v>
      </c>
      <c r="E37" t="s">
        <v>811</v>
      </c>
      <c r="F37" t="s">
        <v>96</v>
      </c>
      <c r="G37" t="s">
        <v>56</v>
      </c>
      <c r="H37" s="73">
        <v>300000</v>
      </c>
      <c r="I37" s="75">
        <v>14246.99</v>
      </c>
      <c r="J37" s="75">
        <v>1</v>
      </c>
    </row>
    <row r="38" spans="1:10" x14ac:dyDescent="0.25">
      <c r="A38" s="53">
        <v>1076</v>
      </c>
      <c r="B38" s="84">
        <v>1</v>
      </c>
      <c r="C38" s="84">
        <v>2</v>
      </c>
      <c r="E38" t="s">
        <v>812</v>
      </c>
      <c r="F38" t="s">
        <v>97</v>
      </c>
      <c r="G38" t="s">
        <v>113</v>
      </c>
      <c r="H38" s="73">
        <v>0</v>
      </c>
      <c r="I38" s="75">
        <v>3283.23</v>
      </c>
      <c r="J38" s="75">
        <v>1</v>
      </c>
    </row>
    <row r="39" spans="1:10" x14ac:dyDescent="0.25">
      <c r="A39" s="53">
        <v>1080</v>
      </c>
      <c r="B39" s="84">
        <v>1</v>
      </c>
      <c r="C39" s="84">
        <v>3</v>
      </c>
      <c r="E39" t="s">
        <v>813</v>
      </c>
      <c r="F39" t="s">
        <v>97</v>
      </c>
      <c r="G39" t="s">
        <v>115</v>
      </c>
      <c r="H39" s="73">
        <v>0</v>
      </c>
      <c r="I39" s="75">
        <v>8124.57</v>
      </c>
      <c r="J39" s="75">
        <v>1</v>
      </c>
    </row>
    <row r="40" spans="1:10" x14ac:dyDescent="0.25">
      <c r="A40" s="53">
        <v>1085</v>
      </c>
      <c r="B40" s="84">
        <v>1</v>
      </c>
      <c r="C40" s="84">
        <v>4</v>
      </c>
      <c r="E40" t="s">
        <v>814</v>
      </c>
      <c r="F40" t="s">
        <v>96</v>
      </c>
      <c r="G40" t="s">
        <v>56</v>
      </c>
      <c r="H40" s="73">
        <v>300000</v>
      </c>
      <c r="I40" s="75">
        <v>8124.57</v>
      </c>
      <c r="J40" s="75">
        <v>1</v>
      </c>
    </row>
    <row r="41" spans="1:10" x14ac:dyDescent="0.25">
      <c r="A41" s="53">
        <v>1087</v>
      </c>
      <c r="B41" s="84">
        <v>1</v>
      </c>
      <c r="C41" s="84">
        <v>2</v>
      </c>
      <c r="E41" t="s">
        <v>815</v>
      </c>
      <c r="F41" t="s">
        <v>97</v>
      </c>
      <c r="G41" t="s">
        <v>115</v>
      </c>
      <c r="H41" s="73">
        <v>0</v>
      </c>
      <c r="I41" s="75">
        <v>8124.57</v>
      </c>
      <c r="J41" s="75">
        <v>1</v>
      </c>
    </row>
    <row r="42" spans="1:10" x14ac:dyDescent="0.25">
      <c r="A42" s="53">
        <v>1088</v>
      </c>
      <c r="B42" s="84">
        <v>1</v>
      </c>
      <c r="C42" s="84">
        <v>4</v>
      </c>
      <c r="E42" t="s">
        <v>816</v>
      </c>
      <c r="F42" t="s">
        <v>97</v>
      </c>
      <c r="G42" t="s">
        <v>113</v>
      </c>
      <c r="H42" s="73">
        <v>0</v>
      </c>
      <c r="I42" s="75">
        <v>3283.23</v>
      </c>
      <c r="J42" s="75">
        <v>1</v>
      </c>
    </row>
    <row r="43" spans="1:10" x14ac:dyDescent="0.25">
      <c r="A43" s="53">
        <v>1090</v>
      </c>
      <c r="B43" s="84">
        <v>1</v>
      </c>
      <c r="C43" s="84">
        <v>4</v>
      </c>
      <c r="E43" t="s">
        <v>817</v>
      </c>
      <c r="F43" t="s">
        <v>96</v>
      </c>
      <c r="G43" t="s">
        <v>114</v>
      </c>
      <c r="H43" s="73">
        <v>0</v>
      </c>
      <c r="I43" s="75">
        <v>3283.23</v>
      </c>
      <c r="J43" s="75">
        <v>1</v>
      </c>
    </row>
    <row r="44" spans="1:10" x14ac:dyDescent="0.25">
      <c r="A44" s="53">
        <v>1098</v>
      </c>
      <c r="B44" s="84">
        <v>1</v>
      </c>
      <c r="C44" s="84">
        <v>2</v>
      </c>
      <c r="E44" t="s">
        <v>818</v>
      </c>
      <c r="F44" t="s">
        <v>96</v>
      </c>
      <c r="G44" t="s">
        <v>56</v>
      </c>
      <c r="H44" s="73">
        <v>300000</v>
      </c>
      <c r="I44" s="75">
        <v>4251.97</v>
      </c>
      <c r="J44" s="75">
        <v>1</v>
      </c>
    </row>
    <row r="45" spans="1:10" x14ac:dyDescent="0.25">
      <c r="A45" s="53">
        <v>1099</v>
      </c>
      <c r="B45" s="84">
        <v>1</v>
      </c>
      <c r="C45" s="84">
        <v>3</v>
      </c>
      <c r="E45" t="s">
        <v>819</v>
      </c>
      <c r="F45" t="s">
        <v>97</v>
      </c>
      <c r="G45" t="s">
        <v>115</v>
      </c>
      <c r="H45" s="73">
        <v>0</v>
      </c>
      <c r="I45" s="75">
        <v>4251.97</v>
      </c>
      <c r="J45" s="75">
        <v>1</v>
      </c>
    </row>
    <row r="46" spans="1:10" x14ac:dyDescent="0.25">
      <c r="A46" s="53">
        <v>1103</v>
      </c>
      <c r="B46" s="84">
        <v>1</v>
      </c>
      <c r="C46" s="84">
        <v>4</v>
      </c>
      <c r="E46" t="s">
        <v>820</v>
      </c>
      <c r="F46" t="s">
        <v>97</v>
      </c>
      <c r="G46" t="s">
        <v>113</v>
      </c>
      <c r="H46" s="73">
        <v>0</v>
      </c>
      <c r="I46" s="75">
        <v>3283.23</v>
      </c>
      <c r="J46" s="75">
        <v>1</v>
      </c>
    </row>
    <row r="47" spans="1:10" x14ac:dyDescent="0.25">
      <c r="A47" s="53">
        <v>1104</v>
      </c>
      <c r="B47" s="84">
        <v>1</v>
      </c>
      <c r="C47" s="84">
        <v>4</v>
      </c>
      <c r="E47" t="s">
        <v>821</v>
      </c>
      <c r="F47" t="s">
        <v>96</v>
      </c>
      <c r="G47" t="s">
        <v>114</v>
      </c>
      <c r="H47" s="73">
        <v>0</v>
      </c>
      <c r="I47" s="75">
        <v>3283.23</v>
      </c>
      <c r="J47" s="75">
        <v>1</v>
      </c>
    </row>
    <row r="48" spans="1:10" x14ac:dyDescent="0.25">
      <c r="A48" s="53">
        <v>1107</v>
      </c>
      <c r="B48" s="84">
        <v>1</v>
      </c>
      <c r="C48" s="84">
        <v>4</v>
      </c>
      <c r="E48" t="s">
        <v>822</v>
      </c>
      <c r="F48" t="s">
        <v>96</v>
      </c>
      <c r="G48" t="s">
        <v>56</v>
      </c>
      <c r="H48" s="73">
        <v>300000</v>
      </c>
      <c r="I48" s="75">
        <v>8124.57</v>
      </c>
      <c r="J48" s="75">
        <v>1</v>
      </c>
    </row>
    <row r="49" spans="1:10" x14ac:dyDescent="0.25">
      <c r="A49" s="53">
        <v>1109</v>
      </c>
      <c r="B49" s="84">
        <v>1</v>
      </c>
      <c r="C49" s="84">
        <v>4</v>
      </c>
      <c r="E49" t="s">
        <v>823</v>
      </c>
      <c r="F49" t="s">
        <v>97</v>
      </c>
      <c r="G49" t="s">
        <v>115</v>
      </c>
      <c r="H49" s="73">
        <v>0</v>
      </c>
      <c r="I49" s="75">
        <v>8124.57</v>
      </c>
      <c r="J49" s="75">
        <v>1</v>
      </c>
    </row>
    <row r="50" spans="1:10" x14ac:dyDescent="0.25">
      <c r="A50" s="53">
        <v>1112</v>
      </c>
      <c r="B50" s="84">
        <v>1</v>
      </c>
      <c r="C50" s="84">
        <v>4</v>
      </c>
      <c r="E50" t="s">
        <v>824</v>
      </c>
      <c r="F50" t="s">
        <v>96</v>
      </c>
      <c r="G50" t="s">
        <v>114</v>
      </c>
      <c r="H50" s="73">
        <v>0</v>
      </c>
      <c r="I50" s="75">
        <v>3283.23</v>
      </c>
      <c r="J50" s="75">
        <v>1</v>
      </c>
    </row>
    <row r="51" spans="1:10" x14ac:dyDescent="0.25">
      <c r="A51" s="53">
        <v>1114</v>
      </c>
      <c r="B51" s="84">
        <v>1</v>
      </c>
      <c r="C51" s="84">
        <v>4</v>
      </c>
      <c r="E51" t="s">
        <v>825</v>
      </c>
      <c r="F51" t="s">
        <v>97</v>
      </c>
      <c r="G51" t="s">
        <v>113</v>
      </c>
      <c r="H51" s="73">
        <v>0</v>
      </c>
      <c r="I51" s="75">
        <v>3283.23</v>
      </c>
      <c r="J51" s="75">
        <v>1</v>
      </c>
    </row>
    <row r="52" spans="1:10" x14ac:dyDescent="0.25">
      <c r="A52" s="53">
        <v>1115</v>
      </c>
      <c r="B52" s="84">
        <v>1</v>
      </c>
      <c r="C52" s="84">
        <v>2</v>
      </c>
      <c r="E52" t="s">
        <v>826</v>
      </c>
      <c r="F52" t="s">
        <v>96</v>
      </c>
      <c r="G52" t="s">
        <v>56</v>
      </c>
      <c r="H52" s="73">
        <v>300000</v>
      </c>
      <c r="I52" s="75">
        <v>8124.57</v>
      </c>
      <c r="J52" s="75">
        <v>1</v>
      </c>
    </row>
    <row r="53" spans="1:10" x14ac:dyDescent="0.25">
      <c r="A53" s="53">
        <v>1118</v>
      </c>
      <c r="B53" s="84">
        <v>1</v>
      </c>
      <c r="C53" s="84">
        <v>4</v>
      </c>
      <c r="E53" t="s">
        <v>827</v>
      </c>
      <c r="F53" t="s">
        <v>97</v>
      </c>
      <c r="G53" t="s">
        <v>115</v>
      </c>
      <c r="H53" s="73">
        <v>0</v>
      </c>
      <c r="I53" s="75">
        <v>4251.97</v>
      </c>
      <c r="J53" s="75">
        <v>1</v>
      </c>
    </row>
    <row r="54" spans="1:10" x14ac:dyDescent="0.25">
      <c r="A54" s="53">
        <v>1121</v>
      </c>
      <c r="B54" s="84">
        <v>1</v>
      </c>
      <c r="C54" s="84">
        <v>2</v>
      </c>
      <c r="E54" t="s">
        <v>828</v>
      </c>
      <c r="F54" t="s">
        <v>96</v>
      </c>
      <c r="G54" t="s">
        <v>56</v>
      </c>
      <c r="H54" s="73">
        <v>300000</v>
      </c>
      <c r="I54" s="75">
        <v>14246.99</v>
      </c>
      <c r="J54" s="75">
        <v>1</v>
      </c>
    </row>
    <row r="55" spans="1:10" x14ac:dyDescent="0.25">
      <c r="A55" s="53">
        <v>1123</v>
      </c>
      <c r="B55" s="84">
        <v>0</v>
      </c>
      <c r="C55" s="84">
        <v>0</v>
      </c>
      <c r="E55" t="s">
        <v>829</v>
      </c>
      <c r="F55" t="s">
        <v>97</v>
      </c>
      <c r="G55" t="s">
        <v>115</v>
      </c>
      <c r="H55" s="73">
        <v>0</v>
      </c>
      <c r="I55" s="75">
        <v>8124.57</v>
      </c>
      <c r="J55" s="75">
        <v>1</v>
      </c>
    </row>
    <row r="56" spans="1:10" x14ac:dyDescent="0.25">
      <c r="A56" s="53">
        <v>2008</v>
      </c>
      <c r="B56" s="84">
        <v>1</v>
      </c>
      <c r="C56" s="84">
        <v>1</v>
      </c>
      <c r="E56" t="s">
        <v>830</v>
      </c>
      <c r="F56" t="s">
        <v>97</v>
      </c>
      <c r="G56" t="s">
        <v>56</v>
      </c>
      <c r="H56" s="73">
        <v>300000</v>
      </c>
      <c r="I56" s="75">
        <v>4251.97</v>
      </c>
      <c r="J56" s="75">
        <v>1</v>
      </c>
    </row>
    <row r="57" spans="1:10" x14ac:dyDescent="0.25">
      <c r="A57" s="53">
        <v>2009</v>
      </c>
      <c r="B57" s="84">
        <v>1</v>
      </c>
      <c r="C57" s="84">
        <v>4</v>
      </c>
      <c r="E57" t="s">
        <v>831</v>
      </c>
      <c r="F57" t="s">
        <v>96</v>
      </c>
      <c r="G57" t="s">
        <v>56</v>
      </c>
      <c r="H57" s="73">
        <v>300000</v>
      </c>
      <c r="I57" s="75">
        <v>4251.97</v>
      </c>
      <c r="J57" s="75">
        <v>1</v>
      </c>
    </row>
    <row r="58" spans="1:10" x14ac:dyDescent="0.25">
      <c r="A58" s="53">
        <v>2011</v>
      </c>
      <c r="B58" s="84">
        <v>1</v>
      </c>
      <c r="C58" s="84">
        <v>4</v>
      </c>
      <c r="E58" t="s">
        <v>832</v>
      </c>
      <c r="F58" t="s">
        <v>97</v>
      </c>
      <c r="G58" t="s">
        <v>115</v>
      </c>
      <c r="H58" s="73">
        <v>0</v>
      </c>
      <c r="I58" s="75">
        <v>4251.97</v>
      </c>
      <c r="J58" s="75">
        <v>1</v>
      </c>
    </row>
    <row r="59" spans="1:10" x14ac:dyDescent="0.25">
      <c r="A59" s="53">
        <v>2012</v>
      </c>
      <c r="B59" s="84">
        <v>1</v>
      </c>
      <c r="C59" s="84">
        <v>4</v>
      </c>
      <c r="E59" t="s">
        <v>833</v>
      </c>
      <c r="F59" t="s">
        <v>96</v>
      </c>
      <c r="G59" t="s">
        <v>114</v>
      </c>
      <c r="H59" s="73">
        <v>0</v>
      </c>
      <c r="I59" s="75">
        <v>3283.23</v>
      </c>
      <c r="J59" s="75">
        <v>1</v>
      </c>
    </row>
    <row r="60" spans="1:10" x14ac:dyDescent="0.25">
      <c r="A60" s="53">
        <v>2016</v>
      </c>
      <c r="B60" s="84">
        <v>1</v>
      </c>
      <c r="C60" s="84">
        <v>1</v>
      </c>
      <c r="E60" t="s">
        <v>834</v>
      </c>
      <c r="F60" t="s">
        <v>96</v>
      </c>
      <c r="G60" t="s">
        <v>56</v>
      </c>
      <c r="H60" s="73">
        <v>300000</v>
      </c>
      <c r="I60" s="75">
        <v>14246.99</v>
      </c>
      <c r="J60" s="75">
        <v>1</v>
      </c>
    </row>
    <row r="61" spans="1:10" x14ac:dyDescent="0.25">
      <c r="A61" s="53">
        <v>2017</v>
      </c>
      <c r="B61" s="84">
        <v>1</v>
      </c>
      <c r="C61" s="84">
        <v>4</v>
      </c>
      <c r="E61" t="s">
        <v>835</v>
      </c>
      <c r="F61" t="s">
        <v>97</v>
      </c>
      <c r="G61" t="s">
        <v>113</v>
      </c>
      <c r="H61" s="73">
        <v>0</v>
      </c>
      <c r="I61" s="75">
        <v>3283.23</v>
      </c>
      <c r="J61" s="75">
        <v>1</v>
      </c>
    </row>
    <row r="62" spans="1:10" x14ac:dyDescent="0.25">
      <c r="A62" s="53">
        <v>2021</v>
      </c>
      <c r="B62" s="84">
        <v>1</v>
      </c>
      <c r="C62" s="84">
        <v>4</v>
      </c>
      <c r="E62" t="s">
        <v>836</v>
      </c>
      <c r="F62" t="s">
        <v>97</v>
      </c>
      <c r="G62" t="s">
        <v>115</v>
      </c>
      <c r="H62" s="73">
        <v>0</v>
      </c>
      <c r="I62" s="75">
        <v>8124.57</v>
      </c>
      <c r="J62" s="75">
        <v>1</v>
      </c>
    </row>
    <row r="63" spans="1:10" x14ac:dyDescent="0.25">
      <c r="A63" s="53">
        <v>2022</v>
      </c>
      <c r="B63" s="84">
        <v>1</v>
      </c>
      <c r="C63" s="84">
        <v>2</v>
      </c>
      <c r="E63" t="s">
        <v>837</v>
      </c>
      <c r="F63" t="s">
        <v>96</v>
      </c>
      <c r="G63" t="s">
        <v>56</v>
      </c>
      <c r="H63" s="73">
        <v>300000</v>
      </c>
      <c r="I63" s="75">
        <v>8124.57</v>
      </c>
      <c r="J63" s="75">
        <v>1</v>
      </c>
    </row>
    <row r="64" spans="1:10" x14ac:dyDescent="0.25">
      <c r="A64" s="53">
        <v>2025</v>
      </c>
      <c r="B64" s="84">
        <v>1</v>
      </c>
      <c r="C64" s="84">
        <v>2</v>
      </c>
      <c r="E64" t="s">
        <v>838</v>
      </c>
      <c r="F64" t="s">
        <v>96</v>
      </c>
      <c r="G64" t="s">
        <v>114</v>
      </c>
      <c r="H64" s="73">
        <v>0</v>
      </c>
      <c r="I64" s="75">
        <v>3283.23</v>
      </c>
      <c r="J64" s="75">
        <v>1</v>
      </c>
    </row>
    <row r="65" spans="1:10" x14ac:dyDescent="0.25">
      <c r="A65" s="53">
        <v>2026</v>
      </c>
      <c r="B65" s="84">
        <v>1</v>
      </c>
      <c r="C65" s="84">
        <v>2</v>
      </c>
      <c r="E65" t="s">
        <v>839</v>
      </c>
      <c r="F65" t="s">
        <v>97</v>
      </c>
      <c r="G65" t="s">
        <v>115</v>
      </c>
      <c r="H65" s="73">
        <v>0</v>
      </c>
      <c r="I65" s="75">
        <v>8124.57</v>
      </c>
      <c r="J65" s="75">
        <v>1</v>
      </c>
    </row>
    <row r="66" spans="1:10" x14ac:dyDescent="0.25">
      <c r="A66" s="53">
        <v>2027</v>
      </c>
      <c r="B66" s="84">
        <v>1</v>
      </c>
      <c r="C66" s="84">
        <v>3</v>
      </c>
      <c r="E66" t="s">
        <v>840</v>
      </c>
      <c r="F66" t="s">
        <v>96</v>
      </c>
      <c r="G66" t="s">
        <v>56</v>
      </c>
      <c r="H66" s="73">
        <v>300000</v>
      </c>
      <c r="I66" s="75">
        <v>14246.99</v>
      </c>
      <c r="J66" s="75">
        <v>1</v>
      </c>
    </row>
    <row r="67" spans="1:10" x14ac:dyDescent="0.25">
      <c r="A67" s="53">
        <v>2029</v>
      </c>
      <c r="B67" s="84">
        <v>1</v>
      </c>
      <c r="C67" s="84">
        <v>4</v>
      </c>
      <c r="E67" t="s">
        <v>841</v>
      </c>
      <c r="F67" t="s">
        <v>97</v>
      </c>
      <c r="G67" t="s">
        <v>115</v>
      </c>
      <c r="H67" s="73">
        <v>0</v>
      </c>
      <c r="I67" s="75">
        <v>8124.57</v>
      </c>
      <c r="J67" s="75">
        <v>1</v>
      </c>
    </row>
    <row r="68" spans="1:10" x14ac:dyDescent="0.25">
      <c r="A68" s="53">
        <v>2030</v>
      </c>
      <c r="B68" s="84">
        <v>1</v>
      </c>
      <c r="C68" s="84">
        <v>4</v>
      </c>
      <c r="E68" t="s">
        <v>842</v>
      </c>
      <c r="F68" t="s">
        <v>96</v>
      </c>
      <c r="G68" t="s">
        <v>114</v>
      </c>
      <c r="H68" s="73">
        <v>0</v>
      </c>
      <c r="I68" s="75">
        <v>3283.23</v>
      </c>
      <c r="J68" s="75">
        <v>1</v>
      </c>
    </row>
    <row r="69" spans="1:10" x14ac:dyDescent="0.25">
      <c r="A69" s="53">
        <v>2031</v>
      </c>
      <c r="B69" s="84">
        <v>1</v>
      </c>
      <c r="C69" s="84">
        <v>4</v>
      </c>
      <c r="E69" t="s">
        <v>843</v>
      </c>
      <c r="F69" t="s">
        <v>96</v>
      </c>
      <c r="G69" t="s">
        <v>114</v>
      </c>
      <c r="H69" s="73">
        <v>0</v>
      </c>
      <c r="I69" s="75">
        <v>3283.23</v>
      </c>
      <c r="J69" s="75">
        <v>1</v>
      </c>
    </row>
    <row r="70" spans="1:10" x14ac:dyDescent="0.25">
      <c r="A70" s="53">
        <v>2032</v>
      </c>
      <c r="B70" s="84">
        <v>1</v>
      </c>
      <c r="C70" s="84">
        <v>4</v>
      </c>
      <c r="E70" t="s">
        <v>844</v>
      </c>
      <c r="F70" t="s">
        <v>96</v>
      </c>
      <c r="G70" t="s">
        <v>56</v>
      </c>
      <c r="H70" s="73">
        <v>300000</v>
      </c>
      <c r="I70" s="75">
        <v>8124.57</v>
      </c>
      <c r="J70" s="75">
        <v>1</v>
      </c>
    </row>
    <row r="71" spans="1:10" x14ac:dyDescent="0.25">
      <c r="A71" s="53">
        <v>2036</v>
      </c>
      <c r="B71" s="84">
        <v>1</v>
      </c>
      <c r="C71" s="84">
        <v>4</v>
      </c>
      <c r="E71" t="s">
        <v>845</v>
      </c>
      <c r="F71" t="s">
        <v>97</v>
      </c>
      <c r="G71" t="s">
        <v>115</v>
      </c>
      <c r="H71" s="73">
        <v>0</v>
      </c>
      <c r="I71" s="75">
        <v>8124.57</v>
      </c>
      <c r="J71" s="75">
        <v>1</v>
      </c>
    </row>
    <row r="72" spans="1:10" x14ac:dyDescent="0.25">
      <c r="A72" s="53">
        <v>2037</v>
      </c>
      <c r="B72" s="84">
        <v>1</v>
      </c>
      <c r="C72" s="84">
        <v>3</v>
      </c>
      <c r="E72" t="s">
        <v>846</v>
      </c>
      <c r="F72" t="s">
        <v>96</v>
      </c>
      <c r="G72" t="s">
        <v>114</v>
      </c>
      <c r="H72" s="73">
        <v>0</v>
      </c>
      <c r="I72" s="75">
        <v>3283.23</v>
      </c>
      <c r="J72" s="75">
        <v>1</v>
      </c>
    </row>
    <row r="73" spans="1:10" x14ac:dyDescent="0.25">
      <c r="A73" s="53">
        <v>2038</v>
      </c>
      <c r="B73" s="84">
        <v>1</v>
      </c>
      <c r="C73" s="84">
        <v>3</v>
      </c>
      <c r="E73" t="s">
        <v>847</v>
      </c>
      <c r="F73" t="s">
        <v>96</v>
      </c>
      <c r="G73" t="s">
        <v>114</v>
      </c>
      <c r="H73" s="73">
        <v>0</v>
      </c>
      <c r="I73" s="75">
        <v>3283.23</v>
      </c>
      <c r="J73" s="75">
        <v>1</v>
      </c>
    </row>
    <row r="74" spans="1:10" x14ac:dyDescent="0.25">
      <c r="A74" s="53">
        <v>2040</v>
      </c>
      <c r="B74" s="84">
        <v>1</v>
      </c>
      <c r="C74" s="84">
        <v>2</v>
      </c>
      <c r="E74" t="s">
        <v>848</v>
      </c>
      <c r="F74" t="s">
        <v>96</v>
      </c>
      <c r="G74" t="s">
        <v>56</v>
      </c>
      <c r="H74" s="73">
        <v>300000</v>
      </c>
      <c r="I74" s="75">
        <v>4251.97</v>
      </c>
      <c r="J74" s="75">
        <v>1</v>
      </c>
    </row>
    <row r="75" spans="1:10" x14ac:dyDescent="0.25">
      <c r="A75" s="53">
        <v>2041</v>
      </c>
      <c r="B75" s="84">
        <v>1</v>
      </c>
      <c r="C75" s="84">
        <v>2</v>
      </c>
      <c r="E75" t="s">
        <v>849</v>
      </c>
      <c r="F75" t="s">
        <v>97</v>
      </c>
      <c r="G75" t="s">
        <v>113</v>
      </c>
      <c r="H75" s="73">
        <v>0</v>
      </c>
      <c r="I75" s="75">
        <v>3283.23</v>
      </c>
      <c r="J75" s="75">
        <v>1</v>
      </c>
    </row>
    <row r="76" spans="1:10" x14ac:dyDescent="0.25">
      <c r="A76" s="53">
        <v>2045</v>
      </c>
      <c r="B76" s="84">
        <v>1</v>
      </c>
      <c r="C76" s="84">
        <v>3</v>
      </c>
      <c r="E76" t="s">
        <v>850</v>
      </c>
      <c r="F76" t="s">
        <v>97</v>
      </c>
      <c r="G76" t="s">
        <v>115</v>
      </c>
      <c r="H76" s="73">
        <v>0</v>
      </c>
      <c r="I76" s="75">
        <v>4251.97</v>
      </c>
      <c r="J76" s="75">
        <v>1</v>
      </c>
    </row>
    <row r="77" spans="1:10" x14ac:dyDescent="0.25">
      <c r="A77" s="53">
        <v>2047</v>
      </c>
      <c r="B77" s="84">
        <v>1</v>
      </c>
      <c r="C77" s="84">
        <v>1</v>
      </c>
      <c r="E77" t="s">
        <v>851</v>
      </c>
      <c r="F77" t="s">
        <v>97</v>
      </c>
      <c r="G77" t="s">
        <v>113</v>
      </c>
      <c r="H77" s="73">
        <v>0</v>
      </c>
      <c r="I77" s="75">
        <v>3283.23</v>
      </c>
      <c r="J77" s="75">
        <v>1</v>
      </c>
    </row>
    <row r="78" spans="1:10" x14ac:dyDescent="0.25">
      <c r="A78" s="53">
        <v>2049</v>
      </c>
      <c r="B78" s="84">
        <v>1</v>
      </c>
      <c r="C78" s="84">
        <v>3</v>
      </c>
      <c r="E78" t="s">
        <v>852</v>
      </c>
      <c r="F78" t="s">
        <v>96</v>
      </c>
      <c r="G78" t="s">
        <v>56</v>
      </c>
      <c r="H78" s="73">
        <v>300000</v>
      </c>
      <c r="I78" s="75">
        <v>8124.57</v>
      </c>
      <c r="J78" s="75">
        <v>1</v>
      </c>
    </row>
    <row r="79" spans="1:10" x14ac:dyDescent="0.25">
      <c r="A79" s="53">
        <v>2053</v>
      </c>
      <c r="B79" s="84">
        <v>1</v>
      </c>
      <c r="C79" s="84">
        <v>4</v>
      </c>
      <c r="E79" t="s">
        <v>853</v>
      </c>
      <c r="F79" t="s">
        <v>97</v>
      </c>
      <c r="G79" t="s">
        <v>115</v>
      </c>
      <c r="H79" s="73">
        <v>0</v>
      </c>
      <c r="I79" s="75">
        <v>8124.57</v>
      </c>
      <c r="J79" s="75">
        <v>1</v>
      </c>
    </row>
    <row r="80" spans="1:10" x14ac:dyDescent="0.25">
      <c r="A80" s="53">
        <v>2054</v>
      </c>
      <c r="B80" s="84">
        <v>1</v>
      </c>
      <c r="C80" s="84">
        <v>4</v>
      </c>
      <c r="E80" t="s">
        <v>854</v>
      </c>
      <c r="F80" t="s">
        <v>96</v>
      </c>
      <c r="G80" t="s">
        <v>114</v>
      </c>
      <c r="H80" s="73">
        <v>0</v>
      </c>
      <c r="I80" s="75">
        <v>3283.23</v>
      </c>
      <c r="J80" s="75">
        <v>1</v>
      </c>
    </row>
    <row r="81" spans="1:10" x14ac:dyDescent="0.25">
      <c r="A81" s="53">
        <v>2055</v>
      </c>
      <c r="B81" s="84">
        <v>1</v>
      </c>
      <c r="C81" s="84">
        <v>3</v>
      </c>
      <c r="E81" t="s">
        <v>855</v>
      </c>
      <c r="F81" t="s">
        <v>96</v>
      </c>
      <c r="G81" t="s">
        <v>56</v>
      </c>
      <c r="H81" s="73">
        <v>300000</v>
      </c>
      <c r="I81" s="75">
        <v>4251.97</v>
      </c>
      <c r="J81" s="75">
        <v>1</v>
      </c>
    </row>
    <row r="82" spans="1:10" x14ac:dyDescent="0.25">
      <c r="A82" s="53">
        <v>2057</v>
      </c>
      <c r="B82" s="84">
        <v>1</v>
      </c>
      <c r="C82" s="84">
        <v>4</v>
      </c>
      <c r="E82" t="s">
        <v>856</v>
      </c>
      <c r="F82" t="s">
        <v>96</v>
      </c>
      <c r="G82" t="s">
        <v>114</v>
      </c>
      <c r="H82" s="73">
        <v>0</v>
      </c>
      <c r="I82" s="75">
        <v>3283.23</v>
      </c>
      <c r="J82" s="75">
        <v>1</v>
      </c>
    </row>
    <row r="83" spans="1:10" x14ac:dyDescent="0.25">
      <c r="A83" s="53">
        <v>2058</v>
      </c>
      <c r="B83" s="84">
        <v>1</v>
      </c>
      <c r="C83" s="84">
        <v>3</v>
      </c>
      <c r="E83" t="s">
        <v>857</v>
      </c>
      <c r="F83" t="s">
        <v>97</v>
      </c>
      <c r="G83" t="s">
        <v>115</v>
      </c>
      <c r="H83" s="73">
        <v>0</v>
      </c>
      <c r="I83" s="75">
        <v>4251.97</v>
      </c>
      <c r="J83" s="75">
        <v>1</v>
      </c>
    </row>
    <row r="84" spans="1:10" x14ac:dyDescent="0.25">
      <c r="A84" s="53">
        <v>2061</v>
      </c>
      <c r="B84" s="84">
        <v>1</v>
      </c>
      <c r="C84" s="84">
        <v>4</v>
      </c>
      <c r="E84" t="s">
        <v>858</v>
      </c>
      <c r="F84" t="s">
        <v>96</v>
      </c>
      <c r="G84" t="s">
        <v>114</v>
      </c>
      <c r="H84" s="73">
        <v>0</v>
      </c>
      <c r="I84" s="75">
        <v>3283.23</v>
      </c>
      <c r="J84" s="75">
        <v>1</v>
      </c>
    </row>
    <row r="85" spans="1:10" x14ac:dyDescent="0.25">
      <c r="A85" s="53">
        <v>2062</v>
      </c>
      <c r="B85" s="84">
        <v>1</v>
      </c>
      <c r="C85" s="84">
        <v>3</v>
      </c>
      <c r="E85" t="s">
        <v>859</v>
      </c>
      <c r="F85" t="s">
        <v>96</v>
      </c>
      <c r="G85" t="s">
        <v>56</v>
      </c>
      <c r="H85" s="73">
        <v>300000</v>
      </c>
      <c r="I85" s="75">
        <v>8124.57</v>
      </c>
      <c r="J85" s="75">
        <v>1</v>
      </c>
    </row>
    <row r="86" spans="1:10" x14ac:dyDescent="0.25">
      <c r="A86" s="53">
        <v>2067</v>
      </c>
      <c r="B86" s="84">
        <v>1</v>
      </c>
      <c r="C86" s="84">
        <v>3</v>
      </c>
      <c r="E86" t="s">
        <v>860</v>
      </c>
      <c r="F86" t="s">
        <v>97</v>
      </c>
      <c r="G86" t="s">
        <v>113</v>
      </c>
      <c r="H86" s="73">
        <v>0</v>
      </c>
      <c r="I86" s="75">
        <v>3283.23</v>
      </c>
      <c r="J86" s="75">
        <v>1</v>
      </c>
    </row>
    <row r="87" spans="1:10" x14ac:dyDescent="0.25">
      <c r="A87" s="53">
        <v>2068</v>
      </c>
      <c r="B87" s="84">
        <v>1</v>
      </c>
      <c r="C87" s="84">
        <v>4</v>
      </c>
      <c r="E87" t="s">
        <v>861</v>
      </c>
      <c r="F87" t="s">
        <v>96</v>
      </c>
      <c r="G87" t="s">
        <v>114</v>
      </c>
      <c r="H87" s="73">
        <v>0</v>
      </c>
      <c r="I87" s="75">
        <v>3283.23</v>
      </c>
      <c r="J87" s="75">
        <v>1</v>
      </c>
    </row>
    <row r="88" spans="1:10" x14ac:dyDescent="0.25">
      <c r="A88" s="53">
        <v>2070</v>
      </c>
      <c r="B88" s="84">
        <v>1</v>
      </c>
      <c r="C88" s="84">
        <v>4</v>
      </c>
      <c r="E88" t="s">
        <v>862</v>
      </c>
      <c r="F88" t="s">
        <v>97</v>
      </c>
      <c r="G88" t="s">
        <v>115</v>
      </c>
      <c r="H88" s="73">
        <v>0</v>
      </c>
      <c r="I88" s="75">
        <v>4251.97</v>
      </c>
      <c r="J88" s="75">
        <v>1</v>
      </c>
    </row>
    <row r="89" spans="1:10" x14ac:dyDescent="0.25">
      <c r="A89" s="53">
        <v>2071</v>
      </c>
      <c r="B89" s="84">
        <v>1</v>
      </c>
      <c r="C89" s="84">
        <v>3</v>
      </c>
      <c r="E89" t="s">
        <v>863</v>
      </c>
      <c r="F89" t="s">
        <v>96</v>
      </c>
      <c r="G89" t="s">
        <v>56</v>
      </c>
      <c r="H89" s="73">
        <v>300000</v>
      </c>
      <c r="I89" s="75">
        <v>4251.97</v>
      </c>
      <c r="J89" s="75">
        <v>1</v>
      </c>
    </row>
    <row r="90" spans="1:10" x14ac:dyDescent="0.25">
      <c r="A90" s="53">
        <v>2082</v>
      </c>
      <c r="B90" s="84">
        <v>0</v>
      </c>
      <c r="C90" s="84">
        <v>0</v>
      </c>
      <c r="E90" t="s">
        <v>864</v>
      </c>
      <c r="F90" t="s">
        <v>96</v>
      </c>
      <c r="G90" t="s">
        <v>114</v>
      </c>
      <c r="H90" s="73">
        <v>0</v>
      </c>
      <c r="I90" s="75">
        <v>3283.23</v>
      </c>
      <c r="J90" s="75">
        <v>1</v>
      </c>
    </row>
    <row r="91" spans="1:10" x14ac:dyDescent="0.25">
      <c r="A91" s="53">
        <v>2084</v>
      </c>
      <c r="B91" s="84">
        <v>1</v>
      </c>
      <c r="C91" s="84">
        <v>3</v>
      </c>
      <c r="E91" t="s">
        <v>865</v>
      </c>
      <c r="F91" t="s">
        <v>96</v>
      </c>
      <c r="G91" t="s">
        <v>114</v>
      </c>
      <c r="H91" s="73">
        <v>0</v>
      </c>
      <c r="I91" s="75">
        <v>3283.23</v>
      </c>
      <c r="J91" s="75">
        <v>1</v>
      </c>
    </row>
    <row r="92" spans="1:10" x14ac:dyDescent="0.25">
      <c r="A92" s="53">
        <v>2085</v>
      </c>
      <c r="B92" s="84">
        <v>1</v>
      </c>
      <c r="C92" s="84">
        <v>4</v>
      </c>
      <c r="E92" t="s">
        <v>866</v>
      </c>
      <c r="F92" t="s">
        <v>97</v>
      </c>
      <c r="G92" t="s">
        <v>115</v>
      </c>
      <c r="H92" s="73">
        <v>0</v>
      </c>
      <c r="I92" s="75">
        <v>4251.97</v>
      </c>
      <c r="J92" s="75">
        <v>1</v>
      </c>
    </row>
    <row r="93" spans="1:10" x14ac:dyDescent="0.25">
      <c r="A93" s="53">
        <v>2086</v>
      </c>
      <c r="B93" s="84">
        <v>1</v>
      </c>
      <c r="C93" s="84">
        <v>4</v>
      </c>
      <c r="E93" t="s">
        <v>867</v>
      </c>
      <c r="F93" t="s">
        <v>96</v>
      </c>
      <c r="G93" t="s">
        <v>56</v>
      </c>
      <c r="H93" s="73">
        <v>300000</v>
      </c>
      <c r="I93" s="75">
        <v>8124.57</v>
      </c>
      <c r="J93" s="75">
        <v>1</v>
      </c>
    </row>
    <row r="94" spans="1:10" x14ac:dyDescent="0.25">
      <c r="A94" s="53">
        <v>2093</v>
      </c>
      <c r="B94" s="84">
        <v>1</v>
      </c>
      <c r="C94" s="84">
        <v>4</v>
      </c>
      <c r="E94" t="s">
        <v>868</v>
      </c>
      <c r="F94" t="s">
        <v>97</v>
      </c>
      <c r="G94" t="s">
        <v>115</v>
      </c>
      <c r="H94" s="73">
        <v>0</v>
      </c>
      <c r="I94" s="75">
        <v>4251.97</v>
      </c>
      <c r="J94" s="75">
        <v>1</v>
      </c>
    </row>
    <row r="95" spans="1:10" x14ac:dyDescent="0.25">
      <c r="A95" s="53">
        <v>2094</v>
      </c>
      <c r="B95" s="84">
        <v>1</v>
      </c>
      <c r="C95" s="84">
        <v>4</v>
      </c>
      <c r="E95" t="s">
        <v>869</v>
      </c>
      <c r="F95" t="s">
        <v>96</v>
      </c>
      <c r="G95" t="s">
        <v>114</v>
      </c>
      <c r="H95" s="73">
        <v>0</v>
      </c>
      <c r="I95" s="75">
        <v>3283.23</v>
      </c>
      <c r="J95" s="75">
        <v>1</v>
      </c>
    </row>
    <row r="96" spans="1:10" x14ac:dyDescent="0.25">
      <c r="A96" s="53">
        <v>2098</v>
      </c>
      <c r="B96" s="84">
        <v>1</v>
      </c>
      <c r="C96" s="84">
        <v>4</v>
      </c>
      <c r="E96" t="s">
        <v>870</v>
      </c>
      <c r="F96" t="s">
        <v>96</v>
      </c>
      <c r="G96" t="s">
        <v>114</v>
      </c>
      <c r="H96" s="73">
        <v>0</v>
      </c>
      <c r="I96" s="75">
        <v>3283.23</v>
      </c>
      <c r="J96" s="75">
        <v>1</v>
      </c>
    </row>
    <row r="97" spans="1:10" x14ac:dyDescent="0.25">
      <c r="A97" s="53">
        <v>2100</v>
      </c>
      <c r="B97" s="84">
        <v>1</v>
      </c>
      <c r="C97" s="84">
        <v>2</v>
      </c>
      <c r="E97" t="s">
        <v>871</v>
      </c>
      <c r="F97" t="s">
        <v>96</v>
      </c>
      <c r="G97" t="s">
        <v>56</v>
      </c>
      <c r="H97" s="73">
        <v>300000</v>
      </c>
      <c r="I97" s="75">
        <v>4251.97</v>
      </c>
      <c r="J97" s="75">
        <v>1</v>
      </c>
    </row>
    <row r="98" spans="1:10" x14ac:dyDescent="0.25">
      <c r="A98" s="53">
        <v>2102</v>
      </c>
      <c r="B98" s="84">
        <v>1</v>
      </c>
      <c r="C98" s="84">
        <v>3</v>
      </c>
      <c r="E98" t="s">
        <v>872</v>
      </c>
      <c r="F98" t="s">
        <v>97</v>
      </c>
      <c r="G98" t="s">
        <v>115</v>
      </c>
      <c r="H98" s="73">
        <v>0</v>
      </c>
      <c r="I98" s="75">
        <v>4251.97</v>
      </c>
      <c r="J98" s="75">
        <v>1</v>
      </c>
    </row>
    <row r="99" spans="1:10" x14ac:dyDescent="0.25">
      <c r="A99" s="53">
        <v>2107</v>
      </c>
      <c r="B99" s="84">
        <v>1</v>
      </c>
      <c r="C99" s="84">
        <v>4</v>
      </c>
      <c r="E99" t="s">
        <v>873</v>
      </c>
      <c r="F99" t="s">
        <v>96</v>
      </c>
      <c r="G99" t="s">
        <v>114</v>
      </c>
      <c r="H99" s="73">
        <v>0</v>
      </c>
      <c r="I99" s="75">
        <v>3283.23</v>
      </c>
      <c r="J99" s="75">
        <v>1</v>
      </c>
    </row>
    <row r="100" spans="1:10" x14ac:dyDescent="0.25">
      <c r="A100" s="53">
        <v>2108</v>
      </c>
      <c r="B100" s="84">
        <v>1</v>
      </c>
      <c r="C100" s="84">
        <v>4</v>
      </c>
      <c r="E100" t="s">
        <v>874</v>
      </c>
      <c r="F100" t="s">
        <v>96</v>
      </c>
      <c r="G100" t="s">
        <v>56</v>
      </c>
      <c r="H100" s="73">
        <v>300000</v>
      </c>
      <c r="I100" s="75">
        <v>14246.99</v>
      </c>
      <c r="J100" s="75">
        <v>1</v>
      </c>
    </row>
    <row r="101" spans="1:10" x14ac:dyDescent="0.25">
      <c r="A101" s="53">
        <v>2109</v>
      </c>
      <c r="B101" s="84">
        <v>1</v>
      </c>
      <c r="C101" s="84">
        <v>3</v>
      </c>
      <c r="E101" t="s">
        <v>875</v>
      </c>
      <c r="F101" t="s">
        <v>96</v>
      </c>
      <c r="G101" t="s">
        <v>114</v>
      </c>
      <c r="H101" s="73">
        <v>0</v>
      </c>
      <c r="I101" s="75">
        <v>3283.23</v>
      </c>
      <c r="J101" s="75">
        <v>1</v>
      </c>
    </row>
    <row r="102" spans="1:10" x14ac:dyDescent="0.25">
      <c r="A102" s="53">
        <v>2110</v>
      </c>
      <c r="B102" s="84">
        <v>1</v>
      </c>
      <c r="C102" s="84">
        <v>1</v>
      </c>
      <c r="E102" t="s">
        <v>876</v>
      </c>
      <c r="F102" t="s">
        <v>97</v>
      </c>
      <c r="G102" t="s">
        <v>115</v>
      </c>
      <c r="H102" s="73">
        <v>0</v>
      </c>
      <c r="I102" s="75">
        <v>8124.57</v>
      </c>
      <c r="J102" s="75">
        <v>1</v>
      </c>
    </row>
    <row r="103" spans="1:10" x14ac:dyDescent="0.25">
      <c r="A103" s="53">
        <v>2111</v>
      </c>
      <c r="B103" s="84">
        <v>1</v>
      </c>
      <c r="C103" s="84">
        <v>3</v>
      </c>
      <c r="E103" t="s">
        <v>877</v>
      </c>
      <c r="F103" t="s">
        <v>97</v>
      </c>
      <c r="G103" t="s">
        <v>56</v>
      </c>
      <c r="H103" s="73">
        <v>1000000</v>
      </c>
      <c r="I103" s="75">
        <v>7639.02</v>
      </c>
      <c r="J103" s="75">
        <v>1</v>
      </c>
    </row>
    <row r="104" spans="1:10" x14ac:dyDescent="0.25">
      <c r="A104" s="53">
        <v>2112</v>
      </c>
      <c r="B104" s="84">
        <v>1</v>
      </c>
      <c r="C104" s="84">
        <v>2</v>
      </c>
      <c r="E104" t="s">
        <v>878</v>
      </c>
      <c r="F104" t="s">
        <v>96</v>
      </c>
      <c r="G104" t="s">
        <v>56</v>
      </c>
      <c r="H104" s="73">
        <v>300000</v>
      </c>
      <c r="I104" s="75">
        <v>4251.97</v>
      </c>
      <c r="J104" s="75">
        <v>1</v>
      </c>
    </row>
    <row r="105" spans="1:10" x14ac:dyDescent="0.25">
      <c r="A105" s="53">
        <v>2117</v>
      </c>
      <c r="B105" s="84">
        <v>1</v>
      </c>
      <c r="C105" s="84">
        <v>2</v>
      </c>
      <c r="E105" t="s">
        <v>879</v>
      </c>
      <c r="F105" t="s">
        <v>97</v>
      </c>
      <c r="G105" t="s">
        <v>113</v>
      </c>
      <c r="H105" s="73">
        <v>0</v>
      </c>
      <c r="I105" s="75">
        <v>3283.23</v>
      </c>
      <c r="J105" s="75">
        <v>1</v>
      </c>
    </row>
    <row r="106" spans="1:10" x14ac:dyDescent="0.25">
      <c r="A106" s="53">
        <v>2119</v>
      </c>
      <c r="B106" s="84">
        <v>1</v>
      </c>
      <c r="C106" s="84">
        <v>3</v>
      </c>
      <c r="E106" t="s">
        <v>880</v>
      </c>
      <c r="F106" t="s">
        <v>96</v>
      </c>
      <c r="G106" t="s">
        <v>114</v>
      </c>
      <c r="H106" s="73">
        <v>0</v>
      </c>
      <c r="I106" s="75">
        <v>3283.23</v>
      </c>
      <c r="J106" s="75">
        <v>1</v>
      </c>
    </row>
    <row r="107" spans="1:10" x14ac:dyDescent="0.25">
      <c r="A107" s="53">
        <v>2120</v>
      </c>
      <c r="B107" s="84">
        <v>1</v>
      </c>
      <c r="C107" s="84">
        <v>4</v>
      </c>
      <c r="E107" t="s">
        <v>881</v>
      </c>
      <c r="F107" t="s">
        <v>97</v>
      </c>
      <c r="G107" t="s">
        <v>115</v>
      </c>
      <c r="H107" s="73">
        <v>0</v>
      </c>
      <c r="I107" s="75">
        <v>4251.97</v>
      </c>
      <c r="J107" s="75">
        <v>1</v>
      </c>
    </row>
    <row r="108" spans="1:10" x14ac:dyDescent="0.25">
      <c r="A108" s="53">
        <v>2124</v>
      </c>
      <c r="B108" s="84">
        <v>1</v>
      </c>
      <c r="C108" s="84">
        <v>4</v>
      </c>
      <c r="E108" t="s">
        <v>882</v>
      </c>
      <c r="F108" t="s">
        <v>96</v>
      </c>
      <c r="G108" t="s">
        <v>56</v>
      </c>
      <c r="H108" s="73">
        <v>300000</v>
      </c>
      <c r="I108" s="75">
        <v>3283.23</v>
      </c>
      <c r="J108" s="75">
        <v>1</v>
      </c>
    </row>
    <row r="109" spans="1:10" x14ac:dyDescent="0.25">
      <c r="A109" s="53">
        <v>2129</v>
      </c>
      <c r="B109" s="84">
        <v>1</v>
      </c>
      <c r="C109" s="84">
        <v>4</v>
      </c>
      <c r="E109" t="s">
        <v>883</v>
      </c>
      <c r="F109" t="s">
        <v>97</v>
      </c>
      <c r="G109" t="s">
        <v>115</v>
      </c>
      <c r="H109" s="73">
        <v>0</v>
      </c>
      <c r="I109" s="75">
        <v>3283.23</v>
      </c>
      <c r="J109" s="75">
        <v>1</v>
      </c>
    </row>
    <row r="110" spans="1:10" x14ac:dyDescent="0.25">
      <c r="A110" s="53">
        <v>2130</v>
      </c>
      <c r="B110" s="84">
        <v>1</v>
      </c>
      <c r="C110" s="84">
        <v>4</v>
      </c>
      <c r="E110" t="s">
        <v>884</v>
      </c>
      <c r="F110" t="s">
        <v>96</v>
      </c>
      <c r="G110" t="s">
        <v>56</v>
      </c>
      <c r="H110" s="73">
        <v>300000</v>
      </c>
      <c r="I110" s="75">
        <v>4251.97</v>
      </c>
      <c r="J110" s="75">
        <v>1</v>
      </c>
    </row>
    <row r="111" spans="1:10" x14ac:dyDescent="0.25">
      <c r="A111" s="53">
        <v>2131</v>
      </c>
      <c r="B111" s="84">
        <v>1</v>
      </c>
      <c r="C111" s="84">
        <v>4</v>
      </c>
      <c r="E111" t="s">
        <v>885</v>
      </c>
      <c r="F111" t="s">
        <v>97</v>
      </c>
      <c r="G111" t="s">
        <v>115</v>
      </c>
      <c r="H111" s="73">
        <v>0</v>
      </c>
      <c r="I111" s="75">
        <v>4251.97</v>
      </c>
      <c r="J111" s="75">
        <v>1</v>
      </c>
    </row>
    <row r="112" spans="1:10" x14ac:dyDescent="0.25">
      <c r="A112" s="53">
        <v>2136</v>
      </c>
      <c r="B112" s="84">
        <v>1</v>
      </c>
      <c r="C112" s="84">
        <v>4</v>
      </c>
      <c r="E112" t="s">
        <v>886</v>
      </c>
      <c r="F112" t="s">
        <v>96</v>
      </c>
      <c r="G112" t="s">
        <v>114</v>
      </c>
      <c r="H112" s="73">
        <v>0</v>
      </c>
      <c r="I112" s="75">
        <v>3283.23</v>
      </c>
      <c r="J112" s="75">
        <v>1</v>
      </c>
    </row>
    <row r="113" spans="1:10" x14ac:dyDescent="0.25">
      <c r="A113" s="53">
        <v>2139</v>
      </c>
      <c r="B113" s="84">
        <v>1</v>
      </c>
      <c r="C113" s="84">
        <v>4</v>
      </c>
      <c r="E113" t="s">
        <v>887</v>
      </c>
      <c r="F113" t="s">
        <v>96</v>
      </c>
      <c r="G113" t="s">
        <v>56</v>
      </c>
      <c r="H113" s="73">
        <v>300000</v>
      </c>
      <c r="I113" s="75">
        <v>4251.97</v>
      </c>
      <c r="J113" s="75">
        <v>1</v>
      </c>
    </row>
    <row r="114" spans="1:10" x14ac:dyDescent="0.25">
      <c r="A114" s="53">
        <v>2140</v>
      </c>
      <c r="B114" s="84">
        <v>1</v>
      </c>
      <c r="C114" s="84">
        <v>4</v>
      </c>
      <c r="E114" t="s">
        <v>888</v>
      </c>
      <c r="F114" t="s">
        <v>96</v>
      </c>
      <c r="G114" t="s">
        <v>114</v>
      </c>
      <c r="H114" s="73">
        <v>0</v>
      </c>
      <c r="I114" s="75">
        <v>3283.23</v>
      </c>
      <c r="J114" s="75">
        <v>1</v>
      </c>
    </row>
    <row r="115" spans="1:10" x14ac:dyDescent="0.25">
      <c r="A115" s="53">
        <v>2142</v>
      </c>
      <c r="B115" s="84">
        <v>1</v>
      </c>
      <c r="C115" s="84">
        <v>3</v>
      </c>
      <c r="E115" t="s">
        <v>889</v>
      </c>
      <c r="F115" t="s">
        <v>97</v>
      </c>
      <c r="G115" t="s">
        <v>115</v>
      </c>
      <c r="H115" s="73">
        <v>0</v>
      </c>
      <c r="I115" s="75">
        <v>4251.97</v>
      </c>
      <c r="J115" s="75">
        <v>1</v>
      </c>
    </row>
    <row r="116" spans="1:10" x14ac:dyDescent="0.25">
      <c r="A116" s="53">
        <v>2145</v>
      </c>
      <c r="B116" s="84">
        <v>1</v>
      </c>
      <c r="C116" s="84">
        <v>1</v>
      </c>
      <c r="E116" t="s">
        <v>890</v>
      </c>
      <c r="F116" t="s">
        <v>96</v>
      </c>
      <c r="G116" t="s">
        <v>114</v>
      </c>
      <c r="H116" s="73">
        <v>0</v>
      </c>
      <c r="I116" s="75">
        <v>3283.23</v>
      </c>
      <c r="J116" s="75">
        <v>1</v>
      </c>
    </row>
    <row r="117" spans="1:10" x14ac:dyDescent="0.25">
      <c r="A117" s="53">
        <v>2147</v>
      </c>
      <c r="B117" s="84">
        <v>1</v>
      </c>
      <c r="C117" s="84">
        <v>4</v>
      </c>
      <c r="E117" t="s">
        <v>891</v>
      </c>
      <c r="F117" t="s">
        <v>96</v>
      </c>
      <c r="G117" t="s">
        <v>56</v>
      </c>
      <c r="H117" s="73">
        <v>300000</v>
      </c>
      <c r="I117" s="75">
        <v>14246.99</v>
      </c>
      <c r="J117" s="75">
        <v>1</v>
      </c>
    </row>
    <row r="118" spans="1:10" x14ac:dyDescent="0.25">
      <c r="A118" s="53">
        <v>2148</v>
      </c>
      <c r="B118" s="84">
        <v>1</v>
      </c>
      <c r="C118" s="84">
        <v>2</v>
      </c>
      <c r="E118" t="s">
        <v>892</v>
      </c>
      <c r="F118" t="s">
        <v>97</v>
      </c>
      <c r="G118" t="s">
        <v>115</v>
      </c>
      <c r="H118" s="73">
        <v>0</v>
      </c>
      <c r="I118" s="75">
        <v>8124.57</v>
      </c>
      <c r="J118" s="75">
        <v>1</v>
      </c>
    </row>
    <row r="119" spans="1:10" x14ac:dyDescent="0.25">
      <c r="A119" s="53">
        <v>2150</v>
      </c>
      <c r="B119" s="84">
        <v>1</v>
      </c>
      <c r="C119" s="84">
        <v>3</v>
      </c>
      <c r="E119" t="s">
        <v>893</v>
      </c>
      <c r="F119" t="s">
        <v>96</v>
      </c>
      <c r="G119" t="s">
        <v>56</v>
      </c>
      <c r="H119" s="73">
        <v>300000</v>
      </c>
      <c r="I119" s="75">
        <v>4251.97</v>
      </c>
      <c r="J119" s="75">
        <v>1</v>
      </c>
    </row>
    <row r="120" spans="1:10" x14ac:dyDescent="0.25">
      <c r="A120" s="53">
        <v>2153</v>
      </c>
      <c r="B120" s="84">
        <v>0</v>
      </c>
      <c r="C120" s="84">
        <v>0</v>
      </c>
      <c r="E120" t="s">
        <v>894</v>
      </c>
      <c r="F120" t="s">
        <v>97</v>
      </c>
      <c r="G120" t="s">
        <v>113</v>
      </c>
      <c r="H120" s="73">
        <v>0</v>
      </c>
      <c r="I120" s="75">
        <v>3283.23</v>
      </c>
      <c r="J120" s="75">
        <v>1</v>
      </c>
    </row>
    <row r="121" spans="1:10" x14ac:dyDescent="0.25">
      <c r="A121" s="53">
        <v>2154</v>
      </c>
      <c r="B121" s="84">
        <v>0</v>
      </c>
      <c r="C121" s="84">
        <v>0</v>
      </c>
      <c r="E121" t="s">
        <v>895</v>
      </c>
      <c r="F121" t="s">
        <v>97</v>
      </c>
      <c r="G121" t="s">
        <v>115</v>
      </c>
      <c r="H121" s="73">
        <v>0</v>
      </c>
      <c r="I121" s="75">
        <v>4251.97</v>
      </c>
      <c r="J121" s="75">
        <v>1</v>
      </c>
    </row>
    <row r="122" spans="1:10" x14ac:dyDescent="0.25">
      <c r="A122" s="53">
        <v>2155</v>
      </c>
      <c r="B122" s="84">
        <v>1</v>
      </c>
      <c r="C122" s="84">
        <v>3</v>
      </c>
      <c r="E122" t="s">
        <v>896</v>
      </c>
      <c r="F122" t="s">
        <v>97</v>
      </c>
      <c r="G122" t="s">
        <v>113</v>
      </c>
      <c r="H122" s="73">
        <v>0</v>
      </c>
      <c r="I122" s="75">
        <v>3283.23</v>
      </c>
      <c r="J122" s="75">
        <v>1</v>
      </c>
    </row>
    <row r="123" spans="1:10" x14ac:dyDescent="0.25">
      <c r="A123" s="53">
        <v>2159</v>
      </c>
      <c r="B123" s="84">
        <v>1</v>
      </c>
      <c r="C123" s="84">
        <v>4</v>
      </c>
      <c r="E123" t="s">
        <v>897</v>
      </c>
      <c r="F123" t="s">
        <v>96</v>
      </c>
      <c r="G123" t="s">
        <v>56</v>
      </c>
      <c r="H123" s="73">
        <v>300000</v>
      </c>
      <c r="I123" s="75">
        <v>8124.57</v>
      </c>
      <c r="J123" s="75">
        <v>1</v>
      </c>
    </row>
    <row r="124" spans="1:10" x14ac:dyDescent="0.25">
      <c r="A124" s="53">
        <v>2162</v>
      </c>
      <c r="B124" s="84">
        <v>1</v>
      </c>
      <c r="C124" s="84">
        <v>3</v>
      </c>
      <c r="E124" t="s">
        <v>898</v>
      </c>
      <c r="F124" t="s">
        <v>97</v>
      </c>
      <c r="G124" t="s">
        <v>115</v>
      </c>
      <c r="H124" s="73">
        <v>0</v>
      </c>
      <c r="I124" s="75">
        <v>8124.57</v>
      </c>
      <c r="J124" s="75">
        <v>1</v>
      </c>
    </row>
    <row r="125" spans="1:10" x14ac:dyDescent="0.25">
      <c r="A125" s="53">
        <v>2163</v>
      </c>
      <c r="B125" s="84">
        <v>1</v>
      </c>
      <c r="C125" s="84">
        <v>3</v>
      </c>
      <c r="E125" t="s">
        <v>899</v>
      </c>
      <c r="F125" t="s">
        <v>97</v>
      </c>
      <c r="G125" t="s">
        <v>113</v>
      </c>
      <c r="H125" s="73">
        <v>0</v>
      </c>
      <c r="I125" s="75">
        <v>3283.23</v>
      </c>
      <c r="J125" s="75">
        <v>1</v>
      </c>
    </row>
    <row r="126" spans="1:10" x14ac:dyDescent="0.25">
      <c r="A126" s="53">
        <v>2165</v>
      </c>
      <c r="B126" s="84">
        <v>1</v>
      </c>
      <c r="C126" s="84">
        <v>4</v>
      </c>
      <c r="E126" t="s">
        <v>900</v>
      </c>
      <c r="F126" t="s">
        <v>96</v>
      </c>
      <c r="G126" t="s">
        <v>114</v>
      </c>
      <c r="H126" s="73">
        <v>0</v>
      </c>
      <c r="I126" s="75">
        <v>3283.23</v>
      </c>
      <c r="J126" s="75">
        <v>1</v>
      </c>
    </row>
    <row r="127" spans="1:10" x14ac:dyDescent="0.25">
      <c r="A127" s="53">
        <v>2166</v>
      </c>
      <c r="B127" s="84">
        <v>1</v>
      </c>
      <c r="C127" s="84">
        <v>3</v>
      </c>
      <c r="E127" t="s">
        <v>901</v>
      </c>
      <c r="F127" t="s">
        <v>96</v>
      </c>
      <c r="G127" t="s">
        <v>56</v>
      </c>
      <c r="H127" s="73">
        <v>300000</v>
      </c>
      <c r="I127" s="75">
        <v>4251.97</v>
      </c>
      <c r="J127" s="75">
        <v>1</v>
      </c>
    </row>
    <row r="128" spans="1:10" x14ac:dyDescent="0.25">
      <c r="A128" s="53">
        <v>2167</v>
      </c>
      <c r="B128" s="84">
        <v>1</v>
      </c>
      <c r="C128" s="84">
        <v>2</v>
      </c>
      <c r="E128" t="s">
        <v>902</v>
      </c>
      <c r="F128" t="s">
        <v>97</v>
      </c>
      <c r="G128" t="s">
        <v>115</v>
      </c>
      <c r="H128" s="73">
        <v>0</v>
      </c>
      <c r="I128" s="75">
        <v>4251.97</v>
      </c>
      <c r="J128" s="75">
        <v>1</v>
      </c>
    </row>
    <row r="129" spans="1:10" x14ac:dyDescent="0.25">
      <c r="A129" s="53">
        <v>2171</v>
      </c>
      <c r="B129" s="84">
        <v>1</v>
      </c>
      <c r="C129" s="84">
        <v>3</v>
      </c>
      <c r="E129" t="s">
        <v>903</v>
      </c>
      <c r="F129" t="s">
        <v>96</v>
      </c>
      <c r="G129" t="s">
        <v>56</v>
      </c>
      <c r="H129" s="73">
        <v>300000</v>
      </c>
      <c r="I129" s="75">
        <v>4251.97</v>
      </c>
      <c r="J129" s="75">
        <v>1</v>
      </c>
    </row>
    <row r="130" spans="1:10" x14ac:dyDescent="0.25">
      <c r="A130" s="53">
        <v>2172</v>
      </c>
      <c r="B130" s="84">
        <v>1</v>
      </c>
      <c r="C130" s="84">
        <v>3</v>
      </c>
      <c r="E130" t="s">
        <v>904</v>
      </c>
      <c r="F130" t="s">
        <v>97</v>
      </c>
      <c r="G130" t="s">
        <v>115</v>
      </c>
      <c r="H130" s="73">
        <v>0</v>
      </c>
      <c r="I130" s="75">
        <v>4251.97</v>
      </c>
      <c r="J130" s="75">
        <v>1</v>
      </c>
    </row>
    <row r="131" spans="1:10" x14ac:dyDescent="0.25">
      <c r="A131" s="53">
        <v>2173</v>
      </c>
      <c r="B131" s="84">
        <v>1</v>
      </c>
      <c r="C131" s="84">
        <v>2</v>
      </c>
      <c r="E131" t="s">
        <v>905</v>
      </c>
      <c r="F131" t="s">
        <v>96</v>
      </c>
      <c r="G131" t="s">
        <v>114</v>
      </c>
      <c r="H131" s="73">
        <v>0</v>
      </c>
      <c r="I131" s="75">
        <v>3283.23</v>
      </c>
      <c r="J131" s="75">
        <v>1</v>
      </c>
    </row>
    <row r="132" spans="1:10" x14ac:dyDescent="0.25">
      <c r="A132" s="53">
        <v>2174</v>
      </c>
      <c r="B132" s="84">
        <v>1</v>
      </c>
      <c r="C132" s="84">
        <v>3</v>
      </c>
      <c r="E132" t="s">
        <v>906</v>
      </c>
      <c r="F132" t="s">
        <v>96</v>
      </c>
      <c r="G132" t="s">
        <v>56</v>
      </c>
      <c r="H132" s="73">
        <v>300000</v>
      </c>
      <c r="I132" s="75">
        <v>4251.97</v>
      </c>
      <c r="J132" s="75">
        <v>1</v>
      </c>
    </row>
    <row r="133" spans="1:10" x14ac:dyDescent="0.25">
      <c r="A133" s="53">
        <v>2175</v>
      </c>
      <c r="B133" s="84">
        <v>1</v>
      </c>
      <c r="C133" s="84">
        <v>3</v>
      </c>
      <c r="E133" t="s">
        <v>907</v>
      </c>
      <c r="F133" t="s">
        <v>97</v>
      </c>
      <c r="G133" t="s">
        <v>113</v>
      </c>
      <c r="H133" s="73">
        <v>0</v>
      </c>
      <c r="I133" s="75">
        <v>3283.23</v>
      </c>
      <c r="J133" s="75">
        <v>1</v>
      </c>
    </row>
    <row r="134" spans="1:10" x14ac:dyDescent="0.25">
      <c r="A134" s="53">
        <v>2177</v>
      </c>
      <c r="B134" s="84">
        <v>1</v>
      </c>
      <c r="C134" s="84">
        <v>3</v>
      </c>
      <c r="E134" t="s">
        <v>908</v>
      </c>
      <c r="F134" t="s">
        <v>97</v>
      </c>
      <c r="G134" t="s">
        <v>115</v>
      </c>
      <c r="H134" s="73">
        <v>0</v>
      </c>
      <c r="I134" s="75">
        <v>3283.23</v>
      </c>
      <c r="J134" s="75">
        <v>1</v>
      </c>
    </row>
    <row r="135" spans="1:10" x14ac:dyDescent="0.25">
      <c r="A135" s="53">
        <v>2179</v>
      </c>
      <c r="B135" s="84">
        <v>1</v>
      </c>
      <c r="C135" s="84">
        <v>2</v>
      </c>
      <c r="E135" t="s">
        <v>909</v>
      </c>
      <c r="F135" t="s">
        <v>96</v>
      </c>
      <c r="G135" t="s">
        <v>114</v>
      </c>
      <c r="H135" s="73">
        <v>0</v>
      </c>
      <c r="I135" s="75">
        <v>3283.23</v>
      </c>
      <c r="J135" s="75">
        <v>1</v>
      </c>
    </row>
    <row r="136" spans="1:10" x14ac:dyDescent="0.25">
      <c r="A136" s="53">
        <v>2183</v>
      </c>
      <c r="B136" s="84">
        <v>1</v>
      </c>
      <c r="C136" s="84">
        <v>4</v>
      </c>
      <c r="E136" t="s">
        <v>910</v>
      </c>
      <c r="F136" t="s">
        <v>96</v>
      </c>
      <c r="G136" t="s">
        <v>56</v>
      </c>
      <c r="H136" s="73">
        <v>300000</v>
      </c>
      <c r="I136" s="75">
        <v>8124.57</v>
      </c>
      <c r="J136" s="75">
        <v>1</v>
      </c>
    </row>
    <row r="137" spans="1:10" x14ac:dyDescent="0.25">
      <c r="A137" s="53">
        <v>2188</v>
      </c>
      <c r="B137" s="84">
        <v>1</v>
      </c>
      <c r="C137" s="84">
        <v>4</v>
      </c>
      <c r="E137" t="s">
        <v>911</v>
      </c>
      <c r="F137" t="s">
        <v>97</v>
      </c>
      <c r="G137" t="s">
        <v>115</v>
      </c>
      <c r="H137" s="73">
        <v>0</v>
      </c>
      <c r="I137" s="75">
        <v>8124.57</v>
      </c>
      <c r="J137" s="75">
        <v>1</v>
      </c>
    </row>
    <row r="138" spans="1:10" x14ac:dyDescent="0.25">
      <c r="A138" s="53">
        <v>2194</v>
      </c>
      <c r="B138" s="84">
        <v>1</v>
      </c>
      <c r="C138" s="84">
        <v>1</v>
      </c>
      <c r="E138" t="s">
        <v>912</v>
      </c>
      <c r="F138" t="s">
        <v>96</v>
      </c>
      <c r="G138" t="s">
        <v>114</v>
      </c>
      <c r="H138" s="73">
        <v>0</v>
      </c>
      <c r="I138" s="75">
        <v>3283.23</v>
      </c>
      <c r="J138" s="75">
        <v>1</v>
      </c>
    </row>
    <row r="139" spans="1:10" x14ac:dyDescent="0.25">
      <c r="A139" s="53">
        <v>2195</v>
      </c>
      <c r="B139" s="84">
        <v>0</v>
      </c>
      <c r="C139" s="84">
        <v>0</v>
      </c>
      <c r="E139" t="s">
        <v>913</v>
      </c>
      <c r="F139" t="s">
        <v>96</v>
      </c>
      <c r="G139" t="s">
        <v>114</v>
      </c>
      <c r="H139" s="73">
        <v>0</v>
      </c>
      <c r="I139" s="75">
        <v>3283.23</v>
      </c>
      <c r="J139" s="75">
        <v>1</v>
      </c>
    </row>
    <row r="140" spans="1:10" x14ac:dyDescent="0.25">
      <c r="A140" s="53">
        <v>2198</v>
      </c>
      <c r="B140" s="84">
        <v>1</v>
      </c>
      <c r="C140" s="84">
        <v>1</v>
      </c>
      <c r="E140" t="s">
        <v>914</v>
      </c>
      <c r="F140" t="s">
        <v>96</v>
      </c>
      <c r="G140" t="s">
        <v>56</v>
      </c>
      <c r="H140" s="73">
        <v>300000</v>
      </c>
      <c r="I140" s="75">
        <v>8124.57</v>
      </c>
      <c r="J140" s="75">
        <v>1</v>
      </c>
    </row>
    <row r="141" spans="1:10" x14ac:dyDescent="0.25">
      <c r="A141" s="53">
        <v>2200</v>
      </c>
      <c r="B141" s="84">
        <v>1</v>
      </c>
      <c r="C141" s="84">
        <v>2</v>
      </c>
      <c r="E141" t="s">
        <v>915</v>
      </c>
      <c r="F141" t="s">
        <v>97</v>
      </c>
      <c r="G141" t="s">
        <v>113</v>
      </c>
      <c r="H141" s="73">
        <v>0</v>
      </c>
      <c r="I141" s="75">
        <v>3283.23</v>
      </c>
      <c r="J141" s="75">
        <v>1</v>
      </c>
    </row>
    <row r="142" spans="1:10" x14ac:dyDescent="0.25">
      <c r="A142" s="53">
        <v>2206</v>
      </c>
      <c r="B142" s="84">
        <v>1</v>
      </c>
      <c r="C142" s="84">
        <v>3</v>
      </c>
      <c r="E142" t="s">
        <v>916</v>
      </c>
      <c r="F142" t="s">
        <v>97</v>
      </c>
      <c r="G142" t="s">
        <v>115</v>
      </c>
      <c r="H142" s="73">
        <v>0</v>
      </c>
      <c r="I142" s="75">
        <v>8124.57</v>
      </c>
      <c r="J142" s="75">
        <v>1</v>
      </c>
    </row>
    <row r="143" spans="1:10" x14ac:dyDescent="0.25">
      <c r="A143" s="53">
        <v>2212</v>
      </c>
      <c r="B143" s="84">
        <v>0</v>
      </c>
      <c r="C143" s="84">
        <v>0</v>
      </c>
      <c r="E143" t="s">
        <v>917</v>
      </c>
      <c r="F143" t="s">
        <v>97</v>
      </c>
      <c r="G143" t="s">
        <v>113</v>
      </c>
      <c r="H143" s="73">
        <v>0</v>
      </c>
      <c r="I143" s="75">
        <v>3283.23</v>
      </c>
      <c r="J143" s="75">
        <v>1</v>
      </c>
    </row>
    <row r="144" spans="1:10" x14ac:dyDescent="0.25">
      <c r="A144" s="53">
        <v>2216</v>
      </c>
      <c r="B144" s="84">
        <v>1</v>
      </c>
      <c r="C144" s="84">
        <v>3</v>
      </c>
      <c r="E144" t="s">
        <v>918</v>
      </c>
      <c r="F144" t="s">
        <v>96</v>
      </c>
      <c r="G144" t="s">
        <v>56</v>
      </c>
      <c r="H144" s="73">
        <v>300000</v>
      </c>
      <c r="I144" s="75">
        <v>4251.97</v>
      </c>
      <c r="J144" s="75">
        <v>1</v>
      </c>
    </row>
    <row r="145" spans="1:10" x14ac:dyDescent="0.25">
      <c r="A145" s="53">
        <v>2218</v>
      </c>
      <c r="B145" s="84">
        <v>1</v>
      </c>
      <c r="C145" s="84">
        <v>4</v>
      </c>
      <c r="E145" t="s">
        <v>919</v>
      </c>
      <c r="F145" t="s">
        <v>97</v>
      </c>
      <c r="G145" t="s">
        <v>113</v>
      </c>
      <c r="H145" s="73">
        <v>0</v>
      </c>
      <c r="I145" s="75">
        <v>3283.23</v>
      </c>
      <c r="J145" s="75">
        <v>1</v>
      </c>
    </row>
    <row r="146" spans="1:10" x14ac:dyDescent="0.25">
      <c r="A146" s="53">
        <v>2221</v>
      </c>
      <c r="B146" s="84">
        <v>0</v>
      </c>
      <c r="C146" s="84">
        <v>0</v>
      </c>
      <c r="E146" t="s">
        <v>920</v>
      </c>
      <c r="F146" t="s">
        <v>96</v>
      </c>
      <c r="G146" t="s">
        <v>114</v>
      </c>
      <c r="H146" s="73">
        <v>0</v>
      </c>
      <c r="I146" s="75">
        <v>3283.23</v>
      </c>
      <c r="J146" s="75">
        <v>1</v>
      </c>
    </row>
    <row r="147" spans="1:10" x14ac:dyDescent="0.25">
      <c r="A147" s="53">
        <v>2222</v>
      </c>
      <c r="B147" s="84">
        <v>1</v>
      </c>
      <c r="C147" s="84">
        <v>3</v>
      </c>
      <c r="E147" t="s">
        <v>921</v>
      </c>
      <c r="F147" t="s">
        <v>97</v>
      </c>
      <c r="G147" t="s">
        <v>115</v>
      </c>
      <c r="H147" s="73">
        <v>0</v>
      </c>
      <c r="I147" s="75">
        <v>4251.97</v>
      </c>
      <c r="J147" s="75">
        <v>1</v>
      </c>
    </row>
    <row r="148" spans="1:10" x14ac:dyDescent="0.25">
      <c r="A148" s="53">
        <v>2227</v>
      </c>
      <c r="B148" s="84">
        <v>1</v>
      </c>
      <c r="C148" s="84">
        <v>3</v>
      </c>
      <c r="E148" t="s">
        <v>922</v>
      </c>
      <c r="F148" t="s">
        <v>96</v>
      </c>
      <c r="G148" t="s">
        <v>56</v>
      </c>
      <c r="H148" s="73">
        <v>300000</v>
      </c>
      <c r="I148" s="75">
        <v>4251.97</v>
      </c>
      <c r="J148" s="75">
        <v>1</v>
      </c>
    </row>
    <row r="149" spans="1:10" x14ac:dyDescent="0.25">
      <c r="A149" s="53">
        <v>2231</v>
      </c>
      <c r="B149" s="84">
        <v>1</v>
      </c>
      <c r="C149" s="84">
        <v>1</v>
      </c>
      <c r="E149" t="s">
        <v>923</v>
      </c>
      <c r="F149" t="s">
        <v>97</v>
      </c>
      <c r="G149" t="s">
        <v>113</v>
      </c>
      <c r="H149" s="73">
        <v>0</v>
      </c>
      <c r="I149" s="75">
        <v>3283.23</v>
      </c>
      <c r="J149" s="75">
        <v>1</v>
      </c>
    </row>
    <row r="150" spans="1:10" x14ac:dyDescent="0.25">
      <c r="A150" s="53">
        <v>2232</v>
      </c>
      <c r="B150" s="84">
        <v>1</v>
      </c>
      <c r="C150" s="84">
        <v>3</v>
      </c>
      <c r="E150" t="s">
        <v>924</v>
      </c>
      <c r="F150" t="s">
        <v>97</v>
      </c>
      <c r="G150" t="s">
        <v>115</v>
      </c>
      <c r="H150" s="73">
        <v>0</v>
      </c>
      <c r="I150" s="75">
        <v>4251.97</v>
      </c>
      <c r="J150" s="75">
        <v>1</v>
      </c>
    </row>
    <row r="151" spans="1:10" x14ac:dyDescent="0.25">
      <c r="A151" s="53">
        <v>2233</v>
      </c>
      <c r="B151" s="84">
        <v>1</v>
      </c>
      <c r="C151" s="84">
        <v>1</v>
      </c>
      <c r="E151" t="s">
        <v>925</v>
      </c>
      <c r="F151" t="s">
        <v>96</v>
      </c>
      <c r="G151" t="s">
        <v>114</v>
      </c>
      <c r="H151" s="73">
        <v>0</v>
      </c>
      <c r="I151" s="75">
        <v>3283.23</v>
      </c>
      <c r="J151" s="75">
        <v>1</v>
      </c>
    </row>
    <row r="152" spans="1:10" x14ac:dyDescent="0.25">
      <c r="A152" s="53">
        <v>2234</v>
      </c>
      <c r="B152" s="84">
        <v>1</v>
      </c>
      <c r="C152" s="84">
        <v>1</v>
      </c>
      <c r="E152" t="s">
        <v>926</v>
      </c>
      <c r="F152" t="s">
        <v>96</v>
      </c>
      <c r="G152" t="s">
        <v>56</v>
      </c>
      <c r="H152" s="73">
        <v>300000</v>
      </c>
      <c r="I152" s="75">
        <v>4251.97</v>
      </c>
      <c r="J152" s="75">
        <v>1</v>
      </c>
    </row>
    <row r="153" spans="1:10" x14ac:dyDescent="0.25">
      <c r="A153" s="53">
        <v>2238</v>
      </c>
      <c r="B153" s="84">
        <v>1</v>
      </c>
      <c r="C153" s="84">
        <v>1</v>
      </c>
      <c r="E153" t="s">
        <v>927</v>
      </c>
      <c r="F153" t="s">
        <v>97</v>
      </c>
      <c r="G153" t="s">
        <v>115</v>
      </c>
      <c r="H153" s="73">
        <v>0</v>
      </c>
      <c r="I153" s="75">
        <v>3283.23</v>
      </c>
      <c r="J153" s="75">
        <v>1</v>
      </c>
    </row>
    <row r="154" spans="1:10" x14ac:dyDescent="0.25">
      <c r="A154" s="53">
        <v>2244</v>
      </c>
      <c r="B154" s="84">
        <v>1</v>
      </c>
      <c r="C154" s="84">
        <v>4</v>
      </c>
      <c r="E154" t="s">
        <v>928</v>
      </c>
      <c r="F154" t="s">
        <v>96</v>
      </c>
      <c r="G154" t="s">
        <v>114</v>
      </c>
      <c r="H154" s="73">
        <v>0</v>
      </c>
      <c r="I154" s="75">
        <v>3283.23</v>
      </c>
      <c r="J154" s="75">
        <v>1</v>
      </c>
    </row>
    <row r="155" spans="1:10" x14ac:dyDescent="0.25">
      <c r="A155" s="53">
        <v>2245</v>
      </c>
      <c r="B155" s="84">
        <v>1</v>
      </c>
      <c r="C155" s="84">
        <v>1</v>
      </c>
      <c r="E155" t="s">
        <v>929</v>
      </c>
      <c r="F155" t="s">
        <v>96</v>
      </c>
      <c r="G155" t="s">
        <v>114</v>
      </c>
      <c r="H155" s="73">
        <v>0</v>
      </c>
      <c r="I155" s="75">
        <v>3283.23</v>
      </c>
      <c r="J155" s="75">
        <v>1</v>
      </c>
    </row>
    <row r="156" spans="1:10" x14ac:dyDescent="0.25">
      <c r="A156" s="53">
        <v>2246</v>
      </c>
      <c r="B156" s="84">
        <v>1</v>
      </c>
      <c r="C156" s="84">
        <v>1</v>
      </c>
      <c r="E156" t="s">
        <v>930</v>
      </c>
      <c r="F156" t="s">
        <v>96</v>
      </c>
      <c r="G156" t="s">
        <v>56</v>
      </c>
      <c r="H156" s="73">
        <v>300000</v>
      </c>
      <c r="I156" s="75">
        <v>14246.99</v>
      </c>
      <c r="J156" s="75">
        <v>1</v>
      </c>
    </row>
    <row r="157" spans="1:10" x14ac:dyDescent="0.25">
      <c r="A157" s="53">
        <v>2247</v>
      </c>
      <c r="B157" s="84">
        <v>1</v>
      </c>
      <c r="C157" s="84">
        <v>4</v>
      </c>
      <c r="E157" t="s">
        <v>931</v>
      </c>
      <c r="F157" t="s">
        <v>97</v>
      </c>
      <c r="G157" t="s">
        <v>115</v>
      </c>
      <c r="H157" s="73">
        <v>0</v>
      </c>
      <c r="I157" s="75">
        <v>8124.57</v>
      </c>
      <c r="J157" s="75">
        <v>1</v>
      </c>
    </row>
    <row r="158" spans="1:10" x14ac:dyDescent="0.25">
      <c r="A158" s="53">
        <v>2249</v>
      </c>
      <c r="B158" s="84">
        <v>1</v>
      </c>
      <c r="C158" s="84">
        <v>1</v>
      </c>
      <c r="E158" t="s">
        <v>932</v>
      </c>
      <c r="F158" t="s">
        <v>96</v>
      </c>
      <c r="G158" t="s">
        <v>56</v>
      </c>
      <c r="H158" s="73">
        <v>300000</v>
      </c>
      <c r="I158" s="75">
        <v>4251.97</v>
      </c>
      <c r="J158" s="75">
        <v>1</v>
      </c>
    </row>
    <row r="159" spans="1:10" x14ac:dyDescent="0.25">
      <c r="A159" s="53">
        <v>2254</v>
      </c>
      <c r="B159" s="84">
        <v>1</v>
      </c>
      <c r="C159" s="84">
        <v>3</v>
      </c>
      <c r="E159" t="s">
        <v>933</v>
      </c>
      <c r="F159" t="s">
        <v>97</v>
      </c>
      <c r="G159" t="s">
        <v>115</v>
      </c>
      <c r="H159" s="73">
        <v>0</v>
      </c>
      <c r="I159" s="75">
        <v>4251.97</v>
      </c>
      <c r="J159" s="75">
        <v>1</v>
      </c>
    </row>
    <row r="160" spans="1:10" x14ac:dyDescent="0.25">
      <c r="A160" s="53">
        <v>2255</v>
      </c>
      <c r="B160" s="84">
        <v>1</v>
      </c>
      <c r="C160" s="84">
        <v>1</v>
      </c>
      <c r="E160" t="s">
        <v>934</v>
      </c>
      <c r="F160" t="s">
        <v>96</v>
      </c>
      <c r="G160" t="s">
        <v>114</v>
      </c>
      <c r="H160" s="73">
        <v>0</v>
      </c>
      <c r="I160" s="75">
        <v>3283.23</v>
      </c>
      <c r="J160" s="75">
        <v>1</v>
      </c>
    </row>
    <row r="161" spans="1:10" x14ac:dyDescent="0.25">
      <c r="A161" s="53">
        <v>2263</v>
      </c>
      <c r="B161" s="84">
        <v>1</v>
      </c>
      <c r="C161" s="84">
        <v>1</v>
      </c>
      <c r="E161" t="s">
        <v>935</v>
      </c>
      <c r="F161" t="s">
        <v>97</v>
      </c>
      <c r="G161" t="s">
        <v>113</v>
      </c>
      <c r="H161" s="73">
        <v>0</v>
      </c>
      <c r="I161" s="75">
        <v>3283.23</v>
      </c>
      <c r="J161" s="75">
        <v>1</v>
      </c>
    </row>
    <row r="162" spans="1:10" x14ac:dyDescent="0.25">
      <c r="A162" s="53">
        <v>2264</v>
      </c>
      <c r="B162" s="84">
        <v>1</v>
      </c>
      <c r="C162" s="84">
        <v>1</v>
      </c>
      <c r="E162" t="s">
        <v>936</v>
      </c>
      <c r="F162" t="s">
        <v>96</v>
      </c>
      <c r="G162" t="s">
        <v>56</v>
      </c>
      <c r="H162" s="73">
        <v>300000</v>
      </c>
      <c r="I162" s="75">
        <v>14246.99</v>
      </c>
      <c r="J162" s="75">
        <v>1</v>
      </c>
    </row>
    <row r="163" spans="1:10" x14ac:dyDescent="0.25">
      <c r="A163" s="53">
        <v>2265</v>
      </c>
      <c r="B163" s="84">
        <v>0</v>
      </c>
      <c r="C163" s="84">
        <v>0</v>
      </c>
      <c r="E163" t="s">
        <v>937</v>
      </c>
      <c r="F163" t="s">
        <v>97</v>
      </c>
      <c r="G163" t="s">
        <v>115</v>
      </c>
      <c r="H163" s="73">
        <v>0</v>
      </c>
      <c r="I163" s="75">
        <v>8124.57</v>
      </c>
      <c r="J163" s="75">
        <v>1</v>
      </c>
    </row>
    <row r="164" spans="1:10" x14ac:dyDescent="0.25">
      <c r="A164" s="53">
        <v>2266</v>
      </c>
      <c r="B164" s="84">
        <v>1</v>
      </c>
      <c r="C164" s="84">
        <v>4</v>
      </c>
      <c r="E164" t="s">
        <v>938</v>
      </c>
      <c r="F164" t="s">
        <v>96</v>
      </c>
      <c r="G164" t="s">
        <v>56</v>
      </c>
      <c r="H164" s="73">
        <v>0</v>
      </c>
      <c r="I164" s="75">
        <v>1933.7726575342467</v>
      </c>
      <c r="J164" s="75">
        <v>0</v>
      </c>
    </row>
    <row r="165" spans="1:10" x14ac:dyDescent="0.25">
      <c r="A165" s="53">
        <v>2267</v>
      </c>
      <c r="B165" s="84">
        <v>1</v>
      </c>
      <c r="C165" s="84">
        <v>3</v>
      </c>
      <c r="E165" t="s">
        <v>939</v>
      </c>
      <c r="F165" t="s">
        <v>96</v>
      </c>
      <c r="G165" t="s">
        <v>114</v>
      </c>
      <c r="H165" s="73">
        <v>0</v>
      </c>
      <c r="I165" s="75">
        <v>1493.1950136986302</v>
      </c>
      <c r="J165" s="75">
        <v>0</v>
      </c>
    </row>
    <row r="166" spans="1:10" x14ac:dyDescent="0.25">
      <c r="A166" s="53">
        <v>2271</v>
      </c>
      <c r="B166" s="84">
        <v>1</v>
      </c>
      <c r="C166" s="84">
        <v>3</v>
      </c>
      <c r="E166" t="s">
        <v>940</v>
      </c>
      <c r="F166" t="s">
        <v>97</v>
      </c>
      <c r="G166" t="s">
        <v>115</v>
      </c>
      <c r="H166" s="73">
        <v>0</v>
      </c>
      <c r="I166" s="75">
        <v>1493.1950136986302</v>
      </c>
      <c r="J166" s="75">
        <v>0</v>
      </c>
    </row>
    <row r="167" spans="1:10" x14ac:dyDescent="0.25">
      <c r="A167" s="53">
        <v>2272</v>
      </c>
      <c r="B167" s="84">
        <v>1</v>
      </c>
      <c r="C167" s="84">
        <v>3</v>
      </c>
      <c r="E167" t="s">
        <v>941</v>
      </c>
      <c r="F167" t="s">
        <v>97</v>
      </c>
      <c r="G167" t="s">
        <v>113</v>
      </c>
      <c r="H167" s="73">
        <v>0</v>
      </c>
      <c r="I167" s="75">
        <v>1493.1950136986302</v>
      </c>
      <c r="J167" s="75">
        <v>0</v>
      </c>
    </row>
    <row r="168" spans="1:10" x14ac:dyDescent="0.25">
      <c r="A168" s="53">
        <v>2273</v>
      </c>
      <c r="B168" s="84">
        <v>1</v>
      </c>
      <c r="C168" s="84">
        <v>3</v>
      </c>
      <c r="E168" t="s">
        <v>942</v>
      </c>
      <c r="F168" t="s">
        <v>96</v>
      </c>
      <c r="G168" t="s">
        <v>56</v>
      </c>
      <c r="H168" s="73">
        <v>300000</v>
      </c>
      <c r="I168" s="75">
        <v>8124.57</v>
      </c>
      <c r="J168" s="75">
        <v>1</v>
      </c>
    </row>
    <row r="169" spans="1:10" x14ac:dyDescent="0.25">
      <c r="A169" s="53">
        <v>2275</v>
      </c>
      <c r="B169" s="84">
        <v>1</v>
      </c>
      <c r="C169" s="84">
        <v>1</v>
      </c>
      <c r="E169" t="s">
        <v>943</v>
      </c>
      <c r="F169" t="s">
        <v>96</v>
      </c>
      <c r="G169" t="s">
        <v>56</v>
      </c>
      <c r="H169" s="73">
        <v>300000</v>
      </c>
      <c r="I169" s="75">
        <v>14246.99</v>
      </c>
      <c r="J169" s="75">
        <v>1</v>
      </c>
    </row>
    <row r="170" spans="1:10" x14ac:dyDescent="0.25">
      <c r="A170" s="53">
        <v>2278</v>
      </c>
      <c r="B170" s="84">
        <v>1</v>
      </c>
      <c r="C170" s="84">
        <v>2</v>
      </c>
      <c r="E170" t="s">
        <v>944</v>
      </c>
      <c r="F170" t="s">
        <v>97</v>
      </c>
      <c r="G170" t="s">
        <v>113</v>
      </c>
      <c r="H170" s="73">
        <v>0</v>
      </c>
      <c r="I170" s="75">
        <v>3283.23</v>
      </c>
      <c r="J170" s="75">
        <v>1</v>
      </c>
    </row>
    <row r="171" spans="1:10" x14ac:dyDescent="0.25">
      <c r="A171" s="53">
        <v>2279</v>
      </c>
      <c r="B171" s="84">
        <v>1</v>
      </c>
      <c r="C171" s="84">
        <v>1</v>
      </c>
      <c r="E171" t="s">
        <v>945</v>
      </c>
      <c r="F171" t="s">
        <v>96</v>
      </c>
      <c r="G171" t="s">
        <v>114</v>
      </c>
      <c r="H171" s="73">
        <v>0</v>
      </c>
      <c r="I171" s="75">
        <v>3283.23</v>
      </c>
      <c r="J171" s="75">
        <v>1</v>
      </c>
    </row>
    <row r="172" spans="1:10" x14ac:dyDescent="0.25">
      <c r="A172" s="53">
        <v>2281</v>
      </c>
      <c r="B172" s="84">
        <v>1</v>
      </c>
      <c r="C172" s="84">
        <v>1</v>
      </c>
      <c r="E172" t="s">
        <v>946</v>
      </c>
      <c r="F172" t="s">
        <v>97</v>
      </c>
      <c r="G172" t="s">
        <v>115</v>
      </c>
      <c r="H172" s="73">
        <v>0</v>
      </c>
      <c r="I172" s="75">
        <v>8124.57</v>
      </c>
      <c r="J172" s="75">
        <v>1</v>
      </c>
    </row>
    <row r="173" spans="1:10" x14ac:dyDescent="0.25">
      <c r="A173" s="53">
        <v>2282</v>
      </c>
      <c r="B173" s="84">
        <v>1</v>
      </c>
      <c r="C173" s="84">
        <v>3</v>
      </c>
      <c r="E173" t="s">
        <v>947</v>
      </c>
      <c r="F173" t="s">
        <v>96</v>
      </c>
      <c r="G173" t="s">
        <v>56</v>
      </c>
      <c r="H173" s="73">
        <v>300000</v>
      </c>
      <c r="I173" s="75">
        <v>8124.57</v>
      </c>
      <c r="J173" s="75">
        <v>1</v>
      </c>
    </row>
    <row r="174" spans="1:10" x14ac:dyDescent="0.25">
      <c r="A174" s="53">
        <v>2283</v>
      </c>
      <c r="B174" s="84">
        <v>1</v>
      </c>
      <c r="C174" s="84">
        <v>3</v>
      </c>
      <c r="E174" t="s">
        <v>948</v>
      </c>
      <c r="F174" t="s">
        <v>97</v>
      </c>
      <c r="G174" t="s">
        <v>113</v>
      </c>
      <c r="H174" s="73">
        <v>0</v>
      </c>
      <c r="I174" s="75">
        <v>3283.23</v>
      </c>
      <c r="J174" s="75">
        <v>1</v>
      </c>
    </row>
    <row r="175" spans="1:10" x14ac:dyDescent="0.25">
      <c r="A175" s="53">
        <v>2284</v>
      </c>
      <c r="B175" s="84">
        <v>1</v>
      </c>
      <c r="C175" s="84">
        <v>3</v>
      </c>
      <c r="E175" t="s">
        <v>949</v>
      </c>
      <c r="F175" t="s">
        <v>97</v>
      </c>
      <c r="G175" t="s">
        <v>113</v>
      </c>
      <c r="H175" s="73">
        <v>0</v>
      </c>
      <c r="I175" s="75">
        <v>3283.23</v>
      </c>
      <c r="J175" s="75">
        <v>1</v>
      </c>
    </row>
    <row r="176" spans="1:10" x14ac:dyDescent="0.25">
      <c r="A176" s="53">
        <v>2285</v>
      </c>
      <c r="B176" s="84">
        <v>1</v>
      </c>
      <c r="C176" s="84">
        <v>1</v>
      </c>
      <c r="E176" t="s">
        <v>950</v>
      </c>
      <c r="F176" t="s">
        <v>97</v>
      </c>
      <c r="G176" t="s">
        <v>115</v>
      </c>
      <c r="H176" s="73">
        <v>0</v>
      </c>
      <c r="I176" s="75">
        <v>4251.97</v>
      </c>
      <c r="J176" s="75">
        <v>1</v>
      </c>
    </row>
    <row r="177" spans="1:10" x14ac:dyDescent="0.25">
      <c r="A177" s="53">
        <v>2286</v>
      </c>
      <c r="B177" s="84">
        <v>1</v>
      </c>
      <c r="C177" s="84">
        <v>1</v>
      </c>
      <c r="E177" t="s">
        <v>951</v>
      </c>
      <c r="F177" t="s">
        <v>96</v>
      </c>
      <c r="G177" t="s">
        <v>56</v>
      </c>
      <c r="H177" s="73">
        <v>300000</v>
      </c>
      <c r="I177" s="75">
        <v>8124.57</v>
      </c>
      <c r="J177" s="75">
        <v>1</v>
      </c>
    </row>
    <row r="178" spans="1:10" x14ac:dyDescent="0.25">
      <c r="A178" s="53">
        <v>2288</v>
      </c>
      <c r="B178" s="84">
        <v>0</v>
      </c>
      <c r="C178" s="84">
        <v>0</v>
      </c>
      <c r="E178" t="s">
        <v>952</v>
      </c>
      <c r="F178" t="s">
        <v>97</v>
      </c>
      <c r="G178" t="s">
        <v>115</v>
      </c>
      <c r="H178" s="73">
        <v>0</v>
      </c>
      <c r="I178" s="75">
        <v>8124.57</v>
      </c>
      <c r="J178" s="75">
        <v>1</v>
      </c>
    </row>
    <row r="179" spans="1:10" x14ac:dyDescent="0.25">
      <c r="A179" s="53">
        <v>2289</v>
      </c>
      <c r="B179" s="84">
        <v>1</v>
      </c>
      <c r="C179" s="84">
        <v>3</v>
      </c>
      <c r="E179" t="s">
        <v>953</v>
      </c>
      <c r="F179" t="s">
        <v>97</v>
      </c>
      <c r="G179" t="s">
        <v>113</v>
      </c>
      <c r="H179" s="73">
        <v>0</v>
      </c>
      <c r="I179" s="75">
        <v>3283.23</v>
      </c>
      <c r="J179" s="75">
        <v>1</v>
      </c>
    </row>
    <row r="180" spans="1:10" x14ac:dyDescent="0.25">
      <c r="A180" s="53">
        <v>2290</v>
      </c>
      <c r="B180" s="84">
        <v>1</v>
      </c>
      <c r="C180" s="84">
        <v>4</v>
      </c>
      <c r="E180" t="s">
        <v>954</v>
      </c>
      <c r="F180" t="s">
        <v>97</v>
      </c>
      <c r="G180" t="s">
        <v>113</v>
      </c>
      <c r="H180" s="73">
        <v>0</v>
      </c>
      <c r="I180" s="75">
        <v>3283.23</v>
      </c>
      <c r="J180" s="75">
        <v>1</v>
      </c>
    </row>
    <row r="181" spans="1:10" x14ac:dyDescent="0.25">
      <c r="A181" s="53">
        <v>2291</v>
      </c>
      <c r="B181" s="84">
        <v>1</v>
      </c>
      <c r="C181" s="84">
        <v>4</v>
      </c>
      <c r="E181" t="s">
        <v>955</v>
      </c>
      <c r="F181" t="s">
        <v>97</v>
      </c>
      <c r="G181" t="s">
        <v>56</v>
      </c>
      <c r="H181" s="73">
        <v>300000</v>
      </c>
      <c r="I181" s="75">
        <v>14246.99</v>
      </c>
      <c r="J181" s="75">
        <v>1</v>
      </c>
    </row>
    <row r="182" spans="1:10" x14ac:dyDescent="0.25">
      <c r="A182" s="53">
        <v>2293</v>
      </c>
      <c r="B182" s="84">
        <v>1</v>
      </c>
      <c r="C182" s="84">
        <v>3</v>
      </c>
      <c r="E182" t="s">
        <v>956</v>
      </c>
      <c r="F182" t="s">
        <v>96</v>
      </c>
      <c r="G182" t="s">
        <v>56</v>
      </c>
      <c r="H182" s="73">
        <v>300000</v>
      </c>
      <c r="I182" s="75">
        <v>8124.57</v>
      </c>
      <c r="J182" s="75">
        <v>1</v>
      </c>
    </row>
    <row r="183" spans="1:10" x14ac:dyDescent="0.25">
      <c r="A183" s="53">
        <v>2294</v>
      </c>
      <c r="B183" s="84">
        <v>1</v>
      </c>
      <c r="C183" s="84">
        <v>3</v>
      </c>
      <c r="E183" t="s">
        <v>957</v>
      </c>
      <c r="F183" t="s">
        <v>96</v>
      </c>
      <c r="G183" t="s">
        <v>114</v>
      </c>
      <c r="H183" s="73">
        <v>0</v>
      </c>
      <c r="I183" s="75">
        <v>3283.23</v>
      </c>
      <c r="J183" s="75">
        <v>1</v>
      </c>
    </row>
    <row r="184" spans="1:10" x14ac:dyDescent="0.25">
      <c r="A184" s="53">
        <v>2295</v>
      </c>
      <c r="B184" s="84">
        <v>1</v>
      </c>
      <c r="C184" s="84">
        <v>1</v>
      </c>
      <c r="E184" t="s">
        <v>958</v>
      </c>
      <c r="F184" t="s">
        <v>97</v>
      </c>
      <c r="G184" t="s">
        <v>115</v>
      </c>
      <c r="H184" s="73">
        <v>0</v>
      </c>
      <c r="I184" s="75">
        <v>8124.57</v>
      </c>
      <c r="J184" s="75">
        <v>1</v>
      </c>
    </row>
    <row r="185" spans="1:10" x14ac:dyDescent="0.25">
      <c r="A185" s="53">
        <v>2298</v>
      </c>
      <c r="B185" s="84">
        <v>1</v>
      </c>
      <c r="C185" s="84">
        <v>3</v>
      </c>
      <c r="E185" t="s">
        <v>959</v>
      </c>
      <c r="F185" t="s">
        <v>97</v>
      </c>
      <c r="G185" t="s">
        <v>113</v>
      </c>
      <c r="H185" s="73">
        <v>0</v>
      </c>
      <c r="I185" s="75">
        <v>3283.23</v>
      </c>
      <c r="J185" s="75">
        <v>1</v>
      </c>
    </row>
    <row r="186" spans="1:10" x14ac:dyDescent="0.25">
      <c r="A186" s="53">
        <v>2303</v>
      </c>
      <c r="B186" s="84">
        <v>1</v>
      </c>
      <c r="C186" s="84">
        <v>2</v>
      </c>
      <c r="E186" t="s">
        <v>960</v>
      </c>
      <c r="F186" t="s">
        <v>96</v>
      </c>
      <c r="G186" t="s">
        <v>56</v>
      </c>
      <c r="H186" s="73">
        <v>300000</v>
      </c>
      <c r="I186" s="75">
        <v>8124.57</v>
      </c>
      <c r="J186" s="75">
        <v>1</v>
      </c>
    </row>
    <row r="187" spans="1:10" x14ac:dyDescent="0.25">
      <c r="A187" s="53">
        <v>2304</v>
      </c>
      <c r="B187" s="84">
        <v>1</v>
      </c>
      <c r="C187" s="84">
        <v>4</v>
      </c>
      <c r="E187" t="s">
        <v>961</v>
      </c>
      <c r="F187" t="s">
        <v>96</v>
      </c>
      <c r="G187" t="s">
        <v>114</v>
      </c>
      <c r="H187" s="73">
        <v>0</v>
      </c>
      <c r="I187" s="75">
        <v>3283.23</v>
      </c>
      <c r="J187" s="75">
        <v>1</v>
      </c>
    </row>
    <row r="188" spans="1:10" x14ac:dyDescent="0.25">
      <c r="A188" s="53">
        <v>2305</v>
      </c>
      <c r="B188" s="84">
        <v>1</v>
      </c>
      <c r="C188" s="84">
        <v>1</v>
      </c>
      <c r="E188" t="s">
        <v>962</v>
      </c>
      <c r="F188" t="s">
        <v>96</v>
      </c>
      <c r="G188" t="s">
        <v>114</v>
      </c>
      <c r="H188" s="73">
        <v>0</v>
      </c>
      <c r="I188" s="75">
        <v>3283.23</v>
      </c>
      <c r="J188" s="75">
        <v>1</v>
      </c>
    </row>
    <row r="189" spans="1:10" x14ac:dyDescent="0.25">
      <c r="A189" s="53">
        <v>2306</v>
      </c>
      <c r="B189" s="84">
        <v>1</v>
      </c>
      <c r="C189" s="84">
        <v>4</v>
      </c>
      <c r="E189" t="s">
        <v>963</v>
      </c>
      <c r="F189" t="s">
        <v>97</v>
      </c>
      <c r="G189" t="s">
        <v>115</v>
      </c>
      <c r="H189" s="73">
        <v>0</v>
      </c>
      <c r="I189" s="75">
        <v>4251.97</v>
      </c>
      <c r="J189" s="75">
        <v>1</v>
      </c>
    </row>
    <row r="190" spans="1:10" x14ac:dyDescent="0.25">
      <c r="A190" s="53">
        <v>2307</v>
      </c>
      <c r="B190" s="84">
        <v>1</v>
      </c>
      <c r="C190" s="84">
        <v>4</v>
      </c>
      <c r="E190" t="s">
        <v>964</v>
      </c>
      <c r="F190" t="s">
        <v>96</v>
      </c>
      <c r="G190" t="s">
        <v>56</v>
      </c>
      <c r="H190" s="73">
        <v>300000</v>
      </c>
      <c r="I190" s="75">
        <v>14246.99</v>
      </c>
      <c r="J190" s="75">
        <v>1</v>
      </c>
    </row>
    <row r="191" spans="1:10" x14ac:dyDescent="0.25">
      <c r="A191" s="53">
        <v>2310</v>
      </c>
      <c r="B191" s="84">
        <v>1</v>
      </c>
      <c r="C191" s="84">
        <v>3</v>
      </c>
      <c r="E191" t="s">
        <v>965</v>
      </c>
      <c r="F191" t="s">
        <v>97</v>
      </c>
      <c r="G191" t="s">
        <v>115</v>
      </c>
      <c r="H191" s="73">
        <v>0</v>
      </c>
      <c r="I191" s="75">
        <v>8124.57</v>
      </c>
      <c r="J191" s="75">
        <v>1</v>
      </c>
    </row>
    <row r="192" spans="1:10" x14ac:dyDescent="0.25">
      <c r="A192" s="53">
        <v>2311</v>
      </c>
      <c r="B192" s="84">
        <v>1</v>
      </c>
      <c r="C192" s="84">
        <v>3</v>
      </c>
      <c r="E192" t="s">
        <v>966</v>
      </c>
      <c r="F192" t="s">
        <v>96</v>
      </c>
      <c r="G192" t="s">
        <v>56</v>
      </c>
      <c r="H192" s="73">
        <v>300000</v>
      </c>
      <c r="I192" s="75">
        <v>8124.57</v>
      </c>
      <c r="J192" s="75">
        <v>1</v>
      </c>
    </row>
    <row r="193" spans="1:10" x14ac:dyDescent="0.25">
      <c r="A193" s="53">
        <v>2312</v>
      </c>
      <c r="B193" s="84">
        <v>1</v>
      </c>
      <c r="C193" s="84">
        <v>3</v>
      </c>
      <c r="E193" t="s">
        <v>967</v>
      </c>
      <c r="F193" t="s">
        <v>97</v>
      </c>
      <c r="G193" t="s">
        <v>115</v>
      </c>
      <c r="H193" s="73">
        <v>0</v>
      </c>
      <c r="I193" s="75">
        <v>8124.57</v>
      </c>
      <c r="J193" s="75">
        <v>1</v>
      </c>
    </row>
    <row r="194" spans="1:10" x14ac:dyDescent="0.25">
      <c r="A194" s="53">
        <v>2313</v>
      </c>
      <c r="B194" s="84">
        <v>1</v>
      </c>
      <c r="C194" s="84">
        <v>3</v>
      </c>
      <c r="E194" t="s">
        <v>968</v>
      </c>
      <c r="F194" t="s">
        <v>96</v>
      </c>
      <c r="G194" t="s">
        <v>56</v>
      </c>
      <c r="H194" s="73">
        <v>300000</v>
      </c>
      <c r="I194" s="75">
        <v>8124.57</v>
      </c>
      <c r="J194" s="75">
        <v>1</v>
      </c>
    </row>
    <row r="195" spans="1:10" x14ac:dyDescent="0.25">
      <c r="A195" s="53">
        <v>2317</v>
      </c>
      <c r="B195" s="84">
        <v>1</v>
      </c>
      <c r="C195" s="84">
        <v>1</v>
      </c>
      <c r="E195" t="s">
        <v>969</v>
      </c>
      <c r="F195" t="s">
        <v>97</v>
      </c>
      <c r="G195" t="s">
        <v>115</v>
      </c>
      <c r="H195" s="73">
        <v>0</v>
      </c>
      <c r="I195" s="75">
        <v>8124.57</v>
      </c>
      <c r="J195" s="75">
        <v>1</v>
      </c>
    </row>
    <row r="196" spans="1:10" x14ac:dyDescent="0.25">
      <c r="A196" s="53">
        <v>2318</v>
      </c>
      <c r="B196" s="84">
        <v>0</v>
      </c>
      <c r="C196" s="84">
        <v>0</v>
      </c>
      <c r="E196" t="s">
        <v>970</v>
      </c>
      <c r="F196" t="s">
        <v>96</v>
      </c>
      <c r="G196" t="s">
        <v>56</v>
      </c>
      <c r="H196" s="73">
        <v>300000</v>
      </c>
      <c r="I196" s="75">
        <v>4251.97</v>
      </c>
      <c r="J196" s="75">
        <v>1</v>
      </c>
    </row>
    <row r="197" spans="1:10" x14ac:dyDescent="0.25">
      <c r="A197" s="53">
        <v>2319</v>
      </c>
      <c r="B197" s="84">
        <v>1</v>
      </c>
      <c r="C197" s="84">
        <v>4</v>
      </c>
      <c r="E197" t="s">
        <v>971</v>
      </c>
      <c r="F197" t="s">
        <v>97</v>
      </c>
      <c r="G197" t="s">
        <v>115</v>
      </c>
      <c r="H197" s="73">
        <v>0</v>
      </c>
      <c r="I197" s="75">
        <v>3283.23</v>
      </c>
      <c r="J197" s="75">
        <v>1</v>
      </c>
    </row>
    <row r="198" spans="1:10" x14ac:dyDescent="0.25">
      <c r="A198" s="53">
        <v>2320</v>
      </c>
      <c r="B198" s="84">
        <v>1</v>
      </c>
      <c r="C198" s="84">
        <v>4</v>
      </c>
      <c r="E198" t="s">
        <v>972</v>
      </c>
      <c r="F198" t="s">
        <v>97</v>
      </c>
      <c r="G198" t="s">
        <v>113</v>
      </c>
      <c r="H198" s="73">
        <v>0</v>
      </c>
      <c r="I198" s="75">
        <v>3283.23</v>
      </c>
      <c r="J198" s="75">
        <v>1</v>
      </c>
    </row>
    <row r="199" spans="1:10" x14ac:dyDescent="0.25">
      <c r="A199" s="53">
        <v>2322</v>
      </c>
      <c r="B199" s="84">
        <v>1</v>
      </c>
      <c r="C199" s="84">
        <v>4</v>
      </c>
      <c r="E199" t="s">
        <v>973</v>
      </c>
      <c r="F199" t="s">
        <v>96</v>
      </c>
      <c r="G199" t="s">
        <v>56</v>
      </c>
      <c r="H199" s="73">
        <v>300000</v>
      </c>
      <c r="I199" s="75">
        <v>8124.57</v>
      </c>
      <c r="J199" s="75">
        <v>1</v>
      </c>
    </row>
    <row r="200" spans="1:10" x14ac:dyDescent="0.25">
      <c r="A200" s="53">
        <v>2323</v>
      </c>
      <c r="B200" s="84">
        <v>1</v>
      </c>
      <c r="C200" s="84">
        <v>1</v>
      </c>
      <c r="E200" t="s">
        <v>974</v>
      </c>
      <c r="F200" t="s">
        <v>97</v>
      </c>
      <c r="G200" t="s">
        <v>115</v>
      </c>
      <c r="H200" s="73">
        <v>0</v>
      </c>
      <c r="I200" s="75">
        <v>4251.97</v>
      </c>
      <c r="J200" s="75">
        <v>1</v>
      </c>
    </row>
    <row r="201" spans="1:10" x14ac:dyDescent="0.25">
      <c r="A201" s="53">
        <v>4010</v>
      </c>
      <c r="B201" s="84">
        <v>1</v>
      </c>
      <c r="C201" s="84">
        <v>4</v>
      </c>
      <c r="E201" t="s">
        <v>975</v>
      </c>
      <c r="F201" t="s">
        <v>97</v>
      </c>
      <c r="G201" t="s">
        <v>113</v>
      </c>
      <c r="H201" s="73">
        <v>0</v>
      </c>
      <c r="I201" s="75">
        <v>3283.23</v>
      </c>
      <c r="J201" s="75">
        <v>1</v>
      </c>
    </row>
    <row r="202" spans="1:10" x14ac:dyDescent="0.25">
      <c r="A202" s="53">
        <v>4019</v>
      </c>
      <c r="B202" s="84">
        <v>1</v>
      </c>
      <c r="C202" s="84">
        <v>4</v>
      </c>
      <c r="E202" t="s">
        <v>976</v>
      </c>
      <c r="F202" t="s">
        <v>96</v>
      </c>
      <c r="G202" t="s">
        <v>114</v>
      </c>
      <c r="H202" s="73">
        <v>0</v>
      </c>
      <c r="I202" s="75">
        <v>3283.23</v>
      </c>
      <c r="J202" s="75">
        <v>1</v>
      </c>
    </row>
    <row r="203" spans="1:10" x14ac:dyDescent="0.25">
      <c r="A203" s="53" t="s">
        <v>773</v>
      </c>
      <c r="B203" s="84">
        <v>1</v>
      </c>
      <c r="C203" s="84">
        <v>3</v>
      </c>
      <c r="E203" t="s">
        <v>977</v>
      </c>
      <c r="F203" t="s">
        <v>96</v>
      </c>
      <c r="G203" t="s">
        <v>56</v>
      </c>
      <c r="H203" s="73">
        <v>300000</v>
      </c>
      <c r="I203" s="75">
        <v>4251.97</v>
      </c>
      <c r="J203" s="75">
        <v>1</v>
      </c>
    </row>
    <row r="204" spans="1:10" x14ac:dyDescent="0.25">
      <c r="A204" s="53" t="s">
        <v>774</v>
      </c>
      <c r="B204" s="84">
        <v>1</v>
      </c>
      <c r="C204" s="84">
        <v>4</v>
      </c>
      <c r="E204" t="s">
        <v>978</v>
      </c>
      <c r="F204" t="s">
        <v>96</v>
      </c>
      <c r="G204" t="s">
        <v>114</v>
      </c>
      <c r="H204" s="73">
        <v>0</v>
      </c>
      <c r="I204" s="75">
        <v>3283.23</v>
      </c>
      <c r="J204" s="75">
        <v>1</v>
      </c>
    </row>
    <row r="205" spans="1:10" x14ac:dyDescent="0.25">
      <c r="A205" s="53" t="s">
        <v>775</v>
      </c>
      <c r="B205" s="84">
        <v>0</v>
      </c>
      <c r="C205" s="84">
        <v>0</v>
      </c>
      <c r="E205" t="s">
        <v>979</v>
      </c>
      <c r="F205" t="s">
        <v>97</v>
      </c>
      <c r="G205" t="s">
        <v>113</v>
      </c>
      <c r="H205" s="73">
        <v>0</v>
      </c>
      <c r="I205" s="75">
        <v>3283.23</v>
      </c>
      <c r="J205" s="75">
        <v>1</v>
      </c>
    </row>
    <row r="206" spans="1:10" x14ac:dyDescent="0.25">
      <c r="A206" s="53" t="s">
        <v>776</v>
      </c>
      <c r="B206" s="84">
        <v>1</v>
      </c>
      <c r="C206" s="84">
        <v>2</v>
      </c>
      <c r="E206" t="s">
        <v>980</v>
      </c>
      <c r="F206" t="s">
        <v>97</v>
      </c>
      <c r="G206" t="s">
        <v>115</v>
      </c>
      <c r="H206" s="73">
        <v>0</v>
      </c>
      <c r="I206" s="75">
        <v>3283.23</v>
      </c>
      <c r="J206" s="75">
        <v>1</v>
      </c>
    </row>
    <row r="207" spans="1:10" x14ac:dyDescent="0.25">
      <c r="A207" s="53" t="s">
        <v>777</v>
      </c>
      <c r="B207" s="84">
        <v>1</v>
      </c>
      <c r="C207" s="84">
        <v>2</v>
      </c>
      <c r="E207" t="s">
        <v>981</v>
      </c>
      <c r="F207" t="s">
        <v>96</v>
      </c>
      <c r="G207" t="s">
        <v>56</v>
      </c>
      <c r="H207" s="73">
        <v>300000</v>
      </c>
      <c r="I207" s="75">
        <v>14246.99</v>
      </c>
      <c r="J207" s="75">
        <v>1</v>
      </c>
    </row>
    <row r="208" spans="1:10" x14ac:dyDescent="0.25">
      <c r="A208" s="53" t="s">
        <v>778</v>
      </c>
      <c r="B208" s="84">
        <v>1</v>
      </c>
      <c r="C208" s="84">
        <v>3</v>
      </c>
      <c r="E208" t="s">
        <v>982</v>
      </c>
      <c r="F208" t="s">
        <v>96</v>
      </c>
      <c r="G208" t="s">
        <v>114</v>
      </c>
      <c r="H208" s="73">
        <v>0</v>
      </c>
      <c r="I208" s="75">
        <v>3283.23</v>
      </c>
      <c r="J208" s="75">
        <v>1</v>
      </c>
    </row>
    <row r="209" spans="1:10" x14ac:dyDescent="0.25">
      <c r="A209" s="53">
        <v>2327</v>
      </c>
      <c r="B209" s="84">
        <v>1</v>
      </c>
      <c r="C209" s="84">
        <v>2</v>
      </c>
      <c r="E209" t="s">
        <v>983</v>
      </c>
      <c r="F209" t="s">
        <v>97</v>
      </c>
      <c r="G209" t="s">
        <v>113</v>
      </c>
      <c r="H209" s="73">
        <v>0</v>
      </c>
      <c r="I209" s="75">
        <v>3283.23</v>
      </c>
      <c r="J209" s="75">
        <v>1</v>
      </c>
    </row>
    <row r="210" spans="1:10" x14ac:dyDescent="0.25">
      <c r="A210" s="53">
        <v>2324</v>
      </c>
      <c r="B210" s="84">
        <v>1</v>
      </c>
      <c r="C210" s="84">
        <v>4</v>
      </c>
      <c r="E210" t="s">
        <v>984</v>
      </c>
      <c r="F210" t="s">
        <v>97</v>
      </c>
      <c r="G210" t="s">
        <v>115</v>
      </c>
      <c r="H210" s="73">
        <v>0</v>
      </c>
      <c r="I210" s="75">
        <v>4251.97</v>
      </c>
      <c r="J210" s="75">
        <v>1</v>
      </c>
    </row>
    <row r="211" spans="1:10" x14ac:dyDescent="0.25">
      <c r="A211" s="53">
        <v>2215</v>
      </c>
      <c r="B211" s="84">
        <v>1</v>
      </c>
      <c r="C211" s="84">
        <v>3</v>
      </c>
      <c r="E211" t="s">
        <v>985</v>
      </c>
      <c r="F211" t="s">
        <v>96</v>
      </c>
      <c r="G211" t="s">
        <v>56</v>
      </c>
      <c r="H211" s="73">
        <v>300000</v>
      </c>
      <c r="I211" s="75">
        <v>4251.97</v>
      </c>
      <c r="J211" s="75">
        <v>1</v>
      </c>
    </row>
    <row r="212" spans="1:10" x14ac:dyDescent="0.25">
      <c r="A212" s="53">
        <v>2229</v>
      </c>
      <c r="B212" s="84">
        <v>1</v>
      </c>
      <c r="C212" s="84">
        <v>2</v>
      </c>
      <c r="E212" t="s">
        <v>986</v>
      </c>
      <c r="F212" t="s">
        <v>97</v>
      </c>
      <c r="G212" t="s">
        <v>115</v>
      </c>
      <c r="H212" s="73">
        <v>0</v>
      </c>
      <c r="I212" s="75">
        <v>4251.97</v>
      </c>
      <c r="J212" s="75">
        <v>1</v>
      </c>
    </row>
    <row r="213" spans="1:10" x14ac:dyDescent="0.25">
      <c r="A213" s="53">
        <v>2337</v>
      </c>
      <c r="B213" s="84">
        <v>1</v>
      </c>
      <c r="C213" s="84">
        <v>4</v>
      </c>
      <c r="E213" t="s">
        <v>987</v>
      </c>
      <c r="F213" t="s">
        <v>96</v>
      </c>
      <c r="G213" t="s">
        <v>114</v>
      </c>
      <c r="H213" s="73">
        <v>0</v>
      </c>
      <c r="I213" s="75">
        <v>3283.23</v>
      </c>
      <c r="J213" s="75">
        <v>1</v>
      </c>
    </row>
    <row r="214" spans="1:10" x14ac:dyDescent="0.25">
      <c r="A214" s="53">
        <v>2338</v>
      </c>
      <c r="B214" s="84">
        <v>1</v>
      </c>
      <c r="C214" s="84">
        <v>4</v>
      </c>
      <c r="E214" t="s">
        <v>988</v>
      </c>
      <c r="F214" t="s">
        <v>97</v>
      </c>
      <c r="G214" t="s">
        <v>113</v>
      </c>
      <c r="H214" s="73">
        <v>0</v>
      </c>
      <c r="I214" s="75">
        <v>3283.23</v>
      </c>
      <c r="J214" s="75">
        <v>1</v>
      </c>
    </row>
    <row r="215" spans="1:10" x14ac:dyDescent="0.25">
      <c r="A215" s="53">
        <v>2339</v>
      </c>
      <c r="B215" s="84">
        <v>0</v>
      </c>
      <c r="C215" s="84">
        <v>0</v>
      </c>
      <c r="E215" t="s">
        <v>989</v>
      </c>
      <c r="F215" t="s">
        <v>96</v>
      </c>
      <c r="G215" t="s">
        <v>56</v>
      </c>
      <c r="H215" s="73">
        <v>300000</v>
      </c>
      <c r="I215" s="75">
        <v>4251.97</v>
      </c>
      <c r="J215" s="75">
        <v>1</v>
      </c>
    </row>
    <row r="216" spans="1:10" x14ac:dyDescent="0.25">
      <c r="A216" s="53">
        <v>2219</v>
      </c>
      <c r="B216" s="84">
        <v>1</v>
      </c>
      <c r="C216" s="84">
        <v>1</v>
      </c>
      <c r="E216" t="s">
        <v>990</v>
      </c>
      <c r="F216" t="s">
        <v>97</v>
      </c>
      <c r="G216" t="s">
        <v>113</v>
      </c>
      <c r="H216" s="73">
        <v>0</v>
      </c>
      <c r="I216" s="75">
        <v>3283.23</v>
      </c>
      <c r="J216" s="75">
        <v>1</v>
      </c>
    </row>
    <row r="217" spans="1:10" x14ac:dyDescent="0.25">
      <c r="A217" s="53">
        <v>2335</v>
      </c>
      <c r="B217" s="84">
        <v>1</v>
      </c>
      <c r="C217" s="84">
        <v>4</v>
      </c>
      <c r="E217" t="s">
        <v>991</v>
      </c>
      <c r="F217" t="s">
        <v>97</v>
      </c>
      <c r="G217" t="s">
        <v>115</v>
      </c>
      <c r="H217" s="73">
        <v>0</v>
      </c>
      <c r="I217" s="75">
        <v>4251.97</v>
      </c>
      <c r="J217" s="75">
        <v>1</v>
      </c>
    </row>
    <row r="218" spans="1:10" x14ac:dyDescent="0.25">
      <c r="A218" s="53">
        <v>2331</v>
      </c>
      <c r="B218" s="84">
        <v>0</v>
      </c>
      <c r="C218" s="84">
        <v>0</v>
      </c>
      <c r="E218" t="s">
        <v>992</v>
      </c>
      <c r="F218" t="s">
        <v>97</v>
      </c>
      <c r="G218" t="s">
        <v>113</v>
      </c>
      <c r="H218" s="73">
        <v>0</v>
      </c>
      <c r="I218" s="75">
        <v>3283.23</v>
      </c>
      <c r="J218" s="75">
        <v>1</v>
      </c>
    </row>
    <row r="219" spans="1:10" x14ac:dyDescent="0.25">
      <c r="A219" s="53">
        <v>2250</v>
      </c>
      <c r="B219" s="84">
        <v>1</v>
      </c>
      <c r="C219" s="84">
        <v>1</v>
      </c>
      <c r="E219" t="s">
        <v>993</v>
      </c>
      <c r="F219" t="s">
        <v>96</v>
      </c>
      <c r="G219" t="s">
        <v>56</v>
      </c>
      <c r="H219" s="73">
        <v>300000</v>
      </c>
      <c r="I219" s="75">
        <v>8124.57</v>
      </c>
      <c r="J219" s="75">
        <v>1</v>
      </c>
    </row>
    <row r="220" spans="1:10" x14ac:dyDescent="0.25">
      <c r="A220" s="53">
        <v>2345</v>
      </c>
      <c r="B220" s="84">
        <v>1</v>
      </c>
      <c r="C220" s="84">
        <v>1</v>
      </c>
      <c r="E220" t="s">
        <v>994</v>
      </c>
      <c r="F220" t="s">
        <v>97</v>
      </c>
      <c r="G220" t="s">
        <v>113</v>
      </c>
      <c r="H220" s="73">
        <v>0</v>
      </c>
      <c r="I220" s="75">
        <v>3283.23</v>
      </c>
      <c r="J220" s="75">
        <v>1</v>
      </c>
    </row>
    <row r="221" spans="1:10" x14ac:dyDescent="0.25">
      <c r="A221" s="53">
        <v>2346</v>
      </c>
      <c r="B221" s="84">
        <v>1</v>
      </c>
      <c r="C221" s="84">
        <v>1</v>
      </c>
      <c r="E221" t="s">
        <v>995</v>
      </c>
      <c r="F221" t="s">
        <v>97</v>
      </c>
      <c r="G221" t="s">
        <v>115</v>
      </c>
      <c r="H221" s="73">
        <v>0</v>
      </c>
      <c r="I221" s="75">
        <v>4251.97</v>
      </c>
      <c r="J221" s="75">
        <v>1</v>
      </c>
    </row>
    <row r="222" spans="1:10" x14ac:dyDescent="0.25">
      <c r="A222" s="53">
        <v>2347</v>
      </c>
      <c r="B222" s="84">
        <v>1</v>
      </c>
      <c r="C222" s="84">
        <v>3</v>
      </c>
      <c r="E222" t="s">
        <v>996</v>
      </c>
      <c r="F222" t="s">
        <v>96</v>
      </c>
      <c r="G222" t="s">
        <v>56</v>
      </c>
      <c r="H222" s="73">
        <v>300000</v>
      </c>
      <c r="I222" s="75">
        <v>8124.57</v>
      </c>
      <c r="J222" s="75">
        <v>1</v>
      </c>
    </row>
    <row r="223" spans="1:10" x14ac:dyDescent="0.25">
      <c r="A223" s="53">
        <v>2350</v>
      </c>
      <c r="B223" s="84">
        <v>1</v>
      </c>
      <c r="C223" s="84">
        <v>2</v>
      </c>
      <c r="E223" t="s">
        <v>997</v>
      </c>
      <c r="F223" t="s">
        <v>97</v>
      </c>
      <c r="G223" t="s">
        <v>115</v>
      </c>
      <c r="H223" s="73">
        <v>0</v>
      </c>
      <c r="I223" s="75">
        <v>4251.97</v>
      </c>
      <c r="J223" s="75">
        <v>1</v>
      </c>
    </row>
    <row r="224" spans="1:10" x14ac:dyDescent="0.25">
      <c r="A224" s="53">
        <v>2349</v>
      </c>
      <c r="B224" s="84">
        <v>1</v>
      </c>
      <c r="C224" s="84">
        <v>3</v>
      </c>
      <c r="E224" t="s">
        <v>998</v>
      </c>
      <c r="F224" t="s">
        <v>97</v>
      </c>
      <c r="G224" t="s">
        <v>113</v>
      </c>
      <c r="H224" s="73">
        <v>0</v>
      </c>
      <c r="I224" s="75">
        <v>3283.23</v>
      </c>
      <c r="J224" s="75">
        <v>1</v>
      </c>
    </row>
    <row r="225" spans="1:10" x14ac:dyDescent="0.25">
      <c r="A225" s="53">
        <v>2276</v>
      </c>
      <c r="B225" s="84">
        <v>1</v>
      </c>
      <c r="C225" s="84">
        <v>1</v>
      </c>
      <c r="E225" t="s">
        <v>999</v>
      </c>
      <c r="F225" t="s">
        <v>96</v>
      </c>
      <c r="G225" t="s">
        <v>56</v>
      </c>
      <c r="H225" s="73">
        <v>300000</v>
      </c>
      <c r="I225" s="75">
        <v>14246.99</v>
      </c>
      <c r="J225" s="75">
        <v>1</v>
      </c>
    </row>
    <row r="226" spans="1:10" x14ac:dyDescent="0.25">
      <c r="A226" s="53">
        <v>2314</v>
      </c>
      <c r="B226" s="84">
        <v>1</v>
      </c>
      <c r="C226" s="84">
        <v>1</v>
      </c>
      <c r="E226" t="s">
        <v>1000</v>
      </c>
      <c r="F226" t="s">
        <v>97</v>
      </c>
      <c r="G226" t="s">
        <v>115</v>
      </c>
      <c r="H226" s="73">
        <v>0</v>
      </c>
      <c r="I226" s="75">
        <v>8124.57</v>
      </c>
      <c r="J226" s="75">
        <v>1</v>
      </c>
    </row>
    <row r="227" spans="1:10" x14ac:dyDescent="0.25">
      <c r="A227" s="53">
        <v>2315</v>
      </c>
      <c r="B227" s="84">
        <v>0</v>
      </c>
      <c r="C227" s="84">
        <v>0</v>
      </c>
      <c r="E227" t="s">
        <v>1001</v>
      </c>
      <c r="F227" t="s">
        <v>96</v>
      </c>
      <c r="G227" t="s">
        <v>56</v>
      </c>
      <c r="H227" s="73">
        <v>300000</v>
      </c>
      <c r="I227" s="75">
        <v>14246.99</v>
      </c>
      <c r="J227" s="75">
        <v>1</v>
      </c>
    </row>
    <row r="228" spans="1:10" x14ac:dyDescent="0.25">
      <c r="A228" s="53">
        <v>2325</v>
      </c>
      <c r="B228" s="84">
        <v>1</v>
      </c>
      <c r="C228" s="84">
        <v>1</v>
      </c>
      <c r="E228" t="s">
        <v>1002</v>
      </c>
      <c r="F228" t="s">
        <v>97</v>
      </c>
      <c r="G228" t="s">
        <v>115</v>
      </c>
      <c r="H228" s="73">
        <v>0</v>
      </c>
      <c r="I228" s="75">
        <v>8124.57</v>
      </c>
      <c r="J228" s="75">
        <v>1</v>
      </c>
    </row>
    <row r="229" spans="1:10" x14ac:dyDescent="0.25">
      <c r="A229" s="53">
        <v>2328</v>
      </c>
      <c r="B229" s="84">
        <v>1</v>
      </c>
      <c r="C229" s="84">
        <v>3</v>
      </c>
      <c r="E229" t="s">
        <v>1003</v>
      </c>
      <c r="F229" t="s">
        <v>96</v>
      </c>
      <c r="G229" t="s">
        <v>56</v>
      </c>
      <c r="H229" s="73">
        <v>300000</v>
      </c>
      <c r="I229" s="75">
        <v>4251.97</v>
      </c>
      <c r="J229" s="75">
        <v>1</v>
      </c>
    </row>
    <row r="230" spans="1:10" x14ac:dyDescent="0.25">
      <c r="A230" s="53">
        <v>2329</v>
      </c>
      <c r="B230" s="84">
        <v>1</v>
      </c>
      <c r="C230" s="84">
        <v>1</v>
      </c>
      <c r="E230" t="s">
        <v>1004</v>
      </c>
      <c r="F230" t="s">
        <v>97</v>
      </c>
      <c r="G230" t="s">
        <v>115</v>
      </c>
      <c r="H230" s="73">
        <v>0</v>
      </c>
      <c r="I230" s="75">
        <v>3283.23</v>
      </c>
      <c r="J230" s="75">
        <v>1</v>
      </c>
    </row>
    <row r="231" spans="1:10" x14ac:dyDescent="0.25">
      <c r="A231" s="53">
        <v>2332</v>
      </c>
      <c r="B231" s="84">
        <v>1</v>
      </c>
      <c r="C231" s="84">
        <v>1</v>
      </c>
      <c r="E231" t="s">
        <v>1005</v>
      </c>
      <c r="F231" t="s">
        <v>96</v>
      </c>
      <c r="G231" t="s">
        <v>114</v>
      </c>
      <c r="H231" s="73">
        <v>0</v>
      </c>
      <c r="I231" s="75">
        <v>3283.23</v>
      </c>
      <c r="J231" s="75">
        <v>1</v>
      </c>
    </row>
    <row r="232" spans="1:10" x14ac:dyDescent="0.25">
      <c r="A232" s="53">
        <v>2333</v>
      </c>
      <c r="B232" s="84">
        <v>1</v>
      </c>
      <c r="C232" s="84">
        <v>1</v>
      </c>
      <c r="E232" t="s">
        <v>1006</v>
      </c>
      <c r="F232" t="s">
        <v>96</v>
      </c>
      <c r="G232" t="s">
        <v>56</v>
      </c>
      <c r="H232" s="73">
        <v>300000</v>
      </c>
      <c r="I232" s="75">
        <v>4251.97</v>
      </c>
      <c r="J232" s="75">
        <v>1</v>
      </c>
    </row>
    <row r="233" spans="1:10" x14ac:dyDescent="0.25">
      <c r="A233" s="53">
        <v>2334</v>
      </c>
      <c r="B233" s="84">
        <v>1</v>
      </c>
      <c r="C233" s="84">
        <v>1</v>
      </c>
      <c r="E233" t="s">
        <v>1007</v>
      </c>
      <c r="F233" t="s">
        <v>96</v>
      </c>
      <c r="G233" t="s">
        <v>56</v>
      </c>
      <c r="H233" s="73">
        <v>300000</v>
      </c>
      <c r="I233" s="75">
        <v>8124.57</v>
      </c>
      <c r="J233" s="75">
        <v>1</v>
      </c>
    </row>
    <row r="234" spans="1:10" x14ac:dyDescent="0.25">
      <c r="A234" s="53">
        <v>2336</v>
      </c>
      <c r="B234" s="84">
        <v>0</v>
      </c>
      <c r="C234" s="84">
        <v>0</v>
      </c>
      <c r="E234" t="s">
        <v>1008</v>
      </c>
      <c r="F234" t="s">
        <v>96</v>
      </c>
      <c r="G234" t="s">
        <v>114</v>
      </c>
      <c r="H234" s="73">
        <v>0</v>
      </c>
      <c r="I234" s="75">
        <v>3283.23</v>
      </c>
      <c r="J234" s="75">
        <v>1</v>
      </c>
    </row>
    <row r="235" spans="1:10" x14ac:dyDescent="0.25">
      <c r="A235" s="53">
        <v>2342</v>
      </c>
      <c r="B235" s="84">
        <v>1</v>
      </c>
      <c r="C235" s="84">
        <v>1</v>
      </c>
      <c r="E235" t="s">
        <v>1009</v>
      </c>
      <c r="F235" t="s">
        <v>97</v>
      </c>
      <c r="G235" t="s">
        <v>115</v>
      </c>
      <c r="H235" s="73">
        <v>0</v>
      </c>
      <c r="I235" s="75">
        <v>4251.97</v>
      </c>
      <c r="J235" s="75">
        <v>1</v>
      </c>
    </row>
    <row r="236" spans="1:10" x14ac:dyDescent="0.25">
      <c r="A236" s="53">
        <v>2348</v>
      </c>
      <c r="B236" s="84">
        <v>0</v>
      </c>
      <c r="C236" s="84">
        <v>0</v>
      </c>
      <c r="E236" t="s">
        <v>1010</v>
      </c>
      <c r="F236" t="s">
        <v>96</v>
      </c>
      <c r="G236" t="s">
        <v>56</v>
      </c>
      <c r="H236" s="73">
        <v>300000</v>
      </c>
      <c r="I236" s="75">
        <v>4251.97</v>
      </c>
      <c r="J236" s="75">
        <v>1</v>
      </c>
    </row>
    <row r="237" spans="1:10" x14ac:dyDescent="0.25">
      <c r="A237" s="53">
        <v>2357</v>
      </c>
      <c r="B237" s="84">
        <v>1</v>
      </c>
      <c r="C237" s="84">
        <v>4</v>
      </c>
      <c r="E237" t="s">
        <v>1011</v>
      </c>
      <c r="F237" t="s">
        <v>97</v>
      </c>
      <c r="G237" t="s">
        <v>113</v>
      </c>
      <c r="H237" s="73">
        <v>0</v>
      </c>
      <c r="I237" s="75">
        <v>3283.23</v>
      </c>
      <c r="J237" s="75">
        <v>1</v>
      </c>
    </row>
    <row r="238" spans="1:10" x14ac:dyDescent="0.25">
      <c r="A238" s="53">
        <v>2356</v>
      </c>
      <c r="B238" s="84">
        <v>1</v>
      </c>
      <c r="C238" s="84">
        <v>3</v>
      </c>
      <c r="E238" t="s">
        <v>1012</v>
      </c>
      <c r="F238" t="s">
        <v>96</v>
      </c>
      <c r="G238" t="s">
        <v>114</v>
      </c>
      <c r="H238" s="73">
        <v>0</v>
      </c>
      <c r="I238" s="75">
        <v>3283.23</v>
      </c>
      <c r="J238" s="75">
        <v>1</v>
      </c>
    </row>
    <row r="239" spans="1:10" x14ac:dyDescent="0.25">
      <c r="A239" s="53">
        <v>2354</v>
      </c>
      <c r="B239" s="84">
        <v>1</v>
      </c>
      <c r="C239" s="84">
        <v>3</v>
      </c>
      <c r="E239" t="s">
        <v>1013</v>
      </c>
      <c r="F239" t="s">
        <v>97</v>
      </c>
      <c r="G239" t="s">
        <v>115</v>
      </c>
      <c r="H239" s="73">
        <v>0</v>
      </c>
      <c r="I239" s="75">
        <v>3283.23</v>
      </c>
      <c r="J239" s="75">
        <v>1</v>
      </c>
    </row>
    <row r="240" spans="1:10" x14ac:dyDescent="0.25">
      <c r="A240" s="53">
        <v>2355</v>
      </c>
      <c r="B240" s="84">
        <v>1</v>
      </c>
      <c r="C240" s="84">
        <v>3</v>
      </c>
      <c r="E240" t="s">
        <v>1014</v>
      </c>
      <c r="F240" t="s">
        <v>96</v>
      </c>
      <c r="G240" t="s">
        <v>56</v>
      </c>
      <c r="H240" s="73">
        <v>300000</v>
      </c>
      <c r="I240" s="75">
        <v>3283.23</v>
      </c>
      <c r="J240" s="75">
        <v>1</v>
      </c>
    </row>
    <row r="241" spans="1:10" x14ac:dyDescent="0.25">
      <c r="A241" s="53">
        <v>2277</v>
      </c>
      <c r="B241" s="84">
        <v>1</v>
      </c>
      <c r="C241" s="84">
        <v>1</v>
      </c>
      <c r="E241" t="s">
        <v>1015</v>
      </c>
      <c r="F241" t="s">
        <v>97</v>
      </c>
      <c r="G241" t="s">
        <v>115</v>
      </c>
      <c r="H241" s="73">
        <v>0</v>
      </c>
      <c r="I241" s="75">
        <v>3283.23</v>
      </c>
      <c r="J241" s="75">
        <v>1</v>
      </c>
    </row>
    <row r="242" spans="1:10" x14ac:dyDescent="0.25">
      <c r="A242" s="53">
        <v>2220</v>
      </c>
      <c r="B242" s="84">
        <v>1</v>
      </c>
      <c r="C242" s="84">
        <v>3</v>
      </c>
      <c r="E242" t="s">
        <v>1016</v>
      </c>
      <c r="F242" t="s">
        <v>96</v>
      </c>
      <c r="G242" t="s">
        <v>114</v>
      </c>
      <c r="H242" s="73">
        <v>0</v>
      </c>
      <c r="I242" s="75">
        <v>3283.23</v>
      </c>
      <c r="J242" s="75">
        <v>1</v>
      </c>
    </row>
    <row r="243" spans="1:10" x14ac:dyDescent="0.25">
      <c r="A243" s="53">
        <v>2353</v>
      </c>
      <c r="B243" s="84">
        <v>1</v>
      </c>
      <c r="C243" s="84">
        <v>4</v>
      </c>
      <c r="E243" t="s">
        <v>1017</v>
      </c>
      <c r="F243" t="s">
        <v>96</v>
      </c>
      <c r="G243" t="s">
        <v>56</v>
      </c>
      <c r="H243" s="73">
        <v>300000</v>
      </c>
      <c r="I243" s="75">
        <v>4251.97</v>
      </c>
      <c r="J243" s="75">
        <v>1</v>
      </c>
    </row>
    <row r="244" spans="1:10" x14ac:dyDescent="0.25">
      <c r="A244" s="53">
        <v>2352</v>
      </c>
      <c r="B244" s="84">
        <v>1</v>
      </c>
      <c r="C244" s="84">
        <v>1</v>
      </c>
      <c r="E244" t="s">
        <v>1018</v>
      </c>
      <c r="F244" t="s">
        <v>97</v>
      </c>
      <c r="G244" t="s">
        <v>115</v>
      </c>
      <c r="H244" s="73">
        <v>0</v>
      </c>
      <c r="I244" s="75">
        <v>3283.23</v>
      </c>
      <c r="J244" s="75">
        <v>1</v>
      </c>
    </row>
    <row r="245" spans="1:10" x14ac:dyDescent="0.25">
      <c r="A245" s="53">
        <v>2359</v>
      </c>
      <c r="B245" s="84">
        <v>1</v>
      </c>
      <c r="C245" s="84">
        <v>4</v>
      </c>
      <c r="E245" t="s">
        <v>1019</v>
      </c>
      <c r="F245" t="s">
        <v>97</v>
      </c>
      <c r="G245" t="s">
        <v>113</v>
      </c>
      <c r="H245" s="73">
        <v>0</v>
      </c>
      <c r="I245" s="75">
        <v>3283.23</v>
      </c>
      <c r="J245" s="75">
        <v>1</v>
      </c>
    </row>
    <row r="246" spans="1:10" x14ac:dyDescent="0.25">
      <c r="A246" s="53">
        <v>2361</v>
      </c>
      <c r="B246" s="84">
        <v>1</v>
      </c>
      <c r="C246" s="84">
        <v>4</v>
      </c>
      <c r="E246" t="s">
        <v>1020</v>
      </c>
      <c r="F246" t="s">
        <v>96</v>
      </c>
      <c r="G246" t="s">
        <v>56</v>
      </c>
      <c r="H246" s="73">
        <v>300000</v>
      </c>
      <c r="I246" s="75">
        <v>4251.97</v>
      </c>
      <c r="J246" s="75">
        <v>1</v>
      </c>
    </row>
    <row r="247" spans="1:10" x14ac:dyDescent="0.25">
      <c r="A247" s="53">
        <v>2360</v>
      </c>
      <c r="B247" s="84">
        <v>1</v>
      </c>
      <c r="C247" s="84">
        <v>1</v>
      </c>
      <c r="E247" t="s">
        <v>1021</v>
      </c>
      <c r="F247" t="s">
        <v>96</v>
      </c>
      <c r="G247" t="s">
        <v>114</v>
      </c>
      <c r="H247" s="73">
        <v>0</v>
      </c>
      <c r="I247" s="75">
        <v>3283.23</v>
      </c>
      <c r="J247" s="75">
        <v>1</v>
      </c>
    </row>
    <row r="248" spans="1:10" x14ac:dyDescent="0.25">
      <c r="A248" s="53">
        <v>2362</v>
      </c>
      <c r="B248" s="84">
        <v>1</v>
      </c>
      <c r="C248" s="84">
        <v>1</v>
      </c>
      <c r="E248" t="s">
        <v>1022</v>
      </c>
      <c r="F248" t="s">
        <v>97</v>
      </c>
      <c r="G248" t="s">
        <v>115</v>
      </c>
      <c r="H248" s="73">
        <v>0</v>
      </c>
      <c r="I248" s="75">
        <v>3283.23</v>
      </c>
      <c r="J248" s="75">
        <v>1</v>
      </c>
    </row>
    <row r="249" spans="1:10" x14ac:dyDescent="0.25">
      <c r="A249" s="53">
        <v>2363</v>
      </c>
      <c r="B249" s="84">
        <v>1</v>
      </c>
      <c r="C249" s="84">
        <v>2</v>
      </c>
      <c r="E249" t="s">
        <v>1023</v>
      </c>
      <c r="F249" t="s">
        <v>96</v>
      </c>
      <c r="G249" t="s">
        <v>114</v>
      </c>
      <c r="H249" s="73">
        <v>0</v>
      </c>
      <c r="I249" s="75">
        <v>3283.23</v>
      </c>
      <c r="J249" s="75">
        <v>1</v>
      </c>
    </row>
    <row r="250" spans="1:10" x14ac:dyDescent="0.25">
      <c r="A250" s="53">
        <v>2364</v>
      </c>
      <c r="B250" s="84">
        <v>1</v>
      </c>
      <c r="C250" s="84">
        <v>1</v>
      </c>
      <c r="E250" t="s">
        <v>1024</v>
      </c>
      <c r="F250" t="s">
        <v>96</v>
      </c>
      <c r="G250" t="s">
        <v>56</v>
      </c>
      <c r="H250" s="73">
        <v>300000</v>
      </c>
      <c r="I250" s="75">
        <v>4251.97</v>
      </c>
      <c r="J250" s="75">
        <v>1</v>
      </c>
    </row>
    <row r="251" spans="1:10" x14ac:dyDescent="0.25">
      <c r="A251" s="53">
        <v>2365</v>
      </c>
      <c r="B251" s="84">
        <v>1</v>
      </c>
      <c r="C251" s="84">
        <v>1</v>
      </c>
      <c r="E251" t="s">
        <v>1025</v>
      </c>
      <c r="F251" t="s">
        <v>97</v>
      </c>
      <c r="G251" t="s">
        <v>115</v>
      </c>
      <c r="H251" s="73">
        <v>0</v>
      </c>
      <c r="I251" s="75">
        <v>3283.23</v>
      </c>
      <c r="J251" s="75">
        <v>1</v>
      </c>
    </row>
    <row r="252" spans="1:10" x14ac:dyDescent="0.25">
      <c r="A252" s="53">
        <v>5002</v>
      </c>
      <c r="B252" s="84">
        <v>1</v>
      </c>
      <c r="C252" s="84">
        <v>1</v>
      </c>
      <c r="E252" t="s">
        <v>1026</v>
      </c>
      <c r="F252" t="s">
        <v>97</v>
      </c>
      <c r="G252" t="s">
        <v>113</v>
      </c>
      <c r="H252" s="73">
        <v>0</v>
      </c>
      <c r="I252" s="75">
        <v>3283.23</v>
      </c>
      <c r="J252" s="75">
        <v>1</v>
      </c>
    </row>
    <row r="253" spans="1:10" x14ac:dyDescent="0.25">
      <c r="A253" s="53">
        <v>5004</v>
      </c>
      <c r="B253" s="84">
        <v>1</v>
      </c>
      <c r="C253" s="84">
        <v>2</v>
      </c>
      <c r="E253" t="s">
        <v>1027</v>
      </c>
      <c r="F253" t="s">
        <v>96</v>
      </c>
      <c r="G253" t="s">
        <v>56</v>
      </c>
      <c r="H253" s="73">
        <v>300000</v>
      </c>
      <c r="I253" s="75">
        <v>8124.57</v>
      </c>
      <c r="J253" s="75">
        <v>1</v>
      </c>
    </row>
    <row r="254" spans="1:10" x14ac:dyDescent="0.25">
      <c r="A254" s="53">
        <v>2367</v>
      </c>
      <c r="B254" s="84">
        <v>1</v>
      </c>
      <c r="C254" s="84">
        <v>4</v>
      </c>
      <c r="E254" t="s">
        <v>1028</v>
      </c>
      <c r="F254" t="s">
        <v>96</v>
      </c>
      <c r="G254" t="s">
        <v>114</v>
      </c>
      <c r="H254" s="73">
        <v>0</v>
      </c>
      <c r="I254" s="75">
        <v>3283.23</v>
      </c>
      <c r="J254" s="75">
        <v>1</v>
      </c>
    </row>
    <row r="255" spans="1:10" x14ac:dyDescent="0.25">
      <c r="A255" s="53">
        <v>2373</v>
      </c>
      <c r="B255" s="84">
        <v>1</v>
      </c>
      <c r="C255" s="84">
        <v>1</v>
      </c>
      <c r="E255" t="s">
        <v>1029</v>
      </c>
      <c r="F255" t="s">
        <v>97</v>
      </c>
      <c r="G255" t="s">
        <v>115</v>
      </c>
      <c r="H255" s="73">
        <v>0</v>
      </c>
      <c r="I255" s="75">
        <v>4251.97</v>
      </c>
      <c r="J255" s="75">
        <v>1</v>
      </c>
    </row>
    <row r="256" spans="1:10" x14ac:dyDescent="0.25">
      <c r="A256" s="53">
        <v>2374</v>
      </c>
      <c r="B256" s="84">
        <v>1</v>
      </c>
      <c r="C256" s="84">
        <v>4</v>
      </c>
      <c r="E256" t="s">
        <v>1030</v>
      </c>
      <c r="F256" t="s">
        <v>97</v>
      </c>
      <c r="G256" t="s">
        <v>113</v>
      </c>
      <c r="H256" s="73">
        <v>0</v>
      </c>
      <c r="I256" s="75">
        <v>3283.23</v>
      </c>
      <c r="J256" s="75">
        <v>1</v>
      </c>
    </row>
    <row r="257" spans="1:10" x14ac:dyDescent="0.25">
      <c r="A257" s="53">
        <v>2375</v>
      </c>
      <c r="B257" s="84">
        <v>1</v>
      </c>
      <c r="C257" s="84">
        <v>4</v>
      </c>
      <c r="E257" t="s">
        <v>1031</v>
      </c>
      <c r="F257" t="s">
        <v>96</v>
      </c>
      <c r="G257" t="s">
        <v>56</v>
      </c>
      <c r="H257" s="73">
        <v>300000</v>
      </c>
      <c r="I257" s="75">
        <v>8124.57</v>
      </c>
      <c r="J257" s="75">
        <v>1</v>
      </c>
    </row>
    <row r="258" spans="1:10" x14ac:dyDescent="0.25">
      <c r="A258" s="53">
        <v>2376</v>
      </c>
      <c r="B258" s="84">
        <v>1</v>
      </c>
      <c r="C258" s="84">
        <v>1</v>
      </c>
      <c r="E258" t="s">
        <v>1032</v>
      </c>
      <c r="F258" t="s">
        <v>97</v>
      </c>
      <c r="G258" t="s">
        <v>115</v>
      </c>
      <c r="H258" s="73">
        <v>0</v>
      </c>
      <c r="I258" s="75">
        <v>8124.57</v>
      </c>
      <c r="J258" s="75">
        <v>1</v>
      </c>
    </row>
    <row r="259" spans="1:10" x14ac:dyDescent="0.25">
      <c r="A259" s="53">
        <v>2382</v>
      </c>
      <c r="B259" s="84">
        <v>1</v>
      </c>
      <c r="C259" s="84">
        <v>1</v>
      </c>
      <c r="E259" t="s">
        <v>1033</v>
      </c>
      <c r="F259" t="s">
        <v>96</v>
      </c>
      <c r="G259" t="s">
        <v>114</v>
      </c>
      <c r="H259" s="73">
        <v>0</v>
      </c>
      <c r="I259" s="75">
        <v>3283.23</v>
      </c>
      <c r="J259" s="75">
        <v>1</v>
      </c>
    </row>
    <row r="260" spans="1:10" x14ac:dyDescent="0.25">
      <c r="A260" s="53">
        <v>2380</v>
      </c>
      <c r="B260" s="84">
        <v>1</v>
      </c>
      <c r="C260" s="84">
        <v>2</v>
      </c>
      <c r="E260" t="s">
        <v>1034</v>
      </c>
      <c r="F260" t="s">
        <v>96</v>
      </c>
      <c r="G260" t="s">
        <v>56</v>
      </c>
      <c r="H260" s="73">
        <v>300000</v>
      </c>
      <c r="I260" s="75">
        <v>8124.57</v>
      </c>
      <c r="J260" s="75">
        <v>1</v>
      </c>
    </row>
    <row r="261" spans="1:10" x14ac:dyDescent="0.25">
      <c r="A261" s="53">
        <v>2099</v>
      </c>
      <c r="B261" s="84">
        <v>1</v>
      </c>
      <c r="C261" s="84">
        <v>5</v>
      </c>
      <c r="E261" t="s">
        <v>1035</v>
      </c>
      <c r="F261" t="s">
        <v>97</v>
      </c>
      <c r="G261" t="s">
        <v>115</v>
      </c>
      <c r="H261" s="73">
        <v>0</v>
      </c>
      <c r="I261" s="75">
        <v>4251.97</v>
      </c>
      <c r="J261" s="75">
        <v>1</v>
      </c>
    </row>
    <row r="262" spans="1:10" x14ac:dyDescent="0.25">
      <c r="A262" s="53" t="s">
        <v>1588</v>
      </c>
      <c r="B262" s="84">
        <v>1</v>
      </c>
      <c r="C262" s="84">
        <v>2</v>
      </c>
      <c r="E262" t="s">
        <v>1036</v>
      </c>
      <c r="F262" t="s">
        <v>96</v>
      </c>
      <c r="G262" t="s">
        <v>114</v>
      </c>
      <c r="H262" s="73">
        <v>0</v>
      </c>
      <c r="I262" s="75">
        <v>3283.23</v>
      </c>
      <c r="J262" s="75">
        <v>1</v>
      </c>
    </row>
    <row r="263" spans="1:10" x14ac:dyDescent="0.25">
      <c r="A263" s="53" t="s">
        <v>1593</v>
      </c>
      <c r="B263" s="84">
        <v>1</v>
      </c>
      <c r="C263" s="84">
        <v>3</v>
      </c>
      <c r="E263" t="s">
        <v>1037</v>
      </c>
      <c r="F263" t="s">
        <v>96</v>
      </c>
      <c r="G263" t="s">
        <v>56</v>
      </c>
      <c r="H263" s="73">
        <v>300000</v>
      </c>
      <c r="I263" s="75">
        <v>4251.97</v>
      </c>
      <c r="J263" s="75">
        <v>1</v>
      </c>
    </row>
    <row r="264" spans="1:10" x14ac:dyDescent="0.25">
      <c r="A264" s="53" t="s">
        <v>1600</v>
      </c>
      <c r="B264" s="84">
        <v>1</v>
      </c>
      <c r="C264" s="84">
        <v>4</v>
      </c>
      <c r="E264" t="s">
        <v>1038</v>
      </c>
      <c r="F264" t="s">
        <v>96</v>
      </c>
      <c r="G264" t="s">
        <v>114</v>
      </c>
      <c r="H264" s="73">
        <v>0</v>
      </c>
      <c r="I264" s="75">
        <v>3283.23</v>
      </c>
      <c r="J264" s="75">
        <v>1</v>
      </c>
    </row>
    <row r="265" spans="1:10" x14ac:dyDescent="0.25">
      <c r="A265" s="53">
        <v>2381</v>
      </c>
      <c r="B265" s="84">
        <v>1</v>
      </c>
      <c r="C265" s="84">
        <v>2</v>
      </c>
      <c r="E265" t="s">
        <v>1039</v>
      </c>
      <c r="F265" t="s">
        <v>96</v>
      </c>
      <c r="G265" t="s">
        <v>114</v>
      </c>
      <c r="H265" s="73">
        <v>0</v>
      </c>
      <c r="I265" s="75">
        <v>3283.23</v>
      </c>
      <c r="J265" s="75">
        <v>1</v>
      </c>
    </row>
    <row r="266" spans="1:10" x14ac:dyDescent="0.25">
      <c r="A266" s="53" t="s">
        <v>58</v>
      </c>
      <c r="B266" s="84">
        <v>245</v>
      </c>
      <c r="C266" s="84">
        <v>688</v>
      </c>
      <c r="E266" t="s">
        <v>1040</v>
      </c>
      <c r="F266" t="s">
        <v>97</v>
      </c>
      <c r="G266" t="s">
        <v>115</v>
      </c>
      <c r="H266" s="73">
        <v>0</v>
      </c>
      <c r="I266" s="75">
        <v>4251.97</v>
      </c>
      <c r="J266" s="75">
        <v>1</v>
      </c>
    </row>
    <row r="267" spans="1:10" x14ac:dyDescent="0.25">
      <c r="E267" t="s">
        <v>1041</v>
      </c>
      <c r="F267" t="s">
        <v>96</v>
      </c>
      <c r="G267" t="s">
        <v>56</v>
      </c>
      <c r="H267" s="73">
        <v>300000</v>
      </c>
      <c r="I267" s="75">
        <v>4251.97</v>
      </c>
      <c r="J267" s="75">
        <v>1</v>
      </c>
    </row>
    <row r="268" spans="1:10" x14ac:dyDescent="0.25">
      <c r="E268" t="s">
        <v>1042</v>
      </c>
      <c r="F268" t="s">
        <v>97</v>
      </c>
      <c r="G268" t="s">
        <v>115</v>
      </c>
      <c r="H268" s="73">
        <v>0</v>
      </c>
      <c r="I268" s="75">
        <v>3283.23</v>
      </c>
      <c r="J268" s="75">
        <v>1</v>
      </c>
    </row>
    <row r="269" spans="1:10" x14ac:dyDescent="0.25">
      <c r="E269" t="s">
        <v>1043</v>
      </c>
      <c r="F269" t="s">
        <v>97</v>
      </c>
      <c r="G269" t="s">
        <v>113</v>
      </c>
      <c r="H269" s="73">
        <v>0</v>
      </c>
      <c r="I269" s="75">
        <v>3283.23</v>
      </c>
      <c r="J269" s="75">
        <v>1</v>
      </c>
    </row>
    <row r="270" spans="1:10" x14ac:dyDescent="0.25">
      <c r="E270" t="s">
        <v>1044</v>
      </c>
      <c r="F270" t="s">
        <v>96</v>
      </c>
      <c r="G270" t="s">
        <v>114</v>
      </c>
      <c r="H270" s="73">
        <v>0</v>
      </c>
      <c r="I270" s="75">
        <v>3283.23</v>
      </c>
      <c r="J270" s="75">
        <v>1</v>
      </c>
    </row>
    <row r="271" spans="1:10" x14ac:dyDescent="0.25">
      <c r="E271" t="s">
        <v>1045</v>
      </c>
      <c r="F271" t="s">
        <v>96</v>
      </c>
      <c r="G271" t="s">
        <v>56</v>
      </c>
      <c r="H271" s="73">
        <v>300000</v>
      </c>
      <c r="I271" s="75">
        <v>4251.97</v>
      </c>
      <c r="J271" s="75">
        <v>1</v>
      </c>
    </row>
    <row r="272" spans="1:10" x14ac:dyDescent="0.25">
      <c r="E272" t="s">
        <v>1046</v>
      </c>
      <c r="F272" t="s">
        <v>97</v>
      </c>
      <c r="G272" t="s">
        <v>115</v>
      </c>
      <c r="H272" s="73">
        <v>0</v>
      </c>
      <c r="I272" s="75">
        <v>3283.23</v>
      </c>
      <c r="J272" s="75">
        <v>1</v>
      </c>
    </row>
    <row r="273" spans="5:10" x14ac:dyDescent="0.25">
      <c r="E273" t="s">
        <v>1047</v>
      </c>
      <c r="F273" t="s">
        <v>96</v>
      </c>
      <c r="G273" t="s">
        <v>114</v>
      </c>
      <c r="H273" s="73">
        <v>0</v>
      </c>
      <c r="I273" s="75">
        <v>3283.23</v>
      </c>
      <c r="J273" s="75">
        <v>1</v>
      </c>
    </row>
    <row r="274" spans="5:10" x14ac:dyDescent="0.25">
      <c r="E274" t="s">
        <v>1048</v>
      </c>
      <c r="F274" t="s">
        <v>96</v>
      </c>
      <c r="G274" t="s">
        <v>56</v>
      </c>
      <c r="H274" s="73">
        <v>0</v>
      </c>
      <c r="I274" s="75">
        <v>873.69246575342459</v>
      </c>
      <c r="J274" s="75">
        <v>0</v>
      </c>
    </row>
    <row r="275" spans="5:10" x14ac:dyDescent="0.25">
      <c r="E275" t="s">
        <v>1049</v>
      </c>
      <c r="F275" t="s">
        <v>96</v>
      </c>
      <c r="G275" t="s">
        <v>114</v>
      </c>
      <c r="H275" s="73">
        <v>0</v>
      </c>
      <c r="I275" s="75">
        <v>674.6363013698633</v>
      </c>
      <c r="J275" s="75">
        <v>0</v>
      </c>
    </row>
    <row r="276" spans="5:10" x14ac:dyDescent="0.25">
      <c r="E276" t="s">
        <v>1050</v>
      </c>
      <c r="F276" t="s">
        <v>97</v>
      </c>
      <c r="G276" t="s">
        <v>115</v>
      </c>
      <c r="H276" s="73">
        <v>0</v>
      </c>
      <c r="I276" s="75">
        <v>674.6363013698633</v>
      </c>
      <c r="J276" s="75">
        <v>0</v>
      </c>
    </row>
    <row r="277" spans="5:10" x14ac:dyDescent="0.25">
      <c r="E277" t="s">
        <v>1051</v>
      </c>
      <c r="F277" t="s">
        <v>96</v>
      </c>
      <c r="G277" t="s">
        <v>114</v>
      </c>
      <c r="H277" s="73">
        <v>0</v>
      </c>
      <c r="I277" s="75">
        <v>674.6363013698633</v>
      </c>
      <c r="J277" s="75">
        <v>0</v>
      </c>
    </row>
    <row r="278" spans="5:10" x14ac:dyDescent="0.25">
      <c r="E278" t="s">
        <v>1052</v>
      </c>
      <c r="F278" t="s">
        <v>96</v>
      </c>
      <c r="G278" t="s">
        <v>56</v>
      </c>
      <c r="H278" s="73">
        <v>300000</v>
      </c>
      <c r="I278" s="75">
        <v>8124.57</v>
      </c>
      <c r="J278" s="75">
        <v>1</v>
      </c>
    </row>
    <row r="279" spans="5:10" x14ac:dyDescent="0.25">
      <c r="E279" t="s">
        <v>1053</v>
      </c>
      <c r="F279" t="s">
        <v>97</v>
      </c>
      <c r="G279" t="s">
        <v>115</v>
      </c>
      <c r="H279" s="73">
        <v>0</v>
      </c>
      <c r="I279" s="75">
        <v>8124.57</v>
      </c>
      <c r="J279" s="75">
        <v>1</v>
      </c>
    </row>
    <row r="280" spans="5:10" x14ac:dyDescent="0.25">
      <c r="E280" t="s">
        <v>1054</v>
      </c>
      <c r="F280" t="s">
        <v>96</v>
      </c>
      <c r="G280" t="s">
        <v>114</v>
      </c>
      <c r="H280" s="73">
        <v>0</v>
      </c>
      <c r="I280" s="75">
        <v>3283.23</v>
      </c>
      <c r="J280" s="75">
        <v>1</v>
      </c>
    </row>
    <row r="281" spans="5:10" x14ac:dyDescent="0.25">
      <c r="E281" t="s">
        <v>1055</v>
      </c>
      <c r="F281" t="s">
        <v>96</v>
      </c>
      <c r="G281" t="s">
        <v>56</v>
      </c>
      <c r="H281" s="73">
        <v>300000</v>
      </c>
      <c r="I281" s="75">
        <v>4251.97</v>
      </c>
      <c r="J281" s="75">
        <v>1</v>
      </c>
    </row>
    <row r="282" spans="5:10" x14ac:dyDescent="0.25">
      <c r="E282" t="s">
        <v>1056</v>
      </c>
      <c r="F282" t="s">
        <v>97</v>
      </c>
      <c r="G282" t="s">
        <v>115</v>
      </c>
      <c r="H282" s="73">
        <v>0</v>
      </c>
      <c r="I282" s="75">
        <v>4251.97</v>
      </c>
      <c r="J282" s="75">
        <v>1</v>
      </c>
    </row>
    <row r="283" spans="5:10" x14ac:dyDescent="0.25">
      <c r="E283" t="s">
        <v>1057</v>
      </c>
      <c r="F283" t="s">
        <v>96</v>
      </c>
      <c r="G283" t="s">
        <v>114</v>
      </c>
      <c r="H283" s="73">
        <v>0</v>
      </c>
      <c r="I283" s="75">
        <v>3283.23</v>
      </c>
      <c r="J283" s="75">
        <v>1</v>
      </c>
    </row>
    <row r="284" spans="5:10" x14ac:dyDescent="0.25">
      <c r="E284" t="s">
        <v>1058</v>
      </c>
      <c r="F284" t="s">
        <v>96</v>
      </c>
      <c r="G284" t="s">
        <v>114</v>
      </c>
      <c r="H284" s="73">
        <v>0</v>
      </c>
      <c r="I284" s="75">
        <v>3283.23</v>
      </c>
      <c r="J284" s="75">
        <v>1</v>
      </c>
    </row>
    <row r="285" spans="5:10" x14ac:dyDescent="0.25">
      <c r="E285" t="s">
        <v>1059</v>
      </c>
      <c r="F285" t="s">
        <v>96</v>
      </c>
      <c r="G285" t="s">
        <v>56</v>
      </c>
      <c r="H285" s="73">
        <v>300000</v>
      </c>
      <c r="I285" s="75">
        <v>4251.97</v>
      </c>
      <c r="J285" s="75">
        <v>1</v>
      </c>
    </row>
    <row r="286" spans="5:10" x14ac:dyDescent="0.25">
      <c r="E286" t="s">
        <v>1060</v>
      </c>
      <c r="F286" t="s">
        <v>97</v>
      </c>
      <c r="G286" t="s">
        <v>115</v>
      </c>
      <c r="H286" s="73">
        <v>0</v>
      </c>
      <c r="I286" s="75">
        <v>4251.97</v>
      </c>
      <c r="J286" s="75">
        <v>1</v>
      </c>
    </row>
    <row r="287" spans="5:10" x14ac:dyDescent="0.25">
      <c r="E287" t="s">
        <v>1061</v>
      </c>
      <c r="F287" t="s">
        <v>96</v>
      </c>
      <c r="G287" t="s">
        <v>114</v>
      </c>
      <c r="H287" s="73">
        <v>0</v>
      </c>
      <c r="I287" s="75">
        <v>3283.23</v>
      </c>
      <c r="J287" s="75">
        <v>1</v>
      </c>
    </row>
    <row r="288" spans="5:10" x14ac:dyDescent="0.25">
      <c r="E288" t="s">
        <v>1062</v>
      </c>
      <c r="F288" t="s">
        <v>96</v>
      </c>
      <c r="G288" t="s">
        <v>114</v>
      </c>
      <c r="H288" s="73">
        <v>0</v>
      </c>
      <c r="I288" s="75">
        <v>3283.23</v>
      </c>
      <c r="J288" s="75">
        <v>1</v>
      </c>
    </row>
    <row r="289" spans="5:10" x14ac:dyDescent="0.25">
      <c r="E289" t="s">
        <v>1063</v>
      </c>
      <c r="F289" t="s">
        <v>96</v>
      </c>
      <c r="G289" t="s">
        <v>56</v>
      </c>
      <c r="H289" s="73">
        <v>300000</v>
      </c>
      <c r="I289" s="75">
        <v>4251.97</v>
      </c>
      <c r="J289" s="75">
        <v>1</v>
      </c>
    </row>
    <row r="290" spans="5:10" x14ac:dyDescent="0.25">
      <c r="E290" t="s">
        <v>1064</v>
      </c>
      <c r="F290" t="s">
        <v>97</v>
      </c>
      <c r="G290" t="s">
        <v>115</v>
      </c>
      <c r="H290" s="73">
        <v>0</v>
      </c>
      <c r="I290" s="75">
        <v>4251.97</v>
      </c>
      <c r="J290" s="75">
        <v>1</v>
      </c>
    </row>
    <row r="291" spans="5:10" x14ac:dyDescent="0.25">
      <c r="E291" t="s">
        <v>1065</v>
      </c>
      <c r="F291" t="s">
        <v>97</v>
      </c>
      <c r="G291" t="s">
        <v>113</v>
      </c>
      <c r="H291" s="73">
        <v>0</v>
      </c>
      <c r="I291" s="75">
        <v>3283.23</v>
      </c>
      <c r="J291" s="75">
        <v>1</v>
      </c>
    </row>
    <row r="292" spans="5:10" x14ac:dyDescent="0.25">
      <c r="E292" t="s">
        <v>1066</v>
      </c>
      <c r="F292" t="s">
        <v>97</v>
      </c>
      <c r="G292" t="s">
        <v>113</v>
      </c>
      <c r="H292" s="73">
        <v>0</v>
      </c>
      <c r="I292" s="75">
        <v>3283.23</v>
      </c>
      <c r="J292" s="75">
        <v>1</v>
      </c>
    </row>
    <row r="293" spans="5:10" x14ac:dyDescent="0.25">
      <c r="E293" t="s">
        <v>1067</v>
      </c>
      <c r="F293" t="s">
        <v>96</v>
      </c>
      <c r="G293" t="s">
        <v>56</v>
      </c>
      <c r="H293" s="73">
        <v>300000</v>
      </c>
      <c r="I293" s="75">
        <v>4251.97</v>
      </c>
      <c r="J293" s="75">
        <v>1</v>
      </c>
    </row>
    <row r="294" spans="5:10" x14ac:dyDescent="0.25">
      <c r="E294" t="s">
        <v>1068</v>
      </c>
      <c r="F294" t="s">
        <v>96</v>
      </c>
      <c r="G294" t="s">
        <v>114</v>
      </c>
      <c r="H294" s="73">
        <v>0</v>
      </c>
      <c r="I294" s="75">
        <v>3283.23</v>
      </c>
      <c r="J294" s="75">
        <v>1</v>
      </c>
    </row>
    <row r="295" spans="5:10" x14ac:dyDescent="0.25">
      <c r="E295" t="s">
        <v>1069</v>
      </c>
      <c r="F295" t="s">
        <v>96</v>
      </c>
      <c r="G295" t="s">
        <v>114</v>
      </c>
      <c r="H295" s="73">
        <v>0</v>
      </c>
      <c r="I295" s="75">
        <v>3283.23</v>
      </c>
      <c r="J295" s="75">
        <v>1</v>
      </c>
    </row>
    <row r="296" spans="5:10" x14ac:dyDescent="0.25">
      <c r="E296" t="s">
        <v>1070</v>
      </c>
      <c r="F296" t="s">
        <v>97</v>
      </c>
      <c r="G296" t="s">
        <v>115</v>
      </c>
      <c r="H296" s="73">
        <v>0</v>
      </c>
      <c r="I296" s="75">
        <v>4251.97</v>
      </c>
      <c r="J296" s="75">
        <v>1</v>
      </c>
    </row>
    <row r="297" spans="5:10" x14ac:dyDescent="0.25">
      <c r="E297" t="s">
        <v>1071</v>
      </c>
      <c r="F297" t="s">
        <v>96</v>
      </c>
      <c r="G297" t="s">
        <v>56</v>
      </c>
      <c r="H297" s="73">
        <v>300000</v>
      </c>
      <c r="I297" s="75">
        <v>8124.57</v>
      </c>
      <c r="J297" s="75">
        <v>1</v>
      </c>
    </row>
    <row r="298" spans="5:10" x14ac:dyDescent="0.25">
      <c r="E298" t="s">
        <v>1072</v>
      </c>
      <c r="F298" t="s">
        <v>96</v>
      </c>
      <c r="G298" t="s">
        <v>114</v>
      </c>
      <c r="H298" s="73">
        <v>0</v>
      </c>
      <c r="I298" s="75">
        <v>3283.23</v>
      </c>
      <c r="J298" s="75">
        <v>1</v>
      </c>
    </row>
    <row r="299" spans="5:10" x14ac:dyDescent="0.25">
      <c r="E299" t="s">
        <v>1073</v>
      </c>
      <c r="F299" t="s">
        <v>97</v>
      </c>
      <c r="G299" t="s">
        <v>113</v>
      </c>
      <c r="H299" s="73">
        <v>0</v>
      </c>
      <c r="I299" s="75">
        <v>3283.23</v>
      </c>
      <c r="J299" s="75">
        <v>1</v>
      </c>
    </row>
    <row r="300" spans="5:10" x14ac:dyDescent="0.25">
      <c r="E300" t="s">
        <v>1074</v>
      </c>
      <c r="F300" t="s">
        <v>97</v>
      </c>
      <c r="G300" t="s">
        <v>115</v>
      </c>
      <c r="H300" s="73">
        <v>0</v>
      </c>
      <c r="I300" s="75">
        <v>8124.57</v>
      </c>
      <c r="J300" s="75">
        <v>1</v>
      </c>
    </row>
    <row r="301" spans="5:10" x14ac:dyDescent="0.25">
      <c r="E301" t="s">
        <v>1075</v>
      </c>
      <c r="F301" t="s">
        <v>96</v>
      </c>
      <c r="G301" t="s">
        <v>56</v>
      </c>
      <c r="H301" s="73">
        <v>300000</v>
      </c>
      <c r="I301" s="75">
        <v>14246.99</v>
      </c>
      <c r="J301" s="75">
        <v>1</v>
      </c>
    </row>
    <row r="302" spans="5:10" x14ac:dyDescent="0.25">
      <c r="E302" t="s">
        <v>1076</v>
      </c>
      <c r="F302" t="s">
        <v>97</v>
      </c>
      <c r="G302" t="s">
        <v>115</v>
      </c>
      <c r="H302" s="73">
        <v>0</v>
      </c>
      <c r="I302" s="75">
        <v>14246.99</v>
      </c>
      <c r="J302" s="75">
        <v>1</v>
      </c>
    </row>
    <row r="303" spans="5:10" x14ac:dyDescent="0.25">
      <c r="E303" t="s">
        <v>1077</v>
      </c>
      <c r="F303" t="s">
        <v>96</v>
      </c>
      <c r="G303" t="s">
        <v>56</v>
      </c>
      <c r="H303" s="73">
        <v>300000</v>
      </c>
      <c r="I303" s="75">
        <v>4251.97</v>
      </c>
      <c r="J303" s="75">
        <v>1</v>
      </c>
    </row>
    <row r="304" spans="5:10" x14ac:dyDescent="0.25">
      <c r="E304" t="s">
        <v>1078</v>
      </c>
      <c r="F304" t="s">
        <v>97</v>
      </c>
      <c r="G304" t="s">
        <v>115</v>
      </c>
      <c r="H304" s="73">
        <v>0</v>
      </c>
      <c r="I304" s="75">
        <v>3283.23</v>
      </c>
      <c r="J304" s="75">
        <v>1</v>
      </c>
    </row>
    <row r="305" spans="5:10" x14ac:dyDescent="0.25">
      <c r="E305" t="s">
        <v>1079</v>
      </c>
      <c r="F305" t="s">
        <v>96</v>
      </c>
      <c r="G305" t="s">
        <v>114</v>
      </c>
      <c r="H305" s="73">
        <v>0</v>
      </c>
      <c r="I305" s="75">
        <v>3283.23</v>
      </c>
      <c r="J305" s="75">
        <v>1</v>
      </c>
    </row>
    <row r="306" spans="5:10" x14ac:dyDescent="0.25">
      <c r="E306" t="s">
        <v>1080</v>
      </c>
      <c r="F306" t="s">
        <v>96</v>
      </c>
      <c r="G306" t="s">
        <v>56</v>
      </c>
      <c r="H306" s="73">
        <v>300000</v>
      </c>
      <c r="I306" s="75">
        <v>4251.97</v>
      </c>
      <c r="J306" s="75">
        <v>1</v>
      </c>
    </row>
    <row r="307" spans="5:10" x14ac:dyDescent="0.25">
      <c r="E307" t="s">
        <v>1081</v>
      </c>
      <c r="F307" t="s">
        <v>96</v>
      </c>
      <c r="G307" t="s">
        <v>114</v>
      </c>
      <c r="H307" s="73">
        <v>0</v>
      </c>
      <c r="I307" s="75">
        <v>3283.23</v>
      </c>
      <c r="J307" s="75">
        <v>1</v>
      </c>
    </row>
    <row r="308" spans="5:10" x14ac:dyDescent="0.25">
      <c r="E308" t="s">
        <v>1082</v>
      </c>
      <c r="F308" t="s">
        <v>97</v>
      </c>
      <c r="G308" t="s">
        <v>115</v>
      </c>
      <c r="H308" s="73">
        <v>0</v>
      </c>
      <c r="I308" s="75">
        <v>4251.97</v>
      </c>
      <c r="J308" s="75">
        <v>1</v>
      </c>
    </row>
    <row r="309" spans="5:10" x14ac:dyDescent="0.25">
      <c r="E309" t="s">
        <v>1083</v>
      </c>
      <c r="F309" t="s">
        <v>97</v>
      </c>
      <c r="G309" t="s">
        <v>113</v>
      </c>
      <c r="H309" s="73">
        <v>0</v>
      </c>
      <c r="I309" s="75">
        <v>3283.23</v>
      </c>
      <c r="J309" s="75">
        <v>1</v>
      </c>
    </row>
    <row r="310" spans="5:10" x14ac:dyDescent="0.25">
      <c r="E310" t="s">
        <v>1084</v>
      </c>
      <c r="F310" t="s">
        <v>96</v>
      </c>
      <c r="G310" t="s">
        <v>56</v>
      </c>
      <c r="H310" s="73">
        <v>300000</v>
      </c>
      <c r="I310" s="75">
        <v>4251.97</v>
      </c>
      <c r="J310" s="75">
        <v>1</v>
      </c>
    </row>
    <row r="311" spans="5:10" x14ac:dyDescent="0.25">
      <c r="E311" t="s">
        <v>1085</v>
      </c>
      <c r="F311" t="s">
        <v>97</v>
      </c>
      <c r="G311" t="s">
        <v>115</v>
      </c>
      <c r="H311" s="73">
        <v>0</v>
      </c>
      <c r="I311" s="75">
        <v>3283.23</v>
      </c>
      <c r="J311" s="75">
        <v>1</v>
      </c>
    </row>
    <row r="312" spans="5:10" x14ac:dyDescent="0.25">
      <c r="E312" t="s">
        <v>1086</v>
      </c>
      <c r="F312" t="s">
        <v>97</v>
      </c>
      <c r="G312" t="s">
        <v>113</v>
      </c>
      <c r="H312" s="73">
        <v>0</v>
      </c>
      <c r="I312" s="75">
        <v>3283.23</v>
      </c>
      <c r="J312" s="75">
        <v>1</v>
      </c>
    </row>
    <row r="313" spans="5:10" x14ac:dyDescent="0.25">
      <c r="E313" t="s">
        <v>1087</v>
      </c>
      <c r="F313" t="s">
        <v>96</v>
      </c>
      <c r="G313" t="s">
        <v>114</v>
      </c>
      <c r="H313" s="73">
        <v>0</v>
      </c>
      <c r="I313" s="75">
        <v>3283.23</v>
      </c>
      <c r="J313" s="75">
        <v>1</v>
      </c>
    </row>
    <row r="314" spans="5:10" x14ac:dyDescent="0.25">
      <c r="E314" t="s">
        <v>1088</v>
      </c>
      <c r="F314" t="s">
        <v>96</v>
      </c>
      <c r="G314" t="s">
        <v>56</v>
      </c>
      <c r="H314" s="73">
        <v>300000</v>
      </c>
      <c r="I314" s="75">
        <v>4251.97</v>
      </c>
      <c r="J314" s="75">
        <v>1</v>
      </c>
    </row>
    <row r="315" spans="5:10" x14ac:dyDescent="0.25">
      <c r="E315" t="s">
        <v>1089</v>
      </c>
      <c r="F315" t="s">
        <v>97</v>
      </c>
      <c r="G315" t="s">
        <v>115</v>
      </c>
      <c r="H315" s="73">
        <v>0</v>
      </c>
      <c r="I315" s="75">
        <v>4251.97</v>
      </c>
      <c r="J315" s="75">
        <v>1</v>
      </c>
    </row>
    <row r="316" spans="5:10" x14ac:dyDescent="0.25">
      <c r="E316" t="s">
        <v>1090</v>
      </c>
      <c r="F316" t="s">
        <v>97</v>
      </c>
      <c r="G316" t="s">
        <v>113</v>
      </c>
      <c r="H316" s="73">
        <v>0</v>
      </c>
      <c r="I316" s="75">
        <v>3283.23</v>
      </c>
      <c r="J316" s="75">
        <v>1</v>
      </c>
    </row>
    <row r="317" spans="5:10" x14ac:dyDescent="0.25">
      <c r="E317" t="s">
        <v>1091</v>
      </c>
      <c r="F317" t="s">
        <v>96</v>
      </c>
      <c r="G317" t="s">
        <v>56</v>
      </c>
      <c r="H317" s="73">
        <v>300000</v>
      </c>
      <c r="I317" s="75">
        <v>4251.97</v>
      </c>
      <c r="J317" s="75">
        <v>1</v>
      </c>
    </row>
    <row r="318" spans="5:10" x14ac:dyDescent="0.25">
      <c r="E318" t="s">
        <v>1092</v>
      </c>
      <c r="F318" t="s">
        <v>96</v>
      </c>
      <c r="G318" t="s">
        <v>56</v>
      </c>
      <c r="H318" s="73">
        <v>300000</v>
      </c>
      <c r="I318" s="75">
        <v>3283.23</v>
      </c>
      <c r="J318" s="75">
        <v>1</v>
      </c>
    </row>
    <row r="319" spans="5:10" x14ac:dyDescent="0.25">
      <c r="E319" t="s">
        <v>1093</v>
      </c>
      <c r="F319" t="s">
        <v>97</v>
      </c>
      <c r="G319" t="s">
        <v>115</v>
      </c>
      <c r="H319" s="73">
        <v>0</v>
      </c>
      <c r="I319" s="75">
        <v>3283.23</v>
      </c>
      <c r="J319" s="75">
        <v>1</v>
      </c>
    </row>
    <row r="320" spans="5:10" x14ac:dyDescent="0.25">
      <c r="E320" t="s">
        <v>1094</v>
      </c>
      <c r="F320" t="s">
        <v>97</v>
      </c>
      <c r="G320" t="s">
        <v>113</v>
      </c>
      <c r="H320" s="73">
        <v>0</v>
      </c>
      <c r="I320" s="75">
        <v>3283.23</v>
      </c>
      <c r="J320" s="75">
        <v>1</v>
      </c>
    </row>
    <row r="321" spans="5:10" x14ac:dyDescent="0.25">
      <c r="E321" t="s">
        <v>1095</v>
      </c>
      <c r="F321" t="s">
        <v>96</v>
      </c>
      <c r="G321" t="s">
        <v>56</v>
      </c>
      <c r="H321" s="73">
        <v>1000000</v>
      </c>
      <c r="I321" s="75">
        <v>5393.16</v>
      </c>
      <c r="J321" s="75">
        <v>1</v>
      </c>
    </row>
    <row r="322" spans="5:10" x14ac:dyDescent="0.25">
      <c r="E322" t="s">
        <v>1096</v>
      </c>
      <c r="F322" t="s">
        <v>97</v>
      </c>
      <c r="G322" t="s">
        <v>115</v>
      </c>
      <c r="H322" s="73">
        <v>0</v>
      </c>
      <c r="I322" s="75">
        <v>5393.16</v>
      </c>
      <c r="J322" s="75">
        <v>1</v>
      </c>
    </row>
    <row r="323" spans="5:10" x14ac:dyDescent="0.25">
      <c r="E323" t="s">
        <v>1097</v>
      </c>
      <c r="F323" t="s">
        <v>96</v>
      </c>
      <c r="G323" t="s">
        <v>56</v>
      </c>
      <c r="H323" s="73">
        <v>300000</v>
      </c>
      <c r="I323" s="75">
        <v>14246.99</v>
      </c>
      <c r="J323" s="75">
        <v>1</v>
      </c>
    </row>
    <row r="324" spans="5:10" x14ac:dyDescent="0.25">
      <c r="E324" t="s">
        <v>1098</v>
      </c>
      <c r="F324" t="s">
        <v>97</v>
      </c>
      <c r="G324" t="s">
        <v>115</v>
      </c>
      <c r="H324" s="73">
        <v>0</v>
      </c>
      <c r="I324" s="75">
        <v>14246.99</v>
      </c>
      <c r="J324" s="75">
        <v>1</v>
      </c>
    </row>
    <row r="325" spans="5:10" x14ac:dyDescent="0.25">
      <c r="E325" t="s">
        <v>1099</v>
      </c>
      <c r="F325" t="s">
        <v>96</v>
      </c>
      <c r="G325" t="s">
        <v>56</v>
      </c>
      <c r="H325" s="73">
        <v>300000</v>
      </c>
      <c r="I325" s="75">
        <v>8124.57</v>
      </c>
      <c r="J325" s="75">
        <v>1</v>
      </c>
    </row>
    <row r="326" spans="5:10" x14ac:dyDescent="0.25">
      <c r="E326" t="s">
        <v>1100</v>
      </c>
      <c r="F326" t="s">
        <v>96</v>
      </c>
      <c r="G326" t="s">
        <v>114</v>
      </c>
      <c r="H326" s="73">
        <v>0</v>
      </c>
      <c r="I326" s="75">
        <v>3283.23</v>
      </c>
      <c r="J326" s="75">
        <v>1</v>
      </c>
    </row>
    <row r="327" spans="5:10" x14ac:dyDescent="0.25">
      <c r="E327" t="s">
        <v>1101</v>
      </c>
      <c r="F327" t="s">
        <v>97</v>
      </c>
      <c r="G327" t="s">
        <v>115</v>
      </c>
      <c r="H327" s="73">
        <v>0</v>
      </c>
      <c r="I327" s="75">
        <v>8124.57</v>
      </c>
      <c r="J327" s="75">
        <v>1</v>
      </c>
    </row>
    <row r="328" spans="5:10" x14ac:dyDescent="0.25">
      <c r="E328" t="s">
        <v>1102</v>
      </c>
      <c r="F328" t="s">
        <v>96</v>
      </c>
      <c r="G328" t="s">
        <v>56</v>
      </c>
      <c r="H328" s="73">
        <v>300000</v>
      </c>
      <c r="I328" s="75">
        <v>8124.57</v>
      </c>
      <c r="J328" s="75">
        <v>1</v>
      </c>
    </row>
    <row r="329" spans="5:10" x14ac:dyDescent="0.25">
      <c r="E329" t="s">
        <v>1103</v>
      </c>
      <c r="F329" t="s">
        <v>97</v>
      </c>
      <c r="G329" t="s">
        <v>113</v>
      </c>
      <c r="H329" s="73">
        <v>0</v>
      </c>
      <c r="I329" s="75">
        <v>3283.23</v>
      </c>
      <c r="J329" s="75">
        <v>1</v>
      </c>
    </row>
    <row r="330" spans="5:10" x14ac:dyDescent="0.25">
      <c r="E330" t="s">
        <v>1104</v>
      </c>
      <c r="F330" t="s">
        <v>97</v>
      </c>
      <c r="G330" t="s">
        <v>115</v>
      </c>
      <c r="H330" s="73">
        <v>0</v>
      </c>
      <c r="I330" s="75">
        <v>4251.97</v>
      </c>
      <c r="J330" s="75">
        <v>1</v>
      </c>
    </row>
    <row r="331" spans="5:10" x14ac:dyDescent="0.25">
      <c r="E331" t="s">
        <v>1105</v>
      </c>
      <c r="F331" t="s">
        <v>96</v>
      </c>
      <c r="G331" t="s">
        <v>114</v>
      </c>
      <c r="H331" s="73">
        <v>0</v>
      </c>
      <c r="I331" s="75">
        <v>3283.23</v>
      </c>
      <c r="J331" s="75">
        <v>1</v>
      </c>
    </row>
    <row r="332" spans="5:10" x14ac:dyDescent="0.25">
      <c r="E332" t="s">
        <v>1106</v>
      </c>
      <c r="F332" t="s">
        <v>96</v>
      </c>
      <c r="G332" t="s">
        <v>56</v>
      </c>
      <c r="H332" s="73">
        <v>300000</v>
      </c>
      <c r="I332" s="75">
        <v>4251.97</v>
      </c>
      <c r="J332" s="75">
        <v>1</v>
      </c>
    </row>
    <row r="333" spans="5:10" x14ac:dyDescent="0.25">
      <c r="E333" t="s">
        <v>1107</v>
      </c>
      <c r="F333" t="s">
        <v>97</v>
      </c>
      <c r="G333" t="s">
        <v>115</v>
      </c>
      <c r="H333" s="73">
        <v>0</v>
      </c>
      <c r="I333" s="75">
        <v>3283.23</v>
      </c>
      <c r="J333" s="75">
        <v>1</v>
      </c>
    </row>
    <row r="334" spans="5:10" x14ac:dyDescent="0.25">
      <c r="E334" t="s">
        <v>1108</v>
      </c>
      <c r="F334" t="s">
        <v>97</v>
      </c>
      <c r="G334" t="s">
        <v>113</v>
      </c>
      <c r="H334" s="73">
        <v>0</v>
      </c>
      <c r="I334" s="75">
        <v>3283.23</v>
      </c>
      <c r="J334" s="75">
        <v>1</v>
      </c>
    </row>
    <row r="335" spans="5:10" x14ac:dyDescent="0.25">
      <c r="E335" t="s">
        <v>1109</v>
      </c>
      <c r="F335" t="s">
        <v>96</v>
      </c>
      <c r="G335" t="s">
        <v>114</v>
      </c>
      <c r="H335" s="73">
        <v>0</v>
      </c>
      <c r="I335" s="75">
        <v>3283.23</v>
      </c>
      <c r="J335" s="75">
        <v>1</v>
      </c>
    </row>
    <row r="336" spans="5:10" x14ac:dyDescent="0.25">
      <c r="E336" t="s">
        <v>1110</v>
      </c>
      <c r="F336" t="s">
        <v>96</v>
      </c>
      <c r="G336" t="s">
        <v>56</v>
      </c>
      <c r="H336" s="73">
        <v>300000</v>
      </c>
      <c r="I336" s="75">
        <v>8124.57</v>
      </c>
      <c r="J336" s="75">
        <v>1</v>
      </c>
    </row>
    <row r="337" spans="5:10" x14ac:dyDescent="0.25">
      <c r="E337" t="s">
        <v>1111</v>
      </c>
      <c r="F337" t="s">
        <v>97</v>
      </c>
      <c r="G337" t="s">
        <v>113</v>
      </c>
      <c r="H337" s="73">
        <v>0</v>
      </c>
      <c r="I337" s="75">
        <v>3283.23</v>
      </c>
      <c r="J337" s="75">
        <v>1</v>
      </c>
    </row>
    <row r="338" spans="5:10" x14ac:dyDescent="0.25">
      <c r="E338" t="s">
        <v>1112</v>
      </c>
      <c r="F338" t="s">
        <v>97</v>
      </c>
      <c r="G338" t="s">
        <v>115</v>
      </c>
      <c r="H338" s="73">
        <v>0</v>
      </c>
      <c r="I338" s="75">
        <v>4251.97</v>
      </c>
      <c r="J338" s="75">
        <v>1</v>
      </c>
    </row>
    <row r="339" spans="5:10" x14ac:dyDescent="0.25">
      <c r="E339" t="s">
        <v>1113</v>
      </c>
      <c r="F339" t="s">
        <v>96</v>
      </c>
      <c r="G339" t="s">
        <v>114</v>
      </c>
      <c r="H339" s="73">
        <v>0</v>
      </c>
      <c r="I339" s="75">
        <v>3283.23</v>
      </c>
      <c r="J339" s="75">
        <v>1</v>
      </c>
    </row>
    <row r="340" spans="5:10" x14ac:dyDescent="0.25">
      <c r="E340" t="s">
        <v>1114</v>
      </c>
      <c r="F340" t="s">
        <v>96</v>
      </c>
      <c r="G340" t="s">
        <v>56</v>
      </c>
      <c r="H340" s="73">
        <v>300000</v>
      </c>
      <c r="I340" s="75">
        <v>8124.57</v>
      </c>
      <c r="J340" s="75">
        <v>1</v>
      </c>
    </row>
    <row r="341" spans="5:10" x14ac:dyDescent="0.25">
      <c r="E341" t="s">
        <v>1115</v>
      </c>
      <c r="F341" t="s">
        <v>97</v>
      </c>
      <c r="G341" t="s">
        <v>115</v>
      </c>
      <c r="H341" s="73">
        <v>0</v>
      </c>
      <c r="I341" s="75">
        <v>8124.57</v>
      </c>
      <c r="J341" s="75">
        <v>1</v>
      </c>
    </row>
    <row r="342" spans="5:10" x14ac:dyDescent="0.25">
      <c r="E342" t="s">
        <v>1116</v>
      </c>
      <c r="F342" t="s">
        <v>97</v>
      </c>
      <c r="G342" t="s">
        <v>113</v>
      </c>
      <c r="H342" s="73">
        <v>0</v>
      </c>
      <c r="I342" s="75">
        <v>3283.23</v>
      </c>
      <c r="J342" s="75">
        <v>1</v>
      </c>
    </row>
    <row r="343" spans="5:10" x14ac:dyDescent="0.25">
      <c r="E343" t="s">
        <v>1117</v>
      </c>
      <c r="F343" t="s">
        <v>96</v>
      </c>
      <c r="G343" t="s">
        <v>114</v>
      </c>
      <c r="H343" s="73">
        <v>0</v>
      </c>
      <c r="I343" s="75">
        <v>3283.23</v>
      </c>
      <c r="J343" s="75">
        <v>1</v>
      </c>
    </row>
    <row r="344" spans="5:10" x14ac:dyDescent="0.25">
      <c r="E344" t="s">
        <v>1118</v>
      </c>
      <c r="F344" t="s">
        <v>96</v>
      </c>
      <c r="G344" t="s">
        <v>56</v>
      </c>
      <c r="H344" s="73">
        <v>300000</v>
      </c>
      <c r="I344" s="75">
        <v>4251.97</v>
      </c>
      <c r="J344" s="75">
        <v>1</v>
      </c>
    </row>
    <row r="345" spans="5:10" x14ac:dyDescent="0.25">
      <c r="E345" t="s">
        <v>1119</v>
      </c>
      <c r="F345" t="s">
        <v>97</v>
      </c>
      <c r="G345" t="s">
        <v>115</v>
      </c>
      <c r="H345" s="73">
        <v>0</v>
      </c>
      <c r="I345" s="75">
        <v>3283.23</v>
      </c>
      <c r="J345" s="75">
        <v>1</v>
      </c>
    </row>
    <row r="346" spans="5:10" x14ac:dyDescent="0.25">
      <c r="E346" t="s">
        <v>1120</v>
      </c>
      <c r="F346" t="s">
        <v>96</v>
      </c>
      <c r="G346" t="s">
        <v>114</v>
      </c>
      <c r="H346" s="73">
        <v>0</v>
      </c>
      <c r="I346" s="75">
        <v>3283.23</v>
      </c>
      <c r="J346" s="75">
        <v>1</v>
      </c>
    </row>
    <row r="347" spans="5:10" x14ac:dyDescent="0.25">
      <c r="E347" t="s">
        <v>1121</v>
      </c>
      <c r="F347" t="s">
        <v>96</v>
      </c>
      <c r="G347" t="s">
        <v>114</v>
      </c>
      <c r="H347" s="73">
        <v>0</v>
      </c>
      <c r="I347" s="75">
        <v>3283.23</v>
      </c>
      <c r="J347" s="75">
        <v>1</v>
      </c>
    </row>
    <row r="348" spans="5:10" x14ac:dyDescent="0.25">
      <c r="E348" t="s">
        <v>1122</v>
      </c>
      <c r="F348" t="s">
        <v>96</v>
      </c>
      <c r="G348" t="s">
        <v>56</v>
      </c>
      <c r="H348" s="73">
        <v>300000</v>
      </c>
      <c r="I348" s="75">
        <v>4251.97</v>
      </c>
      <c r="J348" s="75">
        <v>1</v>
      </c>
    </row>
    <row r="349" spans="5:10" x14ac:dyDescent="0.25">
      <c r="E349" t="s">
        <v>1123</v>
      </c>
      <c r="F349" t="s">
        <v>97</v>
      </c>
      <c r="G349" t="s">
        <v>115</v>
      </c>
      <c r="H349" s="73">
        <v>0</v>
      </c>
      <c r="I349" s="75">
        <v>4251.97</v>
      </c>
      <c r="J349" s="75">
        <v>1</v>
      </c>
    </row>
    <row r="350" spans="5:10" x14ac:dyDescent="0.25">
      <c r="E350" t="s">
        <v>1124</v>
      </c>
      <c r="F350" t="s">
        <v>96</v>
      </c>
      <c r="G350" t="s">
        <v>114</v>
      </c>
      <c r="H350" s="73">
        <v>0</v>
      </c>
      <c r="I350" s="75">
        <v>3283.23</v>
      </c>
      <c r="J350" s="75">
        <v>1</v>
      </c>
    </row>
    <row r="351" spans="5:10" x14ac:dyDescent="0.25">
      <c r="E351" t="s">
        <v>1125</v>
      </c>
      <c r="F351" t="s">
        <v>96</v>
      </c>
      <c r="G351" t="s">
        <v>114</v>
      </c>
      <c r="H351" s="73">
        <v>0</v>
      </c>
      <c r="I351" s="75">
        <v>3283.23</v>
      </c>
      <c r="J351" s="75">
        <v>1</v>
      </c>
    </row>
    <row r="352" spans="5:10" x14ac:dyDescent="0.25">
      <c r="E352" t="s">
        <v>1126</v>
      </c>
      <c r="F352" t="s">
        <v>96</v>
      </c>
      <c r="G352" t="s">
        <v>56</v>
      </c>
      <c r="H352" s="73">
        <v>300000</v>
      </c>
      <c r="I352" s="75">
        <v>4251.97</v>
      </c>
      <c r="J352" s="75">
        <v>1</v>
      </c>
    </row>
    <row r="353" spans="5:10" x14ac:dyDescent="0.25">
      <c r="E353" t="s">
        <v>1127</v>
      </c>
      <c r="F353" t="s">
        <v>97</v>
      </c>
      <c r="G353" t="s">
        <v>115</v>
      </c>
      <c r="H353" s="73">
        <v>0</v>
      </c>
      <c r="I353" s="75">
        <v>3283.23</v>
      </c>
      <c r="J353" s="75">
        <v>1</v>
      </c>
    </row>
    <row r="354" spans="5:10" x14ac:dyDescent="0.25">
      <c r="E354" t="s">
        <v>1128</v>
      </c>
      <c r="F354" t="s">
        <v>97</v>
      </c>
      <c r="G354" t="s">
        <v>113</v>
      </c>
      <c r="H354" s="73">
        <v>0</v>
      </c>
      <c r="I354" s="75">
        <v>3283.23</v>
      </c>
      <c r="J354" s="75">
        <v>1</v>
      </c>
    </row>
    <row r="355" spans="5:10" x14ac:dyDescent="0.25">
      <c r="E355" t="s">
        <v>1129</v>
      </c>
      <c r="F355" t="s">
        <v>96</v>
      </c>
      <c r="G355" t="s">
        <v>114</v>
      </c>
      <c r="H355" s="73">
        <v>0</v>
      </c>
      <c r="I355" s="75">
        <v>3283.23</v>
      </c>
      <c r="J355" s="75">
        <v>1</v>
      </c>
    </row>
    <row r="356" spans="5:10" x14ac:dyDescent="0.25">
      <c r="E356" t="s">
        <v>1130</v>
      </c>
      <c r="F356" t="s">
        <v>96</v>
      </c>
      <c r="G356" t="s">
        <v>56</v>
      </c>
      <c r="H356" s="73">
        <v>300000</v>
      </c>
      <c r="I356" s="75">
        <v>4251.97</v>
      </c>
      <c r="J356" s="75">
        <v>1</v>
      </c>
    </row>
    <row r="357" spans="5:10" x14ac:dyDescent="0.25">
      <c r="E357" t="s">
        <v>1131</v>
      </c>
      <c r="F357" t="s">
        <v>96</v>
      </c>
      <c r="G357" t="s">
        <v>114</v>
      </c>
      <c r="H357" s="73">
        <v>0</v>
      </c>
      <c r="I357" s="75">
        <v>3283.23</v>
      </c>
      <c r="J357" s="75">
        <v>1</v>
      </c>
    </row>
    <row r="358" spans="5:10" x14ac:dyDescent="0.25">
      <c r="E358" t="s">
        <v>1132</v>
      </c>
      <c r="F358" t="s">
        <v>97</v>
      </c>
      <c r="G358" t="s">
        <v>115</v>
      </c>
      <c r="H358" s="73">
        <v>0</v>
      </c>
      <c r="I358" s="75">
        <v>3283.23</v>
      </c>
      <c r="J358" s="75">
        <v>1</v>
      </c>
    </row>
    <row r="359" spans="5:10" x14ac:dyDescent="0.25">
      <c r="E359" t="s">
        <v>1133</v>
      </c>
      <c r="F359" t="s">
        <v>96</v>
      </c>
      <c r="G359" t="s">
        <v>114</v>
      </c>
      <c r="H359" s="73">
        <v>0</v>
      </c>
      <c r="I359" s="75">
        <v>3283.23</v>
      </c>
      <c r="J359" s="75">
        <v>1</v>
      </c>
    </row>
    <row r="360" spans="5:10" x14ac:dyDescent="0.25">
      <c r="E360" t="s">
        <v>1134</v>
      </c>
      <c r="F360" t="s">
        <v>96</v>
      </c>
      <c r="G360" t="s">
        <v>56</v>
      </c>
      <c r="H360" s="73">
        <v>300000</v>
      </c>
      <c r="I360" s="75">
        <v>8124.57</v>
      </c>
      <c r="J360" s="75">
        <v>1</v>
      </c>
    </row>
    <row r="361" spans="5:10" x14ac:dyDescent="0.25">
      <c r="E361" t="s">
        <v>1135</v>
      </c>
      <c r="F361" t="s">
        <v>97</v>
      </c>
      <c r="G361" t="s">
        <v>113</v>
      </c>
      <c r="H361" s="73">
        <v>0</v>
      </c>
      <c r="I361" s="75">
        <v>3283.23</v>
      </c>
      <c r="J361" s="75">
        <v>1</v>
      </c>
    </row>
    <row r="362" spans="5:10" x14ac:dyDescent="0.25">
      <c r="E362" t="s">
        <v>1136</v>
      </c>
      <c r="F362" t="s">
        <v>97</v>
      </c>
      <c r="G362" t="s">
        <v>115</v>
      </c>
      <c r="H362" s="73">
        <v>0</v>
      </c>
      <c r="I362" s="75">
        <v>4251.97</v>
      </c>
      <c r="J362" s="75">
        <v>1</v>
      </c>
    </row>
    <row r="363" spans="5:10" x14ac:dyDescent="0.25">
      <c r="E363" t="s">
        <v>1137</v>
      </c>
      <c r="F363" t="s">
        <v>96</v>
      </c>
      <c r="G363" t="s">
        <v>56</v>
      </c>
      <c r="H363" s="73">
        <v>300000</v>
      </c>
      <c r="I363" s="75">
        <v>4251.97</v>
      </c>
      <c r="J363" s="75">
        <v>1</v>
      </c>
    </row>
    <row r="364" spans="5:10" x14ac:dyDescent="0.25">
      <c r="E364" t="s">
        <v>1138</v>
      </c>
      <c r="F364" t="s">
        <v>96</v>
      </c>
      <c r="G364" t="s">
        <v>56</v>
      </c>
      <c r="H364" s="73">
        <v>300000</v>
      </c>
      <c r="I364" s="75">
        <v>4251.97</v>
      </c>
      <c r="J364" s="75">
        <v>1</v>
      </c>
    </row>
    <row r="365" spans="5:10" x14ac:dyDescent="0.25">
      <c r="E365" t="s">
        <v>1139</v>
      </c>
      <c r="F365" t="s">
        <v>97</v>
      </c>
      <c r="G365" t="s">
        <v>115</v>
      </c>
      <c r="H365" s="73">
        <v>0</v>
      </c>
      <c r="I365" s="75">
        <v>3283.23</v>
      </c>
      <c r="J365" s="75">
        <v>1</v>
      </c>
    </row>
    <row r="366" spans="5:10" x14ac:dyDescent="0.25">
      <c r="E366" t="s">
        <v>1140</v>
      </c>
      <c r="F366" t="s">
        <v>97</v>
      </c>
      <c r="G366" t="s">
        <v>113</v>
      </c>
      <c r="H366" s="73">
        <v>0</v>
      </c>
      <c r="I366" s="75">
        <v>3283.23</v>
      </c>
      <c r="J366" s="75">
        <v>1</v>
      </c>
    </row>
    <row r="367" spans="5:10" x14ac:dyDescent="0.25">
      <c r="E367" t="s">
        <v>1141</v>
      </c>
      <c r="F367" t="s">
        <v>96</v>
      </c>
      <c r="G367" t="s">
        <v>114</v>
      </c>
      <c r="H367" s="73">
        <v>0</v>
      </c>
      <c r="I367" s="75">
        <v>3283.23</v>
      </c>
      <c r="J367" s="75">
        <v>1</v>
      </c>
    </row>
    <row r="368" spans="5:10" x14ac:dyDescent="0.25">
      <c r="E368" t="s">
        <v>1142</v>
      </c>
      <c r="F368" t="s">
        <v>96</v>
      </c>
      <c r="G368" t="s">
        <v>56</v>
      </c>
      <c r="H368" s="73">
        <v>300000</v>
      </c>
      <c r="I368" s="75">
        <v>4251.97</v>
      </c>
      <c r="J368" s="75">
        <v>1</v>
      </c>
    </row>
    <row r="369" spans="5:10" x14ac:dyDescent="0.25">
      <c r="E369" t="s">
        <v>1143</v>
      </c>
      <c r="F369" t="s">
        <v>97</v>
      </c>
      <c r="G369" t="s">
        <v>115</v>
      </c>
      <c r="H369" s="73">
        <v>0</v>
      </c>
      <c r="I369" s="75">
        <v>3283.23</v>
      </c>
      <c r="J369" s="75">
        <v>1</v>
      </c>
    </row>
    <row r="370" spans="5:10" x14ac:dyDescent="0.25">
      <c r="E370" t="s">
        <v>1144</v>
      </c>
      <c r="F370" t="s">
        <v>96</v>
      </c>
      <c r="G370" t="s">
        <v>56</v>
      </c>
      <c r="H370" s="73">
        <v>300000</v>
      </c>
      <c r="I370" s="75">
        <v>4251.97</v>
      </c>
      <c r="J370" s="75">
        <v>1</v>
      </c>
    </row>
    <row r="371" spans="5:10" x14ac:dyDescent="0.25">
      <c r="E371" t="s">
        <v>1145</v>
      </c>
      <c r="F371" t="s">
        <v>96</v>
      </c>
      <c r="G371" t="s">
        <v>114</v>
      </c>
      <c r="H371" s="73">
        <v>0</v>
      </c>
      <c r="I371" s="75">
        <v>3283.23</v>
      </c>
      <c r="J371" s="75">
        <v>1</v>
      </c>
    </row>
    <row r="372" spans="5:10" x14ac:dyDescent="0.25">
      <c r="E372" t="s">
        <v>1146</v>
      </c>
      <c r="F372" t="s">
        <v>97</v>
      </c>
      <c r="G372" t="s">
        <v>115</v>
      </c>
      <c r="H372" s="73">
        <v>0</v>
      </c>
      <c r="I372" s="75">
        <v>3283.23</v>
      </c>
      <c r="J372" s="75">
        <v>1</v>
      </c>
    </row>
    <row r="373" spans="5:10" x14ac:dyDescent="0.25">
      <c r="E373" t="s">
        <v>1147</v>
      </c>
      <c r="F373" t="s">
        <v>96</v>
      </c>
      <c r="G373" t="s">
        <v>56</v>
      </c>
      <c r="H373" s="73">
        <v>0</v>
      </c>
      <c r="I373" s="75">
        <v>5253.1466301369865</v>
      </c>
      <c r="J373" s="75">
        <v>0</v>
      </c>
    </row>
    <row r="374" spans="5:10" x14ac:dyDescent="0.25">
      <c r="E374" t="s">
        <v>1148</v>
      </c>
      <c r="F374" t="s">
        <v>97</v>
      </c>
      <c r="G374" t="s">
        <v>115</v>
      </c>
      <c r="H374" s="73">
        <v>0</v>
      </c>
      <c r="I374" s="75">
        <v>2749.21895890411</v>
      </c>
      <c r="J374" s="75">
        <v>0</v>
      </c>
    </row>
    <row r="375" spans="5:10" x14ac:dyDescent="0.25">
      <c r="E375" t="s">
        <v>1149</v>
      </c>
      <c r="F375" t="s">
        <v>96</v>
      </c>
      <c r="G375" t="s">
        <v>114</v>
      </c>
      <c r="H375" s="73">
        <v>0</v>
      </c>
      <c r="I375" s="75">
        <v>2122.8555616438357</v>
      </c>
      <c r="J375" s="75">
        <v>0</v>
      </c>
    </row>
    <row r="376" spans="5:10" x14ac:dyDescent="0.25">
      <c r="E376" t="s">
        <v>1150</v>
      </c>
      <c r="F376" t="s">
        <v>97</v>
      </c>
      <c r="G376" t="s">
        <v>113</v>
      </c>
      <c r="H376" s="73">
        <v>0</v>
      </c>
      <c r="I376" s="75">
        <v>2122.8555616438357</v>
      </c>
      <c r="J376" s="75">
        <v>0</v>
      </c>
    </row>
    <row r="377" spans="5:10" x14ac:dyDescent="0.25">
      <c r="E377" t="s">
        <v>1151</v>
      </c>
      <c r="F377" t="s">
        <v>96</v>
      </c>
      <c r="G377" t="s">
        <v>56</v>
      </c>
      <c r="H377" s="73">
        <v>0</v>
      </c>
      <c r="I377" s="75">
        <v>955.23709589041118</v>
      </c>
      <c r="J377" s="75">
        <v>0</v>
      </c>
    </row>
    <row r="378" spans="5:10" x14ac:dyDescent="0.25">
      <c r="E378" t="s">
        <v>1152</v>
      </c>
      <c r="F378" t="s">
        <v>96</v>
      </c>
      <c r="G378" t="s">
        <v>114</v>
      </c>
      <c r="H378" s="73">
        <v>0</v>
      </c>
      <c r="I378" s="75">
        <v>737.60235616438376</v>
      </c>
      <c r="J378" s="75">
        <v>0</v>
      </c>
    </row>
    <row r="379" spans="5:10" x14ac:dyDescent="0.25">
      <c r="E379" t="s">
        <v>1153</v>
      </c>
      <c r="F379" t="s">
        <v>97</v>
      </c>
      <c r="G379" t="s">
        <v>115</v>
      </c>
      <c r="H379" s="73">
        <v>0</v>
      </c>
      <c r="I379" s="75">
        <v>955.23709589041118</v>
      </c>
      <c r="J379" s="75">
        <v>0</v>
      </c>
    </row>
    <row r="380" spans="5:10" x14ac:dyDescent="0.25">
      <c r="E380" t="s">
        <v>1154</v>
      </c>
      <c r="F380" t="s">
        <v>97</v>
      </c>
      <c r="G380" t="s">
        <v>113</v>
      </c>
      <c r="H380" s="73">
        <v>0</v>
      </c>
      <c r="I380" s="75">
        <v>737.60235616438376</v>
      </c>
      <c r="J380" s="75">
        <v>0</v>
      </c>
    </row>
    <row r="381" spans="5:10" x14ac:dyDescent="0.25">
      <c r="E381" t="s">
        <v>1155</v>
      </c>
      <c r="F381" t="s">
        <v>96</v>
      </c>
      <c r="G381" t="s">
        <v>56</v>
      </c>
      <c r="H381" s="73">
        <v>300000</v>
      </c>
      <c r="I381" s="75">
        <v>8124.57</v>
      </c>
      <c r="J381" s="75">
        <v>1</v>
      </c>
    </row>
    <row r="382" spans="5:10" x14ac:dyDescent="0.25">
      <c r="E382" t="s">
        <v>1156</v>
      </c>
      <c r="F382" t="s">
        <v>97</v>
      </c>
      <c r="G382" t="s">
        <v>115</v>
      </c>
      <c r="H382" s="73">
        <v>0</v>
      </c>
      <c r="I382" s="75">
        <v>8124.57</v>
      </c>
      <c r="J382" s="75">
        <v>1</v>
      </c>
    </row>
    <row r="383" spans="5:10" x14ac:dyDescent="0.25">
      <c r="E383" t="s">
        <v>1157</v>
      </c>
      <c r="F383" t="s">
        <v>97</v>
      </c>
      <c r="G383" t="s">
        <v>113</v>
      </c>
      <c r="H383" s="73">
        <v>0</v>
      </c>
      <c r="I383" s="75">
        <v>3283.23</v>
      </c>
      <c r="J383" s="75">
        <v>1</v>
      </c>
    </row>
    <row r="384" spans="5:10" x14ac:dyDescent="0.25">
      <c r="E384" t="s">
        <v>1158</v>
      </c>
      <c r="F384" t="s">
        <v>96</v>
      </c>
      <c r="G384" t="s">
        <v>56</v>
      </c>
      <c r="H384" s="73">
        <v>300000</v>
      </c>
      <c r="I384" s="75">
        <v>4251.97</v>
      </c>
      <c r="J384" s="75">
        <v>1</v>
      </c>
    </row>
    <row r="385" spans="5:10" x14ac:dyDescent="0.25">
      <c r="E385" t="s">
        <v>1159</v>
      </c>
      <c r="F385" t="s">
        <v>96</v>
      </c>
      <c r="G385" t="s">
        <v>114</v>
      </c>
      <c r="H385" s="73">
        <v>0</v>
      </c>
      <c r="I385" s="75">
        <v>3283.23</v>
      </c>
      <c r="J385" s="75">
        <v>1</v>
      </c>
    </row>
    <row r="386" spans="5:10" x14ac:dyDescent="0.25">
      <c r="E386" t="s">
        <v>1160</v>
      </c>
      <c r="F386" t="s">
        <v>96</v>
      </c>
      <c r="G386" t="s">
        <v>114</v>
      </c>
      <c r="H386" s="73">
        <v>0</v>
      </c>
      <c r="I386" s="75">
        <v>3283.23</v>
      </c>
      <c r="J386" s="75">
        <v>1</v>
      </c>
    </row>
    <row r="387" spans="5:10" x14ac:dyDescent="0.25">
      <c r="E387" t="s">
        <v>1161</v>
      </c>
      <c r="F387" t="s">
        <v>97</v>
      </c>
      <c r="G387" t="s">
        <v>115</v>
      </c>
      <c r="H387" s="73">
        <v>0</v>
      </c>
      <c r="I387" s="75">
        <v>4251.97</v>
      </c>
      <c r="J387" s="75">
        <v>1</v>
      </c>
    </row>
    <row r="388" spans="5:10" x14ac:dyDescent="0.25">
      <c r="E388" t="s">
        <v>1162</v>
      </c>
      <c r="F388" t="s">
        <v>96</v>
      </c>
      <c r="G388" t="s">
        <v>56</v>
      </c>
      <c r="H388" s="73">
        <v>300000</v>
      </c>
      <c r="I388" s="75">
        <v>8124.57</v>
      </c>
      <c r="J388" s="75">
        <v>1</v>
      </c>
    </row>
    <row r="389" spans="5:10" x14ac:dyDescent="0.25">
      <c r="E389" t="s">
        <v>1163</v>
      </c>
      <c r="F389" t="s">
        <v>96</v>
      </c>
      <c r="G389" t="s">
        <v>114</v>
      </c>
      <c r="H389" s="73">
        <v>0</v>
      </c>
      <c r="I389" s="75">
        <v>3283.23</v>
      </c>
      <c r="J389" s="75">
        <v>1</v>
      </c>
    </row>
    <row r="390" spans="5:10" x14ac:dyDescent="0.25">
      <c r="E390" t="s">
        <v>1164</v>
      </c>
      <c r="F390" t="s">
        <v>97</v>
      </c>
      <c r="G390" t="s">
        <v>115</v>
      </c>
      <c r="H390" s="73">
        <v>0</v>
      </c>
      <c r="I390" s="75">
        <v>3283.23</v>
      </c>
      <c r="J390" s="75">
        <v>1</v>
      </c>
    </row>
    <row r="391" spans="5:10" x14ac:dyDescent="0.25">
      <c r="E391" t="s">
        <v>1165</v>
      </c>
      <c r="F391" t="s">
        <v>96</v>
      </c>
      <c r="G391" t="s">
        <v>56</v>
      </c>
      <c r="H391" s="73">
        <v>300000</v>
      </c>
      <c r="I391" s="75">
        <v>8124.57</v>
      </c>
      <c r="J391" s="75">
        <v>1</v>
      </c>
    </row>
    <row r="392" spans="5:10" x14ac:dyDescent="0.25">
      <c r="E392" t="s">
        <v>1166</v>
      </c>
      <c r="F392" t="s">
        <v>97</v>
      </c>
      <c r="G392" t="s">
        <v>115</v>
      </c>
      <c r="H392" s="73">
        <v>0</v>
      </c>
      <c r="I392" s="75">
        <v>8124.57</v>
      </c>
      <c r="J392" s="75">
        <v>1</v>
      </c>
    </row>
    <row r="393" spans="5:10" x14ac:dyDescent="0.25">
      <c r="E393" t="s">
        <v>1167</v>
      </c>
      <c r="F393" t="s">
        <v>97</v>
      </c>
      <c r="G393" t="s">
        <v>113</v>
      </c>
      <c r="H393" s="73">
        <v>0</v>
      </c>
      <c r="I393" s="75">
        <v>3283.23</v>
      </c>
      <c r="J393" s="75">
        <v>1</v>
      </c>
    </row>
    <row r="394" spans="5:10" x14ac:dyDescent="0.25">
      <c r="E394" t="s">
        <v>1168</v>
      </c>
      <c r="F394" t="s">
        <v>96</v>
      </c>
      <c r="G394" t="s">
        <v>56</v>
      </c>
      <c r="H394" s="73">
        <v>300000</v>
      </c>
      <c r="I394" s="75">
        <v>4251.97</v>
      </c>
      <c r="J394" s="75">
        <v>1</v>
      </c>
    </row>
    <row r="395" spans="5:10" x14ac:dyDescent="0.25">
      <c r="E395" t="s">
        <v>1169</v>
      </c>
      <c r="F395" t="s">
        <v>97</v>
      </c>
      <c r="G395" t="s">
        <v>115</v>
      </c>
      <c r="H395" s="73">
        <v>0</v>
      </c>
      <c r="I395" s="75">
        <v>3283.23</v>
      </c>
      <c r="J395" s="75">
        <v>1</v>
      </c>
    </row>
    <row r="396" spans="5:10" x14ac:dyDescent="0.25">
      <c r="E396" t="s">
        <v>1170</v>
      </c>
      <c r="F396" t="s">
        <v>96</v>
      </c>
      <c r="G396" t="s">
        <v>114</v>
      </c>
      <c r="H396" s="73">
        <v>0</v>
      </c>
      <c r="I396" s="75">
        <v>3283.23</v>
      </c>
      <c r="J396" s="75">
        <v>1</v>
      </c>
    </row>
    <row r="397" spans="5:10" x14ac:dyDescent="0.25">
      <c r="E397" t="s">
        <v>1171</v>
      </c>
      <c r="F397" t="s">
        <v>96</v>
      </c>
      <c r="G397" t="s">
        <v>114</v>
      </c>
      <c r="H397" s="73">
        <v>0</v>
      </c>
      <c r="I397" s="75">
        <v>3283.23</v>
      </c>
      <c r="J397" s="75">
        <v>1</v>
      </c>
    </row>
    <row r="398" spans="5:10" x14ac:dyDescent="0.25">
      <c r="E398" t="s">
        <v>1172</v>
      </c>
      <c r="F398" t="s">
        <v>96</v>
      </c>
      <c r="G398" t="s">
        <v>56</v>
      </c>
      <c r="H398" s="73">
        <v>300000</v>
      </c>
      <c r="I398" s="75">
        <v>3283.23</v>
      </c>
      <c r="J398" s="75">
        <v>1</v>
      </c>
    </row>
    <row r="399" spans="5:10" x14ac:dyDescent="0.25">
      <c r="E399" t="s">
        <v>1173</v>
      </c>
      <c r="F399" t="s">
        <v>97</v>
      </c>
      <c r="G399" t="s">
        <v>115</v>
      </c>
      <c r="H399" s="73">
        <v>0</v>
      </c>
      <c r="I399" s="75">
        <v>3283.23</v>
      </c>
      <c r="J399" s="75">
        <v>1</v>
      </c>
    </row>
    <row r="400" spans="5:10" x14ac:dyDescent="0.25">
      <c r="E400" t="s">
        <v>1174</v>
      </c>
      <c r="F400" t="s">
        <v>97</v>
      </c>
      <c r="G400" t="s">
        <v>113</v>
      </c>
      <c r="H400" s="73">
        <v>0</v>
      </c>
      <c r="I400" s="75">
        <v>3283.23</v>
      </c>
      <c r="J400" s="75">
        <v>1</v>
      </c>
    </row>
    <row r="401" spans="5:10" x14ac:dyDescent="0.25">
      <c r="E401" t="s">
        <v>1175</v>
      </c>
      <c r="F401" t="s">
        <v>96</v>
      </c>
      <c r="G401" t="s">
        <v>56</v>
      </c>
      <c r="H401" s="73">
        <v>300000</v>
      </c>
      <c r="I401" s="75">
        <v>3283.23</v>
      </c>
      <c r="J401" s="75">
        <v>1</v>
      </c>
    </row>
    <row r="402" spans="5:10" x14ac:dyDescent="0.25">
      <c r="E402" t="s">
        <v>1176</v>
      </c>
      <c r="F402" t="s">
        <v>97</v>
      </c>
      <c r="G402" t="s">
        <v>115</v>
      </c>
      <c r="H402" s="73">
        <v>0</v>
      </c>
      <c r="I402" s="75">
        <v>3283.23</v>
      </c>
      <c r="J402" s="75">
        <v>1</v>
      </c>
    </row>
    <row r="403" spans="5:10" x14ac:dyDescent="0.25">
      <c r="E403" t="s">
        <v>1177</v>
      </c>
      <c r="F403" t="s">
        <v>96</v>
      </c>
      <c r="G403" t="s">
        <v>56</v>
      </c>
      <c r="H403" s="73">
        <v>300000</v>
      </c>
      <c r="I403" s="75">
        <v>4251.97</v>
      </c>
      <c r="J403" s="75">
        <v>1</v>
      </c>
    </row>
    <row r="404" spans="5:10" x14ac:dyDescent="0.25">
      <c r="E404" t="s">
        <v>1178</v>
      </c>
      <c r="F404" t="s">
        <v>97</v>
      </c>
      <c r="G404" t="s">
        <v>113</v>
      </c>
      <c r="H404" s="73">
        <v>0</v>
      </c>
      <c r="I404" s="75">
        <v>3283.23</v>
      </c>
      <c r="J404" s="75">
        <v>1</v>
      </c>
    </row>
    <row r="405" spans="5:10" x14ac:dyDescent="0.25">
      <c r="E405" t="s">
        <v>1179</v>
      </c>
      <c r="F405" t="s">
        <v>97</v>
      </c>
      <c r="G405" t="s">
        <v>115</v>
      </c>
      <c r="H405" s="73">
        <v>0</v>
      </c>
      <c r="I405" s="75">
        <v>3283.23</v>
      </c>
      <c r="J405" s="75">
        <v>1</v>
      </c>
    </row>
    <row r="406" spans="5:10" x14ac:dyDescent="0.25">
      <c r="E406" t="s">
        <v>1180</v>
      </c>
      <c r="F406" t="s">
        <v>96</v>
      </c>
      <c r="G406" t="s">
        <v>56</v>
      </c>
      <c r="H406" s="73">
        <v>300000</v>
      </c>
      <c r="I406" s="75">
        <v>4251.97</v>
      </c>
      <c r="J406" s="75">
        <v>1</v>
      </c>
    </row>
    <row r="407" spans="5:10" x14ac:dyDescent="0.25">
      <c r="E407" t="s">
        <v>1181</v>
      </c>
      <c r="F407" t="s">
        <v>97</v>
      </c>
      <c r="G407" t="s">
        <v>115</v>
      </c>
      <c r="H407" s="73">
        <v>0</v>
      </c>
      <c r="I407" s="75">
        <v>3283.23</v>
      </c>
      <c r="J407" s="75">
        <v>1</v>
      </c>
    </row>
    <row r="408" spans="5:10" x14ac:dyDescent="0.25">
      <c r="E408" t="s">
        <v>1182</v>
      </c>
      <c r="F408" t="s">
        <v>97</v>
      </c>
      <c r="G408" t="s">
        <v>113</v>
      </c>
      <c r="H408" s="73">
        <v>0</v>
      </c>
      <c r="I408" s="75">
        <v>3283.23</v>
      </c>
      <c r="J408" s="75">
        <v>1</v>
      </c>
    </row>
    <row r="409" spans="5:10" x14ac:dyDescent="0.25">
      <c r="E409" t="s">
        <v>1183</v>
      </c>
      <c r="F409" t="s">
        <v>96</v>
      </c>
      <c r="G409" t="s">
        <v>56</v>
      </c>
      <c r="H409" s="73">
        <v>300000</v>
      </c>
      <c r="I409" s="75">
        <v>14246.99</v>
      </c>
      <c r="J409" s="75">
        <v>1</v>
      </c>
    </row>
    <row r="410" spans="5:10" x14ac:dyDescent="0.25">
      <c r="E410" t="s">
        <v>1184</v>
      </c>
      <c r="F410" t="s">
        <v>97</v>
      </c>
      <c r="G410" t="s">
        <v>115</v>
      </c>
      <c r="H410" s="73">
        <v>0</v>
      </c>
      <c r="I410" s="75">
        <v>8124.57</v>
      </c>
      <c r="J410" s="75">
        <v>1</v>
      </c>
    </row>
    <row r="411" spans="5:10" x14ac:dyDescent="0.25">
      <c r="E411" t="s">
        <v>1185</v>
      </c>
      <c r="F411" t="s">
        <v>96</v>
      </c>
      <c r="G411" t="s">
        <v>56</v>
      </c>
      <c r="H411" s="73">
        <v>300000</v>
      </c>
      <c r="I411" s="75">
        <v>4251.97</v>
      </c>
      <c r="J411" s="75">
        <v>1</v>
      </c>
    </row>
    <row r="412" spans="5:10" x14ac:dyDescent="0.25">
      <c r="E412" t="s">
        <v>1186</v>
      </c>
      <c r="F412" t="s">
        <v>96</v>
      </c>
      <c r="G412" t="s">
        <v>114</v>
      </c>
      <c r="H412" s="73">
        <v>0</v>
      </c>
      <c r="I412" s="75">
        <v>3283.23</v>
      </c>
      <c r="J412" s="75">
        <v>1</v>
      </c>
    </row>
    <row r="413" spans="5:10" x14ac:dyDescent="0.25">
      <c r="E413" t="s">
        <v>1187</v>
      </c>
      <c r="F413" t="s">
        <v>97</v>
      </c>
      <c r="G413" t="s">
        <v>115</v>
      </c>
      <c r="H413" s="73">
        <v>0</v>
      </c>
      <c r="I413" s="75">
        <v>3283.23</v>
      </c>
      <c r="J413" s="75">
        <v>1</v>
      </c>
    </row>
    <row r="414" spans="5:10" x14ac:dyDescent="0.25">
      <c r="E414" t="s">
        <v>1188</v>
      </c>
      <c r="F414" t="s">
        <v>96</v>
      </c>
      <c r="G414" t="s">
        <v>56</v>
      </c>
      <c r="H414" s="73">
        <v>300000</v>
      </c>
      <c r="I414" s="75">
        <v>14246.99</v>
      </c>
      <c r="J414" s="75">
        <v>1</v>
      </c>
    </row>
    <row r="415" spans="5:10" x14ac:dyDescent="0.25">
      <c r="E415" t="s">
        <v>1189</v>
      </c>
      <c r="F415" t="s">
        <v>96</v>
      </c>
      <c r="G415" t="s">
        <v>114</v>
      </c>
      <c r="H415" s="73">
        <v>0</v>
      </c>
      <c r="I415" s="75">
        <v>3283.23</v>
      </c>
      <c r="J415" s="75">
        <v>1</v>
      </c>
    </row>
    <row r="416" spans="5:10" x14ac:dyDescent="0.25">
      <c r="E416" t="s">
        <v>1190</v>
      </c>
      <c r="F416" t="s">
        <v>97</v>
      </c>
      <c r="G416" t="s">
        <v>115</v>
      </c>
      <c r="H416" s="73">
        <v>0</v>
      </c>
      <c r="I416" s="75">
        <v>4251.97</v>
      </c>
      <c r="J416" s="75">
        <v>1</v>
      </c>
    </row>
    <row r="417" spans="5:10" x14ac:dyDescent="0.25">
      <c r="E417" t="s">
        <v>1191</v>
      </c>
      <c r="F417" t="s">
        <v>96</v>
      </c>
      <c r="G417" t="s">
        <v>56</v>
      </c>
      <c r="H417" s="73">
        <v>300000</v>
      </c>
      <c r="I417" s="75">
        <v>4251.97</v>
      </c>
      <c r="J417" s="75">
        <v>1</v>
      </c>
    </row>
    <row r="418" spans="5:10" x14ac:dyDescent="0.25">
      <c r="E418" t="s">
        <v>1192</v>
      </c>
      <c r="F418" t="s">
        <v>97</v>
      </c>
      <c r="G418" t="s">
        <v>115</v>
      </c>
      <c r="H418" s="73">
        <v>0</v>
      </c>
      <c r="I418" s="75">
        <v>3283.23</v>
      </c>
      <c r="J418" s="75">
        <v>1</v>
      </c>
    </row>
    <row r="419" spans="5:10" x14ac:dyDescent="0.25">
      <c r="E419" t="s">
        <v>1193</v>
      </c>
      <c r="F419" t="s">
        <v>96</v>
      </c>
      <c r="G419" t="s">
        <v>114</v>
      </c>
      <c r="H419" s="73">
        <v>0</v>
      </c>
      <c r="I419" s="75">
        <v>3283.23</v>
      </c>
      <c r="J419" s="75">
        <v>1</v>
      </c>
    </row>
    <row r="420" spans="5:10" x14ac:dyDescent="0.25">
      <c r="E420" t="s">
        <v>1194</v>
      </c>
      <c r="F420" t="s">
        <v>96</v>
      </c>
      <c r="G420" t="s">
        <v>56</v>
      </c>
      <c r="H420" s="73">
        <v>300000</v>
      </c>
      <c r="I420" s="75">
        <v>3283.23</v>
      </c>
      <c r="J420" s="75">
        <v>1</v>
      </c>
    </row>
    <row r="421" spans="5:10" x14ac:dyDescent="0.25">
      <c r="E421" t="s">
        <v>1195</v>
      </c>
      <c r="F421" t="s">
        <v>97</v>
      </c>
      <c r="G421" t="s">
        <v>115</v>
      </c>
      <c r="H421" s="73">
        <v>0</v>
      </c>
      <c r="I421" s="75">
        <v>3283.23</v>
      </c>
      <c r="J421" s="75">
        <v>1</v>
      </c>
    </row>
    <row r="422" spans="5:10" x14ac:dyDescent="0.25">
      <c r="E422" t="s">
        <v>1196</v>
      </c>
      <c r="F422" t="s">
        <v>96</v>
      </c>
      <c r="G422" t="s">
        <v>56</v>
      </c>
      <c r="H422" s="73">
        <v>300000</v>
      </c>
      <c r="I422" s="75">
        <v>8124.57</v>
      </c>
      <c r="J422" s="75">
        <v>1</v>
      </c>
    </row>
    <row r="423" spans="5:10" x14ac:dyDescent="0.25">
      <c r="E423" t="s">
        <v>1197</v>
      </c>
      <c r="F423" t="s">
        <v>97</v>
      </c>
      <c r="G423" t="s">
        <v>113</v>
      </c>
      <c r="H423" s="73">
        <v>0</v>
      </c>
      <c r="I423" s="75">
        <v>3283.23</v>
      </c>
      <c r="J423" s="75">
        <v>1</v>
      </c>
    </row>
    <row r="424" spans="5:10" x14ac:dyDescent="0.25">
      <c r="E424" t="s">
        <v>1198</v>
      </c>
      <c r="F424" t="s">
        <v>97</v>
      </c>
      <c r="G424" t="s">
        <v>115</v>
      </c>
      <c r="H424" s="73">
        <v>0</v>
      </c>
      <c r="I424" s="75">
        <v>4251.97</v>
      </c>
      <c r="J424" s="75">
        <v>1</v>
      </c>
    </row>
    <row r="425" spans="5:10" x14ac:dyDescent="0.25">
      <c r="E425" t="s">
        <v>1199</v>
      </c>
      <c r="F425" t="s">
        <v>96</v>
      </c>
      <c r="G425" t="s">
        <v>114</v>
      </c>
      <c r="H425" s="73">
        <v>0</v>
      </c>
      <c r="I425" s="75">
        <v>3283.23</v>
      </c>
      <c r="J425" s="75">
        <v>1</v>
      </c>
    </row>
    <row r="426" spans="5:10" x14ac:dyDescent="0.25">
      <c r="E426" t="s">
        <v>1200</v>
      </c>
      <c r="F426" t="s">
        <v>96</v>
      </c>
      <c r="G426" t="s">
        <v>56</v>
      </c>
      <c r="H426" s="73">
        <v>300000</v>
      </c>
      <c r="I426" s="75">
        <v>4251.97</v>
      </c>
      <c r="J426" s="75">
        <v>1</v>
      </c>
    </row>
    <row r="427" spans="5:10" x14ac:dyDescent="0.25">
      <c r="E427" t="s">
        <v>1201</v>
      </c>
      <c r="F427" t="s">
        <v>97</v>
      </c>
      <c r="G427" t="s">
        <v>115</v>
      </c>
      <c r="H427" s="73">
        <v>0</v>
      </c>
      <c r="I427" s="75">
        <v>3283.23</v>
      </c>
      <c r="J427" s="75">
        <v>1</v>
      </c>
    </row>
    <row r="428" spans="5:10" x14ac:dyDescent="0.25">
      <c r="E428" t="s">
        <v>1202</v>
      </c>
      <c r="F428" t="s">
        <v>97</v>
      </c>
      <c r="G428" t="s">
        <v>113</v>
      </c>
      <c r="H428" s="73">
        <v>0</v>
      </c>
      <c r="I428" s="75">
        <v>3283.23</v>
      </c>
      <c r="J428" s="75">
        <v>1</v>
      </c>
    </row>
    <row r="429" spans="5:10" x14ac:dyDescent="0.25">
      <c r="E429" t="s">
        <v>1203</v>
      </c>
      <c r="F429" t="s">
        <v>96</v>
      </c>
      <c r="G429" t="s">
        <v>114</v>
      </c>
      <c r="H429" s="73">
        <v>0</v>
      </c>
      <c r="I429" s="75">
        <v>3283.23</v>
      </c>
      <c r="J429" s="75">
        <v>1</v>
      </c>
    </row>
    <row r="430" spans="5:10" x14ac:dyDescent="0.25">
      <c r="E430" t="s">
        <v>1204</v>
      </c>
      <c r="F430" t="s">
        <v>96</v>
      </c>
      <c r="G430" t="s">
        <v>56</v>
      </c>
      <c r="H430" s="73">
        <v>300000</v>
      </c>
      <c r="I430" s="75">
        <v>3283.23</v>
      </c>
      <c r="J430" s="75">
        <v>1</v>
      </c>
    </row>
    <row r="431" spans="5:10" x14ac:dyDescent="0.25">
      <c r="E431" t="s">
        <v>1205</v>
      </c>
      <c r="F431" t="s">
        <v>96</v>
      </c>
      <c r="G431" t="s">
        <v>56</v>
      </c>
      <c r="H431" s="73">
        <v>0</v>
      </c>
      <c r="I431" s="75">
        <v>2122.8555616438357</v>
      </c>
      <c r="J431" s="75">
        <v>0</v>
      </c>
    </row>
    <row r="432" spans="5:10" x14ac:dyDescent="0.25">
      <c r="E432" t="s">
        <v>1206</v>
      </c>
      <c r="F432" t="s">
        <v>96</v>
      </c>
      <c r="G432" t="s">
        <v>56</v>
      </c>
      <c r="H432" s="73">
        <v>300000</v>
      </c>
      <c r="I432" s="75">
        <v>4251.97</v>
      </c>
      <c r="J432" s="75">
        <v>1</v>
      </c>
    </row>
    <row r="433" spans="5:10" x14ac:dyDescent="0.25">
      <c r="E433" t="s">
        <v>1207</v>
      </c>
      <c r="F433" t="s">
        <v>96</v>
      </c>
      <c r="G433" t="s">
        <v>56</v>
      </c>
      <c r="H433" s="73">
        <v>300000</v>
      </c>
      <c r="I433" s="75">
        <v>3283.23</v>
      </c>
      <c r="J433" s="75">
        <v>1</v>
      </c>
    </row>
    <row r="434" spans="5:10" x14ac:dyDescent="0.25">
      <c r="E434" t="s">
        <v>1208</v>
      </c>
      <c r="F434" t="s">
        <v>97</v>
      </c>
      <c r="G434" t="s">
        <v>115</v>
      </c>
      <c r="H434" s="73">
        <v>0</v>
      </c>
      <c r="I434" s="75">
        <v>3283.23</v>
      </c>
      <c r="J434" s="75">
        <v>1</v>
      </c>
    </row>
    <row r="435" spans="5:10" x14ac:dyDescent="0.25">
      <c r="E435" t="s">
        <v>1209</v>
      </c>
      <c r="F435" t="s">
        <v>96</v>
      </c>
      <c r="G435" t="s">
        <v>56</v>
      </c>
      <c r="H435" s="73">
        <v>300000</v>
      </c>
      <c r="I435" s="75">
        <v>3283.23</v>
      </c>
      <c r="J435" s="75">
        <v>1</v>
      </c>
    </row>
    <row r="436" spans="5:10" x14ac:dyDescent="0.25">
      <c r="E436" t="s">
        <v>1210</v>
      </c>
      <c r="F436" t="s">
        <v>96</v>
      </c>
      <c r="G436" t="s">
        <v>114</v>
      </c>
      <c r="H436" s="73">
        <v>0</v>
      </c>
      <c r="I436" s="75">
        <v>3283.23</v>
      </c>
      <c r="J436" s="75">
        <v>1</v>
      </c>
    </row>
    <row r="437" spans="5:10" x14ac:dyDescent="0.25">
      <c r="E437" t="s">
        <v>1211</v>
      </c>
      <c r="F437" t="s">
        <v>97</v>
      </c>
      <c r="G437" t="s">
        <v>115</v>
      </c>
      <c r="H437" s="73">
        <v>0</v>
      </c>
      <c r="I437" s="75">
        <v>3283.23</v>
      </c>
      <c r="J437" s="75">
        <v>1</v>
      </c>
    </row>
    <row r="438" spans="5:10" x14ac:dyDescent="0.25">
      <c r="E438" t="s">
        <v>1212</v>
      </c>
      <c r="F438" t="s">
        <v>96</v>
      </c>
      <c r="G438" t="s">
        <v>56</v>
      </c>
      <c r="H438" s="73">
        <v>0</v>
      </c>
      <c r="I438" s="75">
        <v>1446.8412328767117</v>
      </c>
      <c r="J438" s="75">
        <v>0</v>
      </c>
    </row>
    <row r="439" spans="5:10" x14ac:dyDescent="0.25">
      <c r="E439" t="s">
        <v>1213</v>
      </c>
      <c r="F439" t="s">
        <v>97</v>
      </c>
      <c r="G439" t="s">
        <v>115</v>
      </c>
      <c r="H439" s="73">
        <v>0</v>
      </c>
      <c r="I439" s="75">
        <v>757.20013698630146</v>
      </c>
      <c r="J439" s="75">
        <v>0</v>
      </c>
    </row>
    <row r="440" spans="5:10" x14ac:dyDescent="0.25">
      <c r="E440" t="s">
        <v>1214</v>
      </c>
      <c r="F440" t="s">
        <v>96</v>
      </c>
      <c r="G440" t="s">
        <v>114</v>
      </c>
      <c r="H440" s="73">
        <v>0</v>
      </c>
      <c r="I440" s="75">
        <v>584.68479452054817</v>
      </c>
      <c r="J440" s="75">
        <v>0</v>
      </c>
    </row>
    <row r="441" spans="5:10" x14ac:dyDescent="0.25">
      <c r="E441" t="s">
        <v>1215</v>
      </c>
      <c r="F441" t="s">
        <v>96</v>
      </c>
      <c r="G441" t="s">
        <v>56</v>
      </c>
      <c r="H441" s="73">
        <v>300000</v>
      </c>
      <c r="I441" s="75">
        <v>3283.23</v>
      </c>
      <c r="J441" s="75">
        <v>1</v>
      </c>
    </row>
    <row r="442" spans="5:10" x14ac:dyDescent="0.25">
      <c r="E442" t="s">
        <v>1216</v>
      </c>
      <c r="F442" t="s">
        <v>97</v>
      </c>
      <c r="G442" t="s">
        <v>115</v>
      </c>
      <c r="H442" s="73">
        <v>0</v>
      </c>
      <c r="I442" s="75">
        <v>3283.23</v>
      </c>
      <c r="J442" s="75">
        <v>1</v>
      </c>
    </row>
    <row r="443" spans="5:10" x14ac:dyDescent="0.25">
      <c r="E443" t="s">
        <v>1217</v>
      </c>
      <c r="F443" t="s">
        <v>96</v>
      </c>
      <c r="G443" t="s">
        <v>114</v>
      </c>
      <c r="H443" s="73">
        <v>0</v>
      </c>
      <c r="I443" s="75">
        <v>3283.23</v>
      </c>
      <c r="J443" s="75">
        <v>1</v>
      </c>
    </row>
    <row r="444" spans="5:10" x14ac:dyDescent="0.25">
      <c r="E444" t="s">
        <v>1218</v>
      </c>
      <c r="F444" t="s">
        <v>97</v>
      </c>
      <c r="G444" t="s">
        <v>56</v>
      </c>
      <c r="H444" s="73">
        <v>1000000</v>
      </c>
      <c r="I444" s="75">
        <v>7639.02</v>
      </c>
      <c r="J444" s="75">
        <v>1</v>
      </c>
    </row>
    <row r="445" spans="5:10" x14ac:dyDescent="0.25">
      <c r="E445" t="s">
        <v>1219</v>
      </c>
      <c r="F445" t="s">
        <v>96</v>
      </c>
      <c r="G445" t="s">
        <v>115</v>
      </c>
      <c r="H445" s="73">
        <v>0</v>
      </c>
      <c r="I445" s="75">
        <v>5393.16</v>
      </c>
      <c r="J445" s="75">
        <v>1</v>
      </c>
    </row>
    <row r="446" spans="5:10" x14ac:dyDescent="0.25">
      <c r="E446" t="s">
        <v>1220</v>
      </c>
      <c r="F446" t="s">
        <v>96</v>
      </c>
      <c r="G446" t="s">
        <v>114</v>
      </c>
      <c r="H446" s="73">
        <v>0</v>
      </c>
      <c r="I446" s="75">
        <v>5393.16</v>
      </c>
      <c r="J446" s="75">
        <v>1</v>
      </c>
    </row>
    <row r="447" spans="5:10" x14ac:dyDescent="0.25">
      <c r="E447" t="s">
        <v>1221</v>
      </c>
      <c r="F447" t="s">
        <v>96</v>
      </c>
      <c r="G447" t="s">
        <v>56</v>
      </c>
      <c r="H447" s="73">
        <v>0</v>
      </c>
      <c r="I447" s="75">
        <v>4251.97</v>
      </c>
      <c r="J447" s="75">
        <v>0</v>
      </c>
    </row>
    <row r="448" spans="5:10" x14ac:dyDescent="0.25">
      <c r="E448" t="s">
        <v>1222</v>
      </c>
      <c r="F448" t="s">
        <v>97</v>
      </c>
      <c r="G448" t="s">
        <v>115</v>
      </c>
      <c r="H448" s="73">
        <v>0</v>
      </c>
      <c r="I448" s="75">
        <v>3283.23</v>
      </c>
      <c r="J448" s="75">
        <v>0</v>
      </c>
    </row>
    <row r="449" spans="5:10" x14ac:dyDescent="0.25">
      <c r="E449" t="s">
        <v>1223</v>
      </c>
      <c r="F449" t="s">
        <v>97</v>
      </c>
      <c r="G449" t="s">
        <v>113</v>
      </c>
      <c r="H449" s="73">
        <v>0</v>
      </c>
      <c r="I449" s="75">
        <v>3283.23</v>
      </c>
      <c r="J449" s="75">
        <v>0</v>
      </c>
    </row>
    <row r="450" spans="5:10" x14ac:dyDescent="0.25">
      <c r="E450" t="s">
        <v>1224</v>
      </c>
      <c r="F450" t="s">
        <v>96</v>
      </c>
      <c r="G450" t="s">
        <v>56</v>
      </c>
      <c r="H450" s="73">
        <v>300000</v>
      </c>
      <c r="I450" s="75">
        <v>4251.97</v>
      </c>
      <c r="J450" s="75">
        <v>1</v>
      </c>
    </row>
    <row r="451" spans="5:10" x14ac:dyDescent="0.25">
      <c r="E451" t="s">
        <v>1225</v>
      </c>
      <c r="F451" t="s">
        <v>97</v>
      </c>
      <c r="G451" t="s">
        <v>115</v>
      </c>
      <c r="H451" s="73">
        <v>0</v>
      </c>
      <c r="I451" s="75">
        <v>3283.23</v>
      </c>
      <c r="J451" s="75">
        <v>1</v>
      </c>
    </row>
    <row r="452" spans="5:10" x14ac:dyDescent="0.25">
      <c r="E452" t="s">
        <v>1226</v>
      </c>
      <c r="F452" t="s">
        <v>97</v>
      </c>
      <c r="G452" t="s">
        <v>113</v>
      </c>
      <c r="H452" s="73">
        <v>0</v>
      </c>
      <c r="I452" s="75">
        <v>3283.23</v>
      </c>
      <c r="J452" s="75">
        <v>1</v>
      </c>
    </row>
    <row r="453" spans="5:10" x14ac:dyDescent="0.25">
      <c r="E453" t="s">
        <v>1227</v>
      </c>
      <c r="F453" t="s">
        <v>96</v>
      </c>
      <c r="G453" t="s">
        <v>56</v>
      </c>
      <c r="H453" s="73">
        <v>300000</v>
      </c>
      <c r="I453" s="75">
        <v>4251.97</v>
      </c>
      <c r="J453" s="75">
        <v>1</v>
      </c>
    </row>
    <row r="454" spans="5:10" x14ac:dyDescent="0.25">
      <c r="E454" t="s">
        <v>1228</v>
      </c>
      <c r="F454" t="s">
        <v>97</v>
      </c>
      <c r="G454" t="s">
        <v>115</v>
      </c>
      <c r="H454" s="73">
        <v>0</v>
      </c>
      <c r="I454" s="75">
        <v>3283.23</v>
      </c>
      <c r="J454" s="75">
        <v>1</v>
      </c>
    </row>
    <row r="455" spans="5:10" x14ac:dyDescent="0.25">
      <c r="E455" t="s">
        <v>1229</v>
      </c>
      <c r="F455" t="s">
        <v>97</v>
      </c>
      <c r="G455" t="s">
        <v>113</v>
      </c>
      <c r="H455" s="73">
        <v>0</v>
      </c>
      <c r="I455" s="75">
        <v>3283.23</v>
      </c>
      <c r="J455" s="75">
        <v>1</v>
      </c>
    </row>
    <row r="456" spans="5:10" x14ac:dyDescent="0.25">
      <c r="E456" t="s">
        <v>1230</v>
      </c>
      <c r="F456" t="s">
        <v>96</v>
      </c>
      <c r="G456" t="s">
        <v>56</v>
      </c>
      <c r="H456" s="73">
        <v>300000</v>
      </c>
      <c r="I456" s="75">
        <v>3283.23</v>
      </c>
      <c r="J456" s="75">
        <v>1</v>
      </c>
    </row>
    <row r="457" spans="5:10" x14ac:dyDescent="0.25">
      <c r="E457" t="s">
        <v>1231</v>
      </c>
      <c r="F457" t="s">
        <v>96</v>
      </c>
      <c r="G457" t="s">
        <v>56</v>
      </c>
      <c r="H457" s="73">
        <v>300000</v>
      </c>
      <c r="I457" s="75">
        <v>3283.23</v>
      </c>
      <c r="J457" s="75">
        <v>1</v>
      </c>
    </row>
    <row r="458" spans="5:10" x14ac:dyDescent="0.25">
      <c r="E458" t="s">
        <v>1232</v>
      </c>
      <c r="F458" t="s">
        <v>97</v>
      </c>
      <c r="G458" t="s">
        <v>115</v>
      </c>
      <c r="H458" s="73">
        <v>0</v>
      </c>
      <c r="I458" s="75">
        <v>3283.23</v>
      </c>
      <c r="J458" s="75">
        <v>1</v>
      </c>
    </row>
    <row r="459" spans="5:10" x14ac:dyDescent="0.25">
      <c r="E459" t="s">
        <v>1233</v>
      </c>
      <c r="F459" t="s">
        <v>96</v>
      </c>
      <c r="G459" t="s">
        <v>114</v>
      </c>
      <c r="H459" s="73">
        <v>0</v>
      </c>
      <c r="I459" s="75">
        <v>3283.23</v>
      </c>
      <c r="J459" s="75">
        <v>1</v>
      </c>
    </row>
    <row r="460" spans="5:10" x14ac:dyDescent="0.25">
      <c r="E460" t="s">
        <v>1234</v>
      </c>
      <c r="F460" t="s">
        <v>96</v>
      </c>
      <c r="G460" t="s">
        <v>56</v>
      </c>
      <c r="H460" s="73">
        <v>300000</v>
      </c>
      <c r="I460" s="75">
        <v>3283.23</v>
      </c>
      <c r="J460" s="75">
        <v>1</v>
      </c>
    </row>
    <row r="461" spans="5:10" x14ac:dyDescent="0.25">
      <c r="E461" t="s">
        <v>1235</v>
      </c>
      <c r="F461" t="s">
        <v>96</v>
      </c>
      <c r="G461" t="s">
        <v>56</v>
      </c>
      <c r="H461" s="73">
        <v>300000</v>
      </c>
      <c r="I461" s="75">
        <v>3283.23</v>
      </c>
      <c r="J461" s="75">
        <v>1</v>
      </c>
    </row>
    <row r="462" spans="5:10" x14ac:dyDescent="0.25">
      <c r="E462" t="s">
        <v>1236</v>
      </c>
      <c r="F462" t="s">
        <v>96</v>
      </c>
      <c r="G462" t="s">
        <v>56</v>
      </c>
      <c r="H462" s="73">
        <v>300000</v>
      </c>
      <c r="I462" s="75">
        <v>3283.23</v>
      </c>
      <c r="J462" s="75">
        <v>1</v>
      </c>
    </row>
    <row r="463" spans="5:10" x14ac:dyDescent="0.25">
      <c r="E463" t="s">
        <v>1237</v>
      </c>
      <c r="F463" t="s">
        <v>96</v>
      </c>
      <c r="G463" t="s">
        <v>56</v>
      </c>
      <c r="H463" s="73">
        <v>300000</v>
      </c>
      <c r="I463" s="75">
        <v>4251.97</v>
      </c>
      <c r="J463" s="75">
        <v>1</v>
      </c>
    </row>
    <row r="464" spans="5:10" x14ac:dyDescent="0.25">
      <c r="E464" t="s">
        <v>1238</v>
      </c>
      <c r="F464" t="s">
        <v>97</v>
      </c>
      <c r="G464" t="s">
        <v>115</v>
      </c>
      <c r="H464" s="73">
        <v>0</v>
      </c>
      <c r="I464" s="75">
        <v>4251.97</v>
      </c>
      <c r="J464" s="75">
        <v>1</v>
      </c>
    </row>
    <row r="465" spans="5:10" x14ac:dyDescent="0.25">
      <c r="E465" t="s">
        <v>1239</v>
      </c>
      <c r="F465" t="s">
        <v>96</v>
      </c>
      <c r="G465" t="s">
        <v>114</v>
      </c>
      <c r="H465" s="73">
        <v>0</v>
      </c>
      <c r="I465" s="75">
        <v>3283.23</v>
      </c>
      <c r="J465" s="75">
        <v>1</v>
      </c>
    </row>
    <row r="466" spans="5:10" x14ac:dyDescent="0.25">
      <c r="E466" t="s">
        <v>1240</v>
      </c>
      <c r="F466" t="s">
        <v>96</v>
      </c>
      <c r="G466" t="s">
        <v>114</v>
      </c>
      <c r="H466" s="73">
        <v>0</v>
      </c>
      <c r="I466" s="75">
        <v>3283.23</v>
      </c>
      <c r="J466" s="75">
        <v>1</v>
      </c>
    </row>
    <row r="467" spans="5:10" x14ac:dyDescent="0.25">
      <c r="E467" t="s">
        <v>1241</v>
      </c>
      <c r="F467" t="s">
        <v>96</v>
      </c>
      <c r="G467" t="s">
        <v>56</v>
      </c>
      <c r="H467" s="73">
        <v>300000</v>
      </c>
      <c r="I467" s="75">
        <v>3283.23</v>
      </c>
      <c r="J467" s="75">
        <v>1</v>
      </c>
    </row>
    <row r="468" spans="5:10" x14ac:dyDescent="0.25">
      <c r="E468" t="s">
        <v>1242</v>
      </c>
      <c r="F468" t="s">
        <v>96</v>
      </c>
      <c r="G468" t="s">
        <v>56</v>
      </c>
      <c r="H468" s="73">
        <v>300000</v>
      </c>
      <c r="I468" s="75">
        <v>3283.23</v>
      </c>
      <c r="J468" s="75">
        <v>1</v>
      </c>
    </row>
    <row r="469" spans="5:10" x14ac:dyDescent="0.25">
      <c r="E469" t="s">
        <v>1243</v>
      </c>
      <c r="F469" t="s">
        <v>96</v>
      </c>
      <c r="G469" t="s">
        <v>56</v>
      </c>
      <c r="H469" s="73">
        <v>300000</v>
      </c>
      <c r="I469" s="75">
        <v>3283.23</v>
      </c>
      <c r="J469" s="75">
        <v>1</v>
      </c>
    </row>
    <row r="470" spans="5:10" x14ac:dyDescent="0.25">
      <c r="E470" t="s">
        <v>1244</v>
      </c>
      <c r="F470" t="s">
        <v>96</v>
      </c>
      <c r="G470" t="s">
        <v>114</v>
      </c>
      <c r="H470" s="73">
        <v>0</v>
      </c>
      <c r="I470" s="75">
        <v>3283.23</v>
      </c>
      <c r="J470" s="75">
        <v>1</v>
      </c>
    </row>
    <row r="471" spans="5:10" x14ac:dyDescent="0.25">
      <c r="E471" t="s">
        <v>1245</v>
      </c>
      <c r="F471" t="s">
        <v>97</v>
      </c>
      <c r="G471" t="s">
        <v>115</v>
      </c>
      <c r="H471" s="73">
        <v>0</v>
      </c>
      <c r="I471" s="75">
        <v>3283.23</v>
      </c>
      <c r="J471" s="75">
        <v>1</v>
      </c>
    </row>
    <row r="472" spans="5:10" x14ac:dyDescent="0.25">
      <c r="E472" t="s">
        <v>1246</v>
      </c>
      <c r="F472" t="s">
        <v>96</v>
      </c>
      <c r="G472" t="s">
        <v>114</v>
      </c>
      <c r="H472" s="73">
        <v>0</v>
      </c>
      <c r="I472" s="75">
        <v>3283.23</v>
      </c>
      <c r="J472" s="75">
        <v>1</v>
      </c>
    </row>
    <row r="473" spans="5:10" x14ac:dyDescent="0.25">
      <c r="E473" t="s">
        <v>1247</v>
      </c>
      <c r="F473" t="s">
        <v>96</v>
      </c>
      <c r="G473" t="s">
        <v>56</v>
      </c>
      <c r="H473" s="73">
        <v>300000</v>
      </c>
      <c r="I473" s="75">
        <v>3283.23</v>
      </c>
      <c r="J473" s="75">
        <v>1</v>
      </c>
    </row>
    <row r="474" spans="5:10" x14ac:dyDescent="0.25">
      <c r="E474" t="s">
        <v>1248</v>
      </c>
      <c r="F474" t="s">
        <v>96</v>
      </c>
      <c r="G474" t="s">
        <v>56</v>
      </c>
      <c r="H474" s="73">
        <v>300000</v>
      </c>
      <c r="I474" s="75">
        <v>3283.23</v>
      </c>
      <c r="J474" s="75">
        <v>1</v>
      </c>
    </row>
    <row r="475" spans="5:10" x14ac:dyDescent="0.25">
      <c r="E475" t="s">
        <v>1249</v>
      </c>
      <c r="F475" t="s">
        <v>97</v>
      </c>
      <c r="G475" t="s">
        <v>115</v>
      </c>
      <c r="H475" s="73">
        <v>0</v>
      </c>
      <c r="I475" s="75">
        <v>3283.23</v>
      </c>
      <c r="J475" s="75">
        <v>1</v>
      </c>
    </row>
    <row r="476" spans="5:10" x14ac:dyDescent="0.25">
      <c r="E476" t="s">
        <v>1250</v>
      </c>
      <c r="F476" t="s">
        <v>96</v>
      </c>
      <c r="G476" t="s">
        <v>114</v>
      </c>
      <c r="H476" s="73">
        <v>0</v>
      </c>
      <c r="I476" s="75">
        <v>3283.23</v>
      </c>
      <c r="J476" s="75">
        <v>1</v>
      </c>
    </row>
    <row r="477" spans="5:10" x14ac:dyDescent="0.25">
      <c r="E477" t="s">
        <v>1251</v>
      </c>
      <c r="F477" t="s">
        <v>96</v>
      </c>
      <c r="G477" t="s">
        <v>56</v>
      </c>
      <c r="H477" s="73">
        <v>300000</v>
      </c>
      <c r="I477" s="75">
        <v>3283.23</v>
      </c>
      <c r="J477" s="75">
        <v>1</v>
      </c>
    </row>
    <row r="478" spans="5:10" x14ac:dyDescent="0.25">
      <c r="E478" t="s">
        <v>1252</v>
      </c>
      <c r="F478" t="s">
        <v>97</v>
      </c>
      <c r="G478" t="s">
        <v>56</v>
      </c>
      <c r="H478" s="73">
        <v>300000</v>
      </c>
      <c r="I478" s="75">
        <v>4251.97</v>
      </c>
      <c r="J478" s="75">
        <v>1</v>
      </c>
    </row>
    <row r="479" spans="5:10" x14ac:dyDescent="0.25">
      <c r="E479" t="s">
        <v>1253</v>
      </c>
      <c r="F479" t="s">
        <v>96</v>
      </c>
      <c r="G479" t="s">
        <v>56</v>
      </c>
      <c r="H479" s="73">
        <v>300000</v>
      </c>
      <c r="I479" s="75">
        <v>3283.23</v>
      </c>
      <c r="J479" s="75">
        <v>1</v>
      </c>
    </row>
    <row r="480" spans="5:10" x14ac:dyDescent="0.25">
      <c r="E480" t="s">
        <v>1254</v>
      </c>
      <c r="F480" t="s">
        <v>96</v>
      </c>
      <c r="G480" t="s">
        <v>56</v>
      </c>
      <c r="H480" s="73">
        <v>0</v>
      </c>
      <c r="I480" s="75">
        <v>737.60235616438376</v>
      </c>
      <c r="J480" s="75">
        <v>0</v>
      </c>
    </row>
    <row r="481" spans="5:10" x14ac:dyDescent="0.25">
      <c r="E481" t="s">
        <v>1255</v>
      </c>
      <c r="F481" t="s">
        <v>96</v>
      </c>
      <c r="G481" t="s">
        <v>56</v>
      </c>
      <c r="H481" s="73">
        <v>300000</v>
      </c>
      <c r="I481" s="75">
        <v>4251.97</v>
      </c>
      <c r="J481" s="75">
        <v>1</v>
      </c>
    </row>
    <row r="482" spans="5:10" x14ac:dyDescent="0.25">
      <c r="E482" t="s">
        <v>1256</v>
      </c>
      <c r="F482" t="s">
        <v>97</v>
      </c>
      <c r="G482" t="s">
        <v>115</v>
      </c>
      <c r="H482" s="73">
        <v>0</v>
      </c>
      <c r="I482" s="75">
        <v>4251.97</v>
      </c>
      <c r="J482" s="75">
        <v>1</v>
      </c>
    </row>
    <row r="483" spans="5:10" x14ac:dyDescent="0.25">
      <c r="E483" t="s">
        <v>1257</v>
      </c>
      <c r="F483" t="s">
        <v>96</v>
      </c>
      <c r="G483" t="s">
        <v>114</v>
      </c>
      <c r="H483" s="73">
        <v>0</v>
      </c>
      <c r="I483" s="75">
        <v>3283.23</v>
      </c>
      <c r="J483" s="75">
        <v>1</v>
      </c>
    </row>
    <row r="484" spans="5:10" x14ac:dyDescent="0.25">
      <c r="E484" t="s">
        <v>1258</v>
      </c>
      <c r="F484" t="s">
        <v>97</v>
      </c>
      <c r="G484" t="s">
        <v>113</v>
      </c>
      <c r="H484" s="73">
        <v>0</v>
      </c>
      <c r="I484" s="75">
        <v>3283.23</v>
      </c>
      <c r="J484" s="75">
        <v>1</v>
      </c>
    </row>
    <row r="485" spans="5:10" x14ac:dyDescent="0.25">
      <c r="E485" t="s">
        <v>1259</v>
      </c>
      <c r="F485" t="s">
        <v>96</v>
      </c>
      <c r="G485" t="s">
        <v>56</v>
      </c>
      <c r="H485" s="73">
        <v>300000</v>
      </c>
      <c r="I485" s="75">
        <v>4251.97</v>
      </c>
      <c r="J485" s="75">
        <v>1</v>
      </c>
    </row>
    <row r="486" spans="5:10" x14ac:dyDescent="0.25">
      <c r="E486" t="s">
        <v>1260</v>
      </c>
      <c r="F486" t="s">
        <v>97</v>
      </c>
      <c r="G486" t="s">
        <v>115</v>
      </c>
      <c r="H486" s="73">
        <v>0</v>
      </c>
      <c r="I486" s="75">
        <v>3283.23</v>
      </c>
      <c r="J486" s="75">
        <v>1</v>
      </c>
    </row>
    <row r="487" spans="5:10" x14ac:dyDescent="0.25">
      <c r="E487" t="s">
        <v>1261</v>
      </c>
      <c r="F487" t="s">
        <v>96</v>
      </c>
      <c r="G487" t="s">
        <v>114</v>
      </c>
      <c r="H487" s="73">
        <v>0</v>
      </c>
      <c r="I487" s="75">
        <v>3283.23</v>
      </c>
      <c r="J487" s="75">
        <v>1</v>
      </c>
    </row>
    <row r="488" spans="5:10" x14ac:dyDescent="0.25">
      <c r="E488" t="s">
        <v>1262</v>
      </c>
      <c r="F488" t="s">
        <v>96</v>
      </c>
      <c r="G488" t="s">
        <v>56</v>
      </c>
      <c r="H488" s="73">
        <v>300000</v>
      </c>
      <c r="I488" s="75">
        <v>3283.23</v>
      </c>
      <c r="J488" s="75">
        <v>1</v>
      </c>
    </row>
    <row r="489" spans="5:10" x14ac:dyDescent="0.25">
      <c r="E489" t="s">
        <v>1263</v>
      </c>
      <c r="F489" t="s">
        <v>97</v>
      </c>
      <c r="G489" t="s">
        <v>115</v>
      </c>
      <c r="H489" s="73">
        <v>0</v>
      </c>
      <c r="I489" s="75">
        <v>3283.23</v>
      </c>
      <c r="J489" s="75">
        <v>1</v>
      </c>
    </row>
    <row r="490" spans="5:10" x14ac:dyDescent="0.25">
      <c r="E490" t="s">
        <v>1264</v>
      </c>
      <c r="F490" t="s">
        <v>96</v>
      </c>
      <c r="G490" t="s">
        <v>114</v>
      </c>
      <c r="H490" s="73">
        <v>0</v>
      </c>
      <c r="I490" s="75">
        <v>3283.23</v>
      </c>
      <c r="J490" s="75">
        <v>1</v>
      </c>
    </row>
    <row r="491" spans="5:10" x14ac:dyDescent="0.25">
      <c r="E491" t="s">
        <v>1265</v>
      </c>
      <c r="F491" t="s">
        <v>96</v>
      </c>
      <c r="G491" t="s">
        <v>56</v>
      </c>
      <c r="H491" s="73">
        <v>300000</v>
      </c>
      <c r="I491" s="75">
        <v>3283.23</v>
      </c>
      <c r="J491" s="75">
        <v>1</v>
      </c>
    </row>
    <row r="492" spans="5:10" x14ac:dyDescent="0.25">
      <c r="E492" t="s">
        <v>1266</v>
      </c>
      <c r="F492" t="s">
        <v>97</v>
      </c>
      <c r="G492" t="s">
        <v>115</v>
      </c>
      <c r="H492" s="73">
        <v>0</v>
      </c>
      <c r="I492" s="75">
        <v>3283.23</v>
      </c>
      <c r="J492" s="75">
        <v>1</v>
      </c>
    </row>
    <row r="493" spans="5:10" x14ac:dyDescent="0.25">
      <c r="E493" t="s">
        <v>1267</v>
      </c>
      <c r="F493" t="s">
        <v>96</v>
      </c>
      <c r="G493" t="s">
        <v>114</v>
      </c>
      <c r="H493" s="73">
        <v>0</v>
      </c>
      <c r="I493" s="75">
        <v>3283.23</v>
      </c>
      <c r="J493" s="75">
        <v>1</v>
      </c>
    </row>
    <row r="494" spans="5:10" x14ac:dyDescent="0.25">
      <c r="E494" t="s">
        <v>1268</v>
      </c>
      <c r="F494" t="s">
        <v>96</v>
      </c>
      <c r="G494" t="s">
        <v>56</v>
      </c>
      <c r="H494" s="73">
        <v>300000</v>
      </c>
      <c r="I494" s="75">
        <v>3283.23</v>
      </c>
      <c r="J494" s="75">
        <v>1</v>
      </c>
    </row>
    <row r="495" spans="5:10" x14ac:dyDescent="0.25">
      <c r="E495" t="s">
        <v>1269</v>
      </c>
      <c r="F495" t="s">
        <v>97</v>
      </c>
      <c r="G495" t="s">
        <v>115</v>
      </c>
      <c r="H495" s="73">
        <v>0</v>
      </c>
      <c r="I495" s="75">
        <v>3283.23</v>
      </c>
      <c r="J495" s="75">
        <v>1</v>
      </c>
    </row>
    <row r="496" spans="5:10" x14ac:dyDescent="0.25">
      <c r="E496" t="s">
        <v>1270</v>
      </c>
      <c r="F496" t="s">
        <v>97</v>
      </c>
      <c r="G496" t="s">
        <v>113</v>
      </c>
      <c r="H496" s="73">
        <v>0</v>
      </c>
      <c r="I496" s="75">
        <v>3283.23</v>
      </c>
      <c r="J496" s="75">
        <v>1</v>
      </c>
    </row>
    <row r="497" spans="5:10" x14ac:dyDescent="0.25">
      <c r="E497" t="s">
        <v>1271</v>
      </c>
      <c r="F497" t="s">
        <v>96</v>
      </c>
      <c r="G497" t="s">
        <v>56</v>
      </c>
      <c r="H497" s="73">
        <v>300000</v>
      </c>
      <c r="I497" s="75">
        <v>3283.23</v>
      </c>
      <c r="J497" s="75">
        <v>1</v>
      </c>
    </row>
    <row r="498" spans="5:10" x14ac:dyDescent="0.25">
      <c r="E498" t="s">
        <v>1272</v>
      </c>
      <c r="F498" t="s">
        <v>96</v>
      </c>
      <c r="G498" t="s">
        <v>56</v>
      </c>
      <c r="H498" s="73">
        <v>300000</v>
      </c>
      <c r="I498" s="75">
        <v>3283.23</v>
      </c>
      <c r="J498" s="75">
        <v>1</v>
      </c>
    </row>
    <row r="499" spans="5:10" x14ac:dyDescent="0.25">
      <c r="E499" t="s">
        <v>1273</v>
      </c>
      <c r="F499" t="s">
        <v>97</v>
      </c>
      <c r="G499" t="s">
        <v>115</v>
      </c>
      <c r="H499" s="73">
        <v>0</v>
      </c>
      <c r="I499" s="75">
        <v>3283.23</v>
      </c>
      <c r="J499" s="75">
        <v>1</v>
      </c>
    </row>
    <row r="500" spans="5:10" x14ac:dyDescent="0.25">
      <c r="E500" t="s">
        <v>1274</v>
      </c>
      <c r="F500" t="s">
        <v>96</v>
      </c>
      <c r="G500" t="s">
        <v>56</v>
      </c>
      <c r="H500" s="73">
        <v>300000</v>
      </c>
      <c r="I500" s="75">
        <v>3283.23</v>
      </c>
      <c r="J500" s="75">
        <v>1</v>
      </c>
    </row>
    <row r="501" spans="5:10" x14ac:dyDescent="0.25">
      <c r="E501" t="s">
        <v>1275</v>
      </c>
      <c r="F501" t="s">
        <v>96</v>
      </c>
      <c r="G501" t="s">
        <v>56</v>
      </c>
      <c r="H501" s="73">
        <v>300000</v>
      </c>
      <c r="I501" s="75">
        <v>3283.23</v>
      </c>
      <c r="J501" s="75">
        <v>1</v>
      </c>
    </row>
    <row r="502" spans="5:10" x14ac:dyDescent="0.25">
      <c r="E502" t="s">
        <v>1276</v>
      </c>
      <c r="F502" t="s">
        <v>96</v>
      </c>
      <c r="G502" t="s">
        <v>56</v>
      </c>
      <c r="H502" s="73">
        <v>300000</v>
      </c>
      <c r="I502" s="75">
        <v>4251.97</v>
      </c>
      <c r="J502" s="75">
        <v>1</v>
      </c>
    </row>
    <row r="503" spans="5:10" x14ac:dyDescent="0.25">
      <c r="E503" t="s">
        <v>1277</v>
      </c>
      <c r="F503" t="s">
        <v>97</v>
      </c>
      <c r="G503" t="s">
        <v>115</v>
      </c>
      <c r="H503" s="73">
        <v>0</v>
      </c>
      <c r="I503" s="75">
        <v>3283.23</v>
      </c>
      <c r="J503" s="75">
        <v>1</v>
      </c>
    </row>
    <row r="504" spans="5:10" x14ac:dyDescent="0.25">
      <c r="E504" t="s">
        <v>1278</v>
      </c>
      <c r="F504" t="s">
        <v>96</v>
      </c>
      <c r="G504" t="s">
        <v>114</v>
      </c>
      <c r="H504" s="73">
        <v>0</v>
      </c>
      <c r="I504" s="75">
        <v>3283.23</v>
      </c>
      <c r="J504" s="75">
        <v>1</v>
      </c>
    </row>
    <row r="505" spans="5:10" x14ac:dyDescent="0.25">
      <c r="E505" t="s">
        <v>1279</v>
      </c>
      <c r="F505" t="s">
        <v>96</v>
      </c>
      <c r="G505" t="s">
        <v>56</v>
      </c>
      <c r="H505" s="73">
        <v>300000</v>
      </c>
      <c r="I505" s="75">
        <v>4251.97</v>
      </c>
      <c r="J505" s="75">
        <v>1</v>
      </c>
    </row>
    <row r="506" spans="5:10" x14ac:dyDescent="0.25">
      <c r="E506" t="s">
        <v>1280</v>
      </c>
      <c r="F506" t="s">
        <v>97</v>
      </c>
      <c r="G506" t="s">
        <v>115</v>
      </c>
      <c r="H506" s="73">
        <v>0</v>
      </c>
      <c r="I506" s="75">
        <v>3283.23</v>
      </c>
      <c r="J506" s="75">
        <v>1</v>
      </c>
    </row>
    <row r="507" spans="5:10" x14ac:dyDescent="0.25">
      <c r="E507" t="s">
        <v>1281</v>
      </c>
      <c r="F507" t="s">
        <v>97</v>
      </c>
      <c r="G507" t="s">
        <v>113</v>
      </c>
      <c r="H507" s="73">
        <v>0</v>
      </c>
      <c r="I507" s="75">
        <v>3283.23</v>
      </c>
      <c r="J507" s="75">
        <v>1</v>
      </c>
    </row>
    <row r="508" spans="5:10" x14ac:dyDescent="0.25">
      <c r="E508" t="s">
        <v>1282</v>
      </c>
      <c r="F508" t="s">
        <v>96</v>
      </c>
      <c r="G508" t="s">
        <v>56</v>
      </c>
      <c r="H508" s="73">
        <v>300000</v>
      </c>
      <c r="I508" s="75">
        <v>3283.23</v>
      </c>
      <c r="J508" s="75">
        <v>1</v>
      </c>
    </row>
    <row r="509" spans="5:10" x14ac:dyDescent="0.25">
      <c r="E509" t="s">
        <v>1283</v>
      </c>
      <c r="F509" t="s">
        <v>97</v>
      </c>
      <c r="G509" t="s">
        <v>115</v>
      </c>
      <c r="H509" s="73">
        <v>0</v>
      </c>
      <c r="I509" s="75">
        <v>3283.23</v>
      </c>
      <c r="J509" s="75">
        <v>1</v>
      </c>
    </row>
    <row r="510" spans="5:10" x14ac:dyDescent="0.25">
      <c r="E510" t="s">
        <v>1284</v>
      </c>
      <c r="F510" t="s">
        <v>97</v>
      </c>
      <c r="G510" t="s">
        <v>113</v>
      </c>
      <c r="H510" s="73">
        <v>0</v>
      </c>
      <c r="I510" s="75">
        <v>3283.23</v>
      </c>
      <c r="J510" s="75">
        <v>1</v>
      </c>
    </row>
    <row r="511" spans="5:10" x14ac:dyDescent="0.25">
      <c r="E511" t="s">
        <v>1285</v>
      </c>
      <c r="F511" t="s">
        <v>96</v>
      </c>
      <c r="G511" t="s">
        <v>56</v>
      </c>
      <c r="H511" s="73">
        <v>300000</v>
      </c>
      <c r="I511" s="75">
        <v>3283.23</v>
      </c>
      <c r="J511" s="75">
        <v>1</v>
      </c>
    </row>
    <row r="512" spans="5:10" x14ac:dyDescent="0.25">
      <c r="E512" t="s">
        <v>1286</v>
      </c>
      <c r="F512" t="s">
        <v>96</v>
      </c>
      <c r="G512" t="s">
        <v>56</v>
      </c>
      <c r="H512" s="73">
        <v>300000</v>
      </c>
      <c r="I512" s="75">
        <v>3283.23</v>
      </c>
      <c r="J512" s="75">
        <v>1</v>
      </c>
    </row>
    <row r="513" spans="5:10" x14ac:dyDescent="0.25">
      <c r="E513" t="s">
        <v>1287</v>
      </c>
      <c r="F513" t="s">
        <v>96</v>
      </c>
      <c r="G513" t="s">
        <v>56</v>
      </c>
      <c r="H513" s="73">
        <v>0</v>
      </c>
      <c r="I513" s="75">
        <v>1844.0058904109587</v>
      </c>
      <c r="J513" s="75">
        <v>0</v>
      </c>
    </row>
    <row r="514" spans="5:10" x14ac:dyDescent="0.25">
      <c r="E514" t="s">
        <v>1288</v>
      </c>
      <c r="F514" t="s">
        <v>96</v>
      </c>
      <c r="G514" t="s">
        <v>56</v>
      </c>
      <c r="H514" s="73">
        <v>300000</v>
      </c>
      <c r="I514" s="75">
        <v>3283.23</v>
      </c>
      <c r="J514" s="75">
        <v>1</v>
      </c>
    </row>
    <row r="515" spans="5:10" x14ac:dyDescent="0.25">
      <c r="E515" t="s">
        <v>1289</v>
      </c>
      <c r="F515" t="s">
        <v>97</v>
      </c>
      <c r="G515" t="s">
        <v>115</v>
      </c>
      <c r="H515" s="73">
        <v>0</v>
      </c>
      <c r="I515" s="75">
        <v>3283.23</v>
      </c>
      <c r="J515" s="75">
        <v>1</v>
      </c>
    </row>
    <row r="516" spans="5:10" x14ac:dyDescent="0.25">
      <c r="E516" t="s">
        <v>1290</v>
      </c>
      <c r="F516" t="s">
        <v>96</v>
      </c>
      <c r="G516" t="s">
        <v>114</v>
      </c>
      <c r="H516" s="73">
        <v>0</v>
      </c>
      <c r="I516" s="75">
        <v>3283.23</v>
      </c>
      <c r="J516" s="75">
        <v>1</v>
      </c>
    </row>
    <row r="517" spans="5:10" x14ac:dyDescent="0.25">
      <c r="E517" t="s">
        <v>1291</v>
      </c>
      <c r="F517" t="s">
        <v>96</v>
      </c>
      <c r="G517" t="s">
        <v>56</v>
      </c>
      <c r="H517" s="73">
        <v>300000</v>
      </c>
      <c r="I517" s="75">
        <v>3283.23</v>
      </c>
      <c r="J517" s="75">
        <v>1</v>
      </c>
    </row>
    <row r="518" spans="5:10" x14ac:dyDescent="0.25">
      <c r="E518" t="s">
        <v>1292</v>
      </c>
      <c r="F518" t="s">
        <v>97</v>
      </c>
      <c r="G518" t="s">
        <v>115</v>
      </c>
      <c r="H518" s="73">
        <v>0</v>
      </c>
      <c r="I518" s="75">
        <v>3283.23</v>
      </c>
      <c r="J518" s="75">
        <v>1</v>
      </c>
    </row>
    <row r="519" spans="5:10" x14ac:dyDescent="0.25">
      <c r="E519" t="s">
        <v>1293</v>
      </c>
      <c r="F519" t="s">
        <v>97</v>
      </c>
      <c r="G519" t="s">
        <v>113</v>
      </c>
      <c r="H519" s="73">
        <v>0</v>
      </c>
      <c r="I519" s="75">
        <v>3283.23</v>
      </c>
      <c r="J519" s="75">
        <v>1</v>
      </c>
    </row>
    <row r="520" spans="5:10" x14ac:dyDescent="0.25">
      <c r="E520" t="s">
        <v>1294</v>
      </c>
      <c r="F520" t="s">
        <v>96</v>
      </c>
      <c r="G520" t="s">
        <v>114</v>
      </c>
      <c r="H520" s="73">
        <v>0</v>
      </c>
      <c r="I520" s="75">
        <v>3283.23</v>
      </c>
      <c r="J520" s="75">
        <v>1</v>
      </c>
    </row>
    <row r="521" spans="5:10" x14ac:dyDescent="0.25">
      <c r="E521" t="s">
        <v>1295</v>
      </c>
      <c r="F521" t="s">
        <v>96</v>
      </c>
      <c r="G521" t="s">
        <v>56</v>
      </c>
      <c r="H521" s="73">
        <v>300000</v>
      </c>
      <c r="I521" s="75">
        <v>8124.57</v>
      </c>
      <c r="J521" s="75">
        <v>1</v>
      </c>
    </row>
    <row r="522" spans="5:10" x14ac:dyDescent="0.25">
      <c r="E522" t="s">
        <v>1296</v>
      </c>
      <c r="F522" t="s">
        <v>97</v>
      </c>
      <c r="G522" t="s">
        <v>115</v>
      </c>
      <c r="H522" s="73">
        <v>0</v>
      </c>
      <c r="I522" s="75">
        <v>8124.57</v>
      </c>
      <c r="J522" s="75">
        <v>1</v>
      </c>
    </row>
    <row r="523" spans="5:10" x14ac:dyDescent="0.25">
      <c r="E523" t="s">
        <v>1297</v>
      </c>
      <c r="F523" t="s">
        <v>96</v>
      </c>
      <c r="G523" t="s">
        <v>114</v>
      </c>
      <c r="H523" s="73">
        <v>0</v>
      </c>
      <c r="I523" s="75">
        <v>3283.23</v>
      </c>
      <c r="J523" s="75">
        <v>1</v>
      </c>
    </row>
    <row r="524" spans="5:10" x14ac:dyDescent="0.25">
      <c r="E524" t="s">
        <v>1298</v>
      </c>
      <c r="F524" t="s">
        <v>96</v>
      </c>
      <c r="G524" t="s">
        <v>114</v>
      </c>
      <c r="H524" s="73">
        <v>0</v>
      </c>
      <c r="I524" s="75">
        <v>3283.23</v>
      </c>
      <c r="J524" s="75">
        <v>1</v>
      </c>
    </row>
    <row r="525" spans="5:10" x14ac:dyDescent="0.25">
      <c r="E525" t="s">
        <v>1299</v>
      </c>
      <c r="F525" t="s">
        <v>96</v>
      </c>
      <c r="G525" t="s">
        <v>56</v>
      </c>
      <c r="H525" s="73">
        <v>300000</v>
      </c>
      <c r="I525" s="75">
        <v>3283.23</v>
      </c>
      <c r="J525" s="75">
        <v>1</v>
      </c>
    </row>
    <row r="526" spans="5:10" x14ac:dyDescent="0.25">
      <c r="E526" t="s">
        <v>1300</v>
      </c>
      <c r="F526" t="s">
        <v>97</v>
      </c>
      <c r="G526" t="s">
        <v>115</v>
      </c>
      <c r="H526" s="73">
        <v>0</v>
      </c>
      <c r="I526" s="75">
        <v>3283.23</v>
      </c>
      <c r="J526" s="75">
        <v>1</v>
      </c>
    </row>
    <row r="527" spans="5:10" x14ac:dyDescent="0.25">
      <c r="E527" t="s">
        <v>1301</v>
      </c>
      <c r="F527" t="s">
        <v>96</v>
      </c>
      <c r="G527" t="s">
        <v>114</v>
      </c>
      <c r="H527" s="73">
        <v>0</v>
      </c>
      <c r="I527" s="75">
        <v>3283.23</v>
      </c>
      <c r="J527" s="75">
        <v>1</v>
      </c>
    </row>
    <row r="528" spans="5:10" x14ac:dyDescent="0.25">
      <c r="E528" t="s">
        <v>1302</v>
      </c>
      <c r="F528" t="s">
        <v>96</v>
      </c>
      <c r="G528" t="s">
        <v>56</v>
      </c>
      <c r="H528" s="73">
        <v>300000</v>
      </c>
      <c r="I528" s="75">
        <v>8124.57</v>
      </c>
      <c r="J528" s="75">
        <v>1</v>
      </c>
    </row>
    <row r="529" spans="5:10" x14ac:dyDescent="0.25">
      <c r="E529" t="s">
        <v>1303</v>
      </c>
      <c r="F529" t="s">
        <v>97</v>
      </c>
      <c r="G529" t="s">
        <v>115</v>
      </c>
      <c r="H529" s="73">
        <v>0</v>
      </c>
      <c r="I529" s="75">
        <v>4251.97</v>
      </c>
      <c r="J529" s="75">
        <v>1</v>
      </c>
    </row>
    <row r="530" spans="5:10" x14ac:dyDescent="0.25">
      <c r="E530" t="s">
        <v>1304</v>
      </c>
      <c r="F530" t="s">
        <v>97</v>
      </c>
      <c r="G530" t="s">
        <v>113</v>
      </c>
      <c r="H530" s="73">
        <v>0</v>
      </c>
      <c r="I530" s="75">
        <v>3283.23</v>
      </c>
      <c r="J530" s="75">
        <v>1</v>
      </c>
    </row>
    <row r="531" spans="5:10" x14ac:dyDescent="0.25">
      <c r="E531" t="s">
        <v>1305</v>
      </c>
      <c r="F531" t="s">
        <v>96</v>
      </c>
      <c r="G531" t="s">
        <v>56</v>
      </c>
      <c r="H531" s="73">
        <v>300000</v>
      </c>
      <c r="I531" s="75">
        <v>3283.23</v>
      </c>
      <c r="J531" s="75">
        <v>1</v>
      </c>
    </row>
    <row r="532" spans="5:10" x14ac:dyDescent="0.25">
      <c r="E532" t="s">
        <v>1306</v>
      </c>
      <c r="F532" t="s">
        <v>96</v>
      </c>
      <c r="G532" t="s">
        <v>56</v>
      </c>
      <c r="H532" s="73">
        <v>300000</v>
      </c>
      <c r="I532" s="75">
        <v>3283.23</v>
      </c>
      <c r="J532" s="75">
        <v>1</v>
      </c>
    </row>
    <row r="533" spans="5:10" x14ac:dyDescent="0.25">
      <c r="E533" t="s">
        <v>1307</v>
      </c>
      <c r="F533" t="s">
        <v>97</v>
      </c>
      <c r="G533" t="s">
        <v>115</v>
      </c>
      <c r="H533" s="73">
        <v>0</v>
      </c>
      <c r="I533" s="75">
        <v>3283.23</v>
      </c>
      <c r="J533" s="75">
        <v>1</v>
      </c>
    </row>
    <row r="534" spans="5:10" x14ac:dyDescent="0.25">
      <c r="E534" t="s">
        <v>1308</v>
      </c>
      <c r="F534" t="s">
        <v>96</v>
      </c>
      <c r="G534" t="s">
        <v>114</v>
      </c>
      <c r="H534" s="73">
        <v>0</v>
      </c>
      <c r="I534" s="75">
        <v>3283.23</v>
      </c>
      <c r="J534" s="75">
        <v>1</v>
      </c>
    </row>
    <row r="535" spans="5:10" x14ac:dyDescent="0.25">
      <c r="E535" t="s">
        <v>1309</v>
      </c>
      <c r="F535" t="s">
        <v>96</v>
      </c>
      <c r="G535" t="s">
        <v>56</v>
      </c>
      <c r="H535" s="73">
        <v>300000</v>
      </c>
      <c r="I535" s="75">
        <v>3283.23</v>
      </c>
      <c r="J535" s="75">
        <v>1</v>
      </c>
    </row>
    <row r="536" spans="5:10" x14ac:dyDescent="0.25">
      <c r="E536" t="s">
        <v>1310</v>
      </c>
      <c r="F536" t="s">
        <v>97</v>
      </c>
      <c r="G536" t="s">
        <v>115</v>
      </c>
      <c r="H536" s="73">
        <v>0</v>
      </c>
      <c r="I536" s="75">
        <v>3283.23</v>
      </c>
      <c r="J536" s="75">
        <v>1</v>
      </c>
    </row>
    <row r="537" spans="5:10" x14ac:dyDescent="0.25">
      <c r="E537" t="s">
        <v>1311</v>
      </c>
      <c r="F537" t="s">
        <v>96</v>
      </c>
      <c r="G537" t="s">
        <v>56</v>
      </c>
      <c r="H537" s="73">
        <v>300000</v>
      </c>
      <c r="I537" s="75">
        <v>3283.23</v>
      </c>
      <c r="J537" s="75">
        <v>1</v>
      </c>
    </row>
    <row r="538" spans="5:10" x14ac:dyDescent="0.25">
      <c r="E538" t="s">
        <v>1312</v>
      </c>
      <c r="F538" t="s">
        <v>97</v>
      </c>
      <c r="G538" t="s">
        <v>115</v>
      </c>
      <c r="H538" s="73">
        <v>0</v>
      </c>
      <c r="I538" s="75">
        <v>3283.23</v>
      </c>
      <c r="J538" s="75">
        <v>1</v>
      </c>
    </row>
    <row r="539" spans="5:10" x14ac:dyDescent="0.25">
      <c r="E539" t="s">
        <v>1313</v>
      </c>
      <c r="F539" t="s">
        <v>97</v>
      </c>
      <c r="G539" t="s">
        <v>113</v>
      </c>
      <c r="H539" s="73">
        <v>0</v>
      </c>
      <c r="I539" s="75">
        <v>3283.23</v>
      </c>
      <c r="J539" s="75">
        <v>1</v>
      </c>
    </row>
    <row r="540" spans="5:10" x14ac:dyDescent="0.25">
      <c r="E540" t="s">
        <v>1314</v>
      </c>
      <c r="F540" t="s">
        <v>96</v>
      </c>
      <c r="G540" t="s">
        <v>114</v>
      </c>
      <c r="H540" s="73">
        <v>0</v>
      </c>
      <c r="I540" s="75">
        <v>3283.23</v>
      </c>
      <c r="J540" s="75">
        <v>1</v>
      </c>
    </row>
    <row r="541" spans="5:10" x14ac:dyDescent="0.25">
      <c r="E541" t="s">
        <v>1315</v>
      </c>
      <c r="F541" t="s">
        <v>96</v>
      </c>
      <c r="G541" t="s">
        <v>56</v>
      </c>
      <c r="H541" s="73">
        <v>300000</v>
      </c>
      <c r="I541" s="75">
        <v>3283.23</v>
      </c>
      <c r="J541" s="75">
        <v>1</v>
      </c>
    </row>
    <row r="542" spans="5:10" x14ac:dyDescent="0.25">
      <c r="E542" t="s">
        <v>1316</v>
      </c>
      <c r="F542" t="s">
        <v>96</v>
      </c>
      <c r="G542" t="s">
        <v>56</v>
      </c>
      <c r="H542" s="73">
        <v>300000</v>
      </c>
      <c r="I542" s="75">
        <v>3283.23</v>
      </c>
      <c r="J542" s="75">
        <v>1</v>
      </c>
    </row>
    <row r="543" spans="5:10" x14ac:dyDescent="0.25">
      <c r="E543" t="s">
        <v>1317</v>
      </c>
      <c r="F543" t="s">
        <v>97</v>
      </c>
      <c r="G543" t="s">
        <v>115</v>
      </c>
      <c r="H543" s="73">
        <v>0</v>
      </c>
      <c r="I543" s="75">
        <v>3283.23</v>
      </c>
      <c r="J543" s="75">
        <v>1</v>
      </c>
    </row>
    <row r="544" spans="5:10" x14ac:dyDescent="0.25">
      <c r="E544" t="s">
        <v>1318</v>
      </c>
      <c r="F544" t="s">
        <v>97</v>
      </c>
      <c r="G544" t="s">
        <v>113</v>
      </c>
      <c r="H544" s="73">
        <v>0</v>
      </c>
      <c r="I544" s="75">
        <v>3283.23</v>
      </c>
      <c r="J544" s="75">
        <v>1</v>
      </c>
    </row>
    <row r="545" spans="5:10" x14ac:dyDescent="0.25">
      <c r="E545" t="s">
        <v>1319</v>
      </c>
      <c r="F545" t="s">
        <v>97</v>
      </c>
      <c r="G545" t="s">
        <v>113</v>
      </c>
      <c r="H545" s="73">
        <v>0</v>
      </c>
      <c r="I545" s="75">
        <v>3283.23</v>
      </c>
      <c r="J545" s="75">
        <v>1</v>
      </c>
    </row>
    <row r="546" spans="5:10" x14ac:dyDescent="0.25">
      <c r="E546" t="s">
        <v>1320</v>
      </c>
      <c r="F546" t="s">
        <v>96</v>
      </c>
      <c r="G546" t="s">
        <v>56</v>
      </c>
      <c r="H546" s="73">
        <v>300000</v>
      </c>
      <c r="I546" s="75">
        <v>4251.97</v>
      </c>
      <c r="J546" s="75">
        <v>1</v>
      </c>
    </row>
    <row r="547" spans="5:10" x14ac:dyDescent="0.25">
      <c r="E547" t="s">
        <v>1321</v>
      </c>
      <c r="F547" t="s">
        <v>97</v>
      </c>
      <c r="G547" t="s">
        <v>115</v>
      </c>
      <c r="H547" s="73">
        <v>0</v>
      </c>
      <c r="I547" s="75">
        <v>4251.97</v>
      </c>
      <c r="J547" s="75">
        <v>1</v>
      </c>
    </row>
    <row r="548" spans="5:10" x14ac:dyDescent="0.25">
      <c r="E548" t="s">
        <v>1322</v>
      </c>
      <c r="F548" t="s">
        <v>96</v>
      </c>
      <c r="G548" t="s">
        <v>114</v>
      </c>
      <c r="H548" s="73">
        <v>0</v>
      </c>
      <c r="I548" s="75">
        <v>3283.23</v>
      </c>
      <c r="J548" s="75">
        <v>1</v>
      </c>
    </row>
    <row r="549" spans="5:10" x14ac:dyDescent="0.25">
      <c r="E549" t="s">
        <v>1323</v>
      </c>
      <c r="F549" t="s">
        <v>96</v>
      </c>
      <c r="G549" t="s">
        <v>114</v>
      </c>
      <c r="H549" s="73">
        <v>0</v>
      </c>
      <c r="I549" s="75">
        <v>3283.23</v>
      </c>
      <c r="J549" s="75">
        <v>1</v>
      </c>
    </row>
    <row r="550" spans="5:10" x14ac:dyDescent="0.25">
      <c r="E550" t="s">
        <v>1324</v>
      </c>
      <c r="F550" t="s">
        <v>96</v>
      </c>
      <c r="G550" t="s">
        <v>56</v>
      </c>
      <c r="H550" s="73">
        <v>300000</v>
      </c>
      <c r="I550" s="75">
        <v>4251.97</v>
      </c>
      <c r="J550" s="75">
        <v>1</v>
      </c>
    </row>
    <row r="551" spans="5:10" x14ac:dyDescent="0.25">
      <c r="E551" t="s">
        <v>1325</v>
      </c>
      <c r="F551" t="s">
        <v>97</v>
      </c>
      <c r="G551" t="s">
        <v>115</v>
      </c>
      <c r="H551" s="73">
        <v>0</v>
      </c>
      <c r="I551" s="75">
        <v>4251.97</v>
      </c>
      <c r="J551" s="75">
        <v>1</v>
      </c>
    </row>
    <row r="552" spans="5:10" x14ac:dyDescent="0.25">
      <c r="E552" t="s">
        <v>1326</v>
      </c>
      <c r="F552" t="s">
        <v>96</v>
      </c>
      <c r="G552" t="s">
        <v>114</v>
      </c>
      <c r="H552" s="73">
        <v>0</v>
      </c>
      <c r="I552" s="75">
        <v>3283.23</v>
      </c>
      <c r="J552" s="75">
        <v>1</v>
      </c>
    </row>
    <row r="553" spans="5:10" x14ac:dyDescent="0.25">
      <c r="E553" t="s">
        <v>1327</v>
      </c>
      <c r="F553" t="s">
        <v>97</v>
      </c>
      <c r="G553" t="s">
        <v>56</v>
      </c>
      <c r="H553" s="73">
        <v>300000</v>
      </c>
      <c r="I553" s="75">
        <v>4251.97</v>
      </c>
      <c r="J553" s="75">
        <v>1</v>
      </c>
    </row>
    <row r="554" spans="5:10" x14ac:dyDescent="0.25">
      <c r="E554" t="s">
        <v>1328</v>
      </c>
      <c r="F554" t="s">
        <v>96</v>
      </c>
      <c r="G554" t="s">
        <v>115</v>
      </c>
      <c r="H554" s="73">
        <v>0</v>
      </c>
      <c r="I554" s="75">
        <v>4251.97</v>
      </c>
      <c r="J554" s="75">
        <v>1</v>
      </c>
    </row>
    <row r="555" spans="5:10" x14ac:dyDescent="0.25">
      <c r="E555" t="s">
        <v>1329</v>
      </c>
      <c r="F555" t="s">
        <v>97</v>
      </c>
      <c r="G555" t="s">
        <v>113</v>
      </c>
      <c r="H555" s="73">
        <v>0</v>
      </c>
      <c r="I555" s="75">
        <v>3283.23</v>
      </c>
      <c r="J555" s="75">
        <v>1</v>
      </c>
    </row>
    <row r="556" spans="5:10" x14ac:dyDescent="0.25">
      <c r="E556" t="s">
        <v>1330</v>
      </c>
      <c r="F556" t="s">
        <v>96</v>
      </c>
      <c r="G556" t="s">
        <v>56</v>
      </c>
      <c r="H556" s="73">
        <v>300000</v>
      </c>
      <c r="I556" s="75">
        <v>3283.23</v>
      </c>
      <c r="J556" s="75">
        <v>1</v>
      </c>
    </row>
    <row r="557" spans="5:10" x14ac:dyDescent="0.25">
      <c r="E557" t="s">
        <v>1331</v>
      </c>
      <c r="F557" t="s">
        <v>97</v>
      </c>
      <c r="G557" t="s">
        <v>115</v>
      </c>
      <c r="H557" s="73">
        <v>0</v>
      </c>
      <c r="I557" s="75">
        <v>3283.23</v>
      </c>
      <c r="J557" s="75">
        <v>1</v>
      </c>
    </row>
    <row r="558" spans="5:10" x14ac:dyDescent="0.25">
      <c r="E558" t="s">
        <v>1332</v>
      </c>
      <c r="F558" t="s">
        <v>96</v>
      </c>
      <c r="G558" t="s">
        <v>114</v>
      </c>
      <c r="H558" s="73">
        <v>0</v>
      </c>
      <c r="I558" s="75">
        <v>3283.23</v>
      </c>
      <c r="J558" s="75">
        <v>1</v>
      </c>
    </row>
    <row r="559" spans="5:10" x14ac:dyDescent="0.25">
      <c r="E559" t="s">
        <v>1333</v>
      </c>
      <c r="F559" t="s">
        <v>96</v>
      </c>
      <c r="G559" t="s">
        <v>56</v>
      </c>
      <c r="H559" s="73">
        <v>300000</v>
      </c>
      <c r="I559" s="75">
        <v>3283.23</v>
      </c>
      <c r="J559" s="75">
        <v>1</v>
      </c>
    </row>
    <row r="560" spans="5:10" x14ac:dyDescent="0.25">
      <c r="E560" t="s">
        <v>1334</v>
      </c>
      <c r="F560" t="s">
        <v>97</v>
      </c>
      <c r="G560" t="s">
        <v>115</v>
      </c>
      <c r="H560" s="73">
        <v>0</v>
      </c>
      <c r="I560" s="75">
        <v>3283.23</v>
      </c>
      <c r="J560" s="75">
        <v>1</v>
      </c>
    </row>
    <row r="561" spans="5:10" x14ac:dyDescent="0.25">
      <c r="E561" t="s">
        <v>1335</v>
      </c>
      <c r="F561" t="s">
        <v>97</v>
      </c>
      <c r="G561" t="s">
        <v>113</v>
      </c>
      <c r="H561" s="73">
        <v>0</v>
      </c>
      <c r="I561" s="75">
        <v>3283.23</v>
      </c>
      <c r="J561" s="75">
        <v>1</v>
      </c>
    </row>
    <row r="562" spans="5:10" x14ac:dyDescent="0.25">
      <c r="E562" t="s">
        <v>1336</v>
      </c>
      <c r="F562" t="s">
        <v>97</v>
      </c>
      <c r="G562" t="s">
        <v>56</v>
      </c>
      <c r="H562" s="73">
        <v>300000</v>
      </c>
      <c r="I562" s="75">
        <v>3283.23</v>
      </c>
      <c r="J562" s="75">
        <v>1</v>
      </c>
    </row>
    <row r="563" spans="5:10" x14ac:dyDescent="0.25">
      <c r="E563" t="s">
        <v>1337</v>
      </c>
      <c r="F563" t="s">
        <v>96</v>
      </c>
      <c r="G563" t="s">
        <v>56</v>
      </c>
      <c r="H563" s="73">
        <v>0</v>
      </c>
      <c r="I563" s="75">
        <v>1879.986493150685</v>
      </c>
      <c r="J563" s="75">
        <v>0</v>
      </c>
    </row>
    <row r="564" spans="5:10" x14ac:dyDescent="0.25">
      <c r="E564" t="s">
        <v>1338</v>
      </c>
      <c r="F564" t="s">
        <v>96</v>
      </c>
      <c r="G564" t="s">
        <v>56</v>
      </c>
      <c r="H564" s="73">
        <v>300000</v>
      </c>
      <c r="I564" s="75">
        <v>8124.57</v>
      </c>
      <c r="J564" s="75">
        <v>1</v>
      </c>
    </row>
    <row r="565" spans="5:10" x14ac:dyDescent="0.25">
      <c r="E565" t="s">
        <v>1339</v>
      </c>
      <c r="F565" t="s">
        <v>97</v>
      </c>
      <c r="G565" t="s">
        <v>115</v>
      </c>
      <c r="H565" s="73">
        <v>0</v>
      </c>
      <c r="I565" s="75">
        <v>4251.97</v>
      </c>
      <c r="J565" s="75">
        <v>1</v>
      </c>
    </row>
    <row r="566" spans="5:10" x14ac:dyDescent="0.25">
      <c r="E566" t="s">
        <v>1340</v>
      </c>
      <c r="F566" t="s">
        <v>97</v>
      </c>
      <c r="G566" t="s">
        <v>113</v>
      </c>
      <c r="H566" s="73">
        <v>0</v>
      </c>
      <c r="I566" s="75">
        <v>3283.23</v>
      </c>
      <c r="J566" s="75">
        <v>1</v>
      </c>
    </row>
    <row r="567" spans="5:10" x14ac:dyDescent="0.25">
      <c r="E567" t="s">
        <v>1341</v>
      </c>
      <c r="F567" t="s">
        <v>97</v>
      </c>
      <c r="G567" t="s">
        <v>113</v>
      </c>
      <c r="H567" s="73">
        <v>0</v>
      </c>
      <c r="I567" s="75">
        <v>3283.23</v>
      </c>
      <c r="J567" s="75">
        <v>1</v>
      </c>
    </row>
    <row r="568" spans="5:10" x14ac:dyDescent="0.25">
      <c r="E568" t="s">
        <v>1342</v>
      </c>
      <c r="F568" t="s">
        <v>96</v>
      </c>
      <c r="G568" t="s">
        <v>56</v>
      </c>
      <c r="H568" s="73">
        <v>300000</v>
      </c>
      <c r="I568" s="75">
        <v>3283.23</v>
      </c>
      <c r="J568" s="75">
        <v>1</v>
      </c>
    </row>
    <row r="569" spans="5:10" x14ac:dyDescent="0.25">
      <c r="E569" t="s">
        <v>1343</v>
      </c>
      <c r="F569" t="s">
        <v>97</v>
      </c>
      <c r="G569" t="s">
        <v>115</v>
      </c>
      <c r="H569" s="73">
        <v>0</v>
      </c>
      <c r="I569" s="75">
        <v>3283.23</v>
      </c>
      <c r="J569" s="75">
        <v>1</v>
      </c>
    </row>
    <row r="570" spans="5:10" x14ac:dyDescent="0.25">
      <c r="E570" t="s">
        <v>1344</v>
      </c>
      <c r="F570" t="s">
        <v>96</v>
      </c>
      <c r="G570" t="s">
        <v>114</v>
      </c>
      <c r="H570" s="73">
        <v>0</v>
      </c>
      <c r="I570" s="75">
        <v>3283.23</v>
      </c>
      <c r="J570" s="75">
        <v>1</v>
      </c>
    </row>
    <row r="571" spans="5:10" x14ac:dyDescent="0.25">
      <c r="E571" t="s">
        <v>1345</v>
      </c>
      <c r="F571" t="s">
        <v>96</v>
      </c>
      <c r="G571" t="s">
        <v>114</v>
      </c>
      <c r="H571" s="73">
        <v>0</v>
      </c>
      <c r="I571" s="75">
        <v>3283.23</v>
      </c>
      <c r="J571" s="75">
        <v>1</v>
      </c>
    </row>
    <row r="572" spans="5:10" x14ac:dyDescent="0.25">
      <c r="E572" t="s">
        <v>1346</v>
      </c>
      <c r="F572" t="s">
        <v>96</v>
      </c>
      <c r="G572" t="s">
        <v>56</v>
      </c>
      <c r="H572" s="73">
        <v>300000</v>
      </c>
      <c r="I572" s="75">
        <v>4251.97</v>
      </c>
      <c r="J572" s="75">
        <v>1</v>
      </c>
    </row>
    <row r="573" spans="5:10" x14ac:dyDescent="0.25">
      <c r="E573" t="s">
        <v>1347</v>
      </c>
      <c r="F573" t="s">
        <v>97</v>
      </c>
      <c r="G573" t="s">
        <v>115</v>
      </c>
      <c r="H573" s="73">
        <v>0</v>
      </c>
      <c r="I573" s="75">
        <v>4251.97</v>
      </c>
      <c r="J573" s="75">
        <v>1</v>
      </c>
    </row>
    <row r="574" spans="5:10" x14ac:dyDescent="0.25">
      <c r="E574" t="s">
        <v>1348</v>
      </c>
      <c r="F574" t="s">
        <v>97</v>
      </c>
      <c r="G574" t="s">
        <v>113</v>
      </c>
      <c r="H574" s="73">
        <v>0</v>
      </c>
      <c r="I574" s="75">
        <v>3283.23</v>
      </c>
      <c r="J574" s="75">
        <v>1</v>
      </c>
    </row>
    <row r="575" spans="5:10" x14ac:dyDescent="0.25">
      <c r="E575" t="s">
        <v>1349</v>
      </c>
      <c r="F575" t="s">
        <v>96</v>
      </c>
      <c r="G575" t="s">
        <v>114</v>
      </c>
      <c r="H575" s="73">
        <v>0</v>
      </c>
      <c r="I575" s="75">
        <v>3283.23</v>
      </c>
      <c r="J575" s="75">
        <v>1</v>
      </c>
    </row>
    <row r="576" spans="5:10" x14ac:dyDescent="0.25">
      <c r="E576" t="s">
        <v>1350</v>
      </c>
      <c r="F576" t="s">
        <v>96</v>
      </c>
      <c r="G576" t="s">
        <v>56</v>
      </c>
      <c r="H576" s="73">
        <v>300000</v>
      </c>
      <c r="I576" s="75">
        <v>4251.97</v>
      </c>
      <c r="J576" s="75">
        <v>1</v>
      </c>
    </row>
    <row r="577" spans="5:10" x14ac:dyDescent="0.25">
      <c r="E577" t="s">
        <v>1351</v>
      </c>
      <c r="F577" t="s">
        <v>96</v>
      </c>
      <c r="G577" t="s">
        <v>56</v>
      </c>
      <c r="H577" s="73">
        <v>300000</v>
      </c>
      <c r="I577" s="75">
        <v>8124.57</v>
      </c>
      <c r="J577" s="75">
        <v>1</v>
      </c>
    </row>
    <row r="578" spans="5:10" x14ac:dyDescent="0.25">
      <c r="E578" t="s">
        <v>1352</v>
      </c>
      <c r="F578" t="s">
        <v>96</v>
      </c>
      <c r="G578" t="s">
        <v>114</v>
      </c>
      <c r="H578" s="73">
        <v>0</v>
      </c>
      <c r="I578" s="75">
        <v>3283.23</v>
      </c>
      <c r="J578" s="75">
        <v>1</v>
      </c>
    </row>
    <row r="579" spans="5:10" x14ac:dyDescent="0.25">
      <c r="E579" t="s">
        <v>1353</v>
      </c>
      <c r="F579" t="s">
        <v>96</v>
      </c>
      <c r="G579" t="s">
        <v>114</v>
      </c>
      <c r="H579" s="73">
        <v>0</v>
      </c>
      <c r="I579" s="75">
        <v>3283.23</v>
      </c>
      <c r="J579" s="75">
        <v>1</v>
      </c>
    </row>
    <row r="580" spans="5:10" x14ac:dyDescent="0.25">
      <c r="E580" t="s">
        <v>1354</v>
      </c>
      <c r="F580" t="s">
        <v>97</v>
      </c>
      <c r="G580" t="s">
        <v>115</v>
      </c>
      <c r="H580" s="73">
        <v>0</v>
      </c>
      <c r="I580" s="75">
        <v>4251.97</v>
      </c>
      <c r="J580" s="75">
        <v>1</v>
      </c>
    </row>
    <row r="581" spans="5:10" x14ac:dyDescent="0.25">
      <c r="E581" t="s">
        <v>1355</v>
      </c>
      <c r="F581" t="s">
        <v>96</v>
      </c>
      <c r="G581" t="s">
        <v>56</v>
      </c>
      <c r="H581" s="73">
        <v>300000</v>
      </c>
      <c r="I581" s="75">
        <v>4251.97</v>
      </c>
      <c r="J581" s="75">
        <v>1</v>
      </c>
    </row>
    <row r="582" spans="5:10" x14ac:dyDescent="0.25">
      <c r="E582" t="s">
        <v>1356</v>
      </c>
      <c r="F582" t="s">
        <v>97</v>
      </c>
      <c r="G582" t="s">
        <v>115</v>
      </c>
      <c r="H582" s="73">
        <v>0</v>
      </c>
      <c r="I582" s="75">
        <v>4251.97</v>
      </c>
      <c r="J582" s="75">
        <v>1</v>
      </c>
    </row>
    <row r="583" spans="5:10" x14ac:dyDescent="0.25">
      <c r="E583" t="s">
        <v>1357</v>
      </c>
      <c r="F583" t="s">
        <v>96</v>
      </c>
      <c r="G583" t="s">
        <v>114</v>
      </c>
      <c r="H583" s="73">
        <v>0</v>
      </c>
      <c r="I583" s="75">
        <v>3283.23</v>
      </c>
      <c r="J583" s="75">
        <v>1</v>
      </c>
    </row>
    <row r="584" spans="5:10" x14ac:dyDescent="0.25">
      <c r="E584" t="s">
        <v>1358</v>
      </c>
      <c r="F584" t="s">
        <v>97</v>
      </c>
      <c r="G584" t="s">
        <v>113</v>
      </c>
      <c r="H584" s="73">
        <v>0</v>
      </c>
      <c r="I584" s="75">
        <v>3283.23</v>
      </c>
      <c r="J584" s="75">
        <v>1</v>
      </c>
    </row>
    <row r="585" spans="5:10" x14ac:dyDescent="0.25">
      <c r="E585" t="s">
        <v>1359</v>
      </c>
      <c r="F585" t="s">
        <v>96</v>
      </c>
      <c r="G585" t="s">
        <v>56</v>
      </c>
      <c r="H585" s="73">
        <v>300000</v>
      </c>
      <c r="I585" s="75">
        <v>3283.23</v>
      </c>
      <c r="J585" s="75">
        <v>1</v>
      </c>
    </row>
    <row r="586" spans="5:10" x14ac:dyDescent="0.25">
      <c r="E586" t="s">
        <v>1360</v>
      </c>
      <c r="F586" t="s">
        <v>97</v>
      </c>
      <c r="G586" t="s">
        <v>115</v>
      </c>
      <c r="H586" s="73">
        <v>0</v>
      </c>
      <c r="I586" s="75">
        <v>3283.23</v>
      </c>
      <c r="J586" s="75">
        <v>1</v>
      </c>
    </row>
    <row r="587" spans="5:10" x14ac:dyDescent="0.25">
      <c r="E587" t="s">
        <v>1361</v>
      </c>
      <c r="F587" t="s">
        <v>97</v>
      </c>
      <c r="G587" t="s">
        <v>113</v>
      </c>
      <c r="H587" s="73">
        <v>0</v>
      </c>
      <c r="I587" s="75">
        <v>3283.23</v>
      </c>
      <c r="J587" s="75">
        <v>1</v>
      </c>
    </row>
    <row r="588" spans="5:10" x14ac:dyDescent="0.25">
      <c r="E588" t="s">
        <v>1362</v>
      </c>
      <c r="F588" t="s">
        <v>96</v>
      </c>
      <c r="G588" t="s">
        <v>56</v>
      </c>
      <c r="H588" s="73">
        <v>300000</v>
      </c>
      <c r="I588" s="75">
        <v>4251.97</v>
      </c>
      <c r="J588" s="75">
        <v>1</v>
      </c>
    </row>
    <row r="589" spans="5:10" x14ac:dyDescent="0.25">
      <c r="E589" t="s">
        <v>1363</v>
      </c>
      <c r="F589" t="s">
        <v>97</v>
      </c>
      <c r="G589" t="s">
        <v>115</v>
      </c>
      <c r="H589" s="73">
        <v>0</v>
      </c>
      <c r="I589" s="75">
        <v>8124.57</v>
      </c>
      <c r="J589" s="75">
        <v>1</v>
      </c>
    </row>
    <row r="590" spans="5:10" x14ac:dyDescent="0.25">
      <c r="E590" t="s">
        <v>1364</v>
      </c>
      <c r="F590" t="s">
        <v>96</v>
      </c>
      <c r="G590" t="s">
        <v>114</v>
      </c>
      <c r="H590" s="73">
        <v>0</v>
      </c>
      <c r="I590" s="75">
        <v>3283.23</v>
      </c>
      <c r="J590" s="75">
        <v>1</v>
      </c>
    </row>
    <row r="591" spans="5:10" x14ac:dyDescent="0.25">
      <c r="E591" t="s">
        <v>1365</v>
      </c>
      <c r="F591" t="s">
        <v>96</v>
      </c>
      <c r="G591" t="s">
        <v>114</v>
      </c>
      <c r="H591" s="73">
        <v>0</v>
      </c>
      <c r="I591" s="75">
        <v>3283.23</v>
      </c>
      <c r="J591" s="75">
        <v>1</v>
      </c>
    </row>
    <row r="592" spans="5:10" x14ac:dyDescent="0.25">
      <c r="E592" t="s">
        <v>1366</v>
      </c>
      <c r="F592" t="s">
        <v>97</v>
      </c>
      <c r="G592" t="s">
        <v>56</v>
      </c>
      <c r="H592" s="73">
        <v>0</v>
      </c>
      <c r="I592" s="75">
        <v>1115.3986849315065</v>
      </c>
      <c r="J592" s="75">
        <v>0</v>
      </c>
    </row>
    <row r="593" spans="5:10" x14ac:dyDescent="0.25">
      <c r="E593" t="s">
        <v>1367</v>
      </c>
      <c r="F593" t="s">
        <v>96</v>
      </c>
      <c r="G593" t="s">
        <v>56</v>
      </c>
      <c r="H593" s="73">
        <v>300000</v>
      </c>
      <c r="I593" s="75">
        <v>3283.23</v>
      </c>
      <c r="J593" s="75">
        <v>1</v>
      </c>
    </row>
    <row r="594" spans="5:10" x14ac:dyDescent="0.25">
      <c r="E594" t="s">
        <v>1368</v>
      </c>
      <c r="F594" t="s">
        <v>97</v>
      </c>
      <c r="G594" t="s">
        <v>115</v>
      </c>
      <c r="H594" s="73">
        <v>0</v>
      </c>
      <c r="I594" s="75">
        <v>3283.23</v>
      </c>
      <c r="J594" s="75">
        <v>1</v>
      </c>
    </row>
    <row r="595" spans="5:10" x14ac:dyDescent="0.25">
      <c r="E595" t="s">
        <v>1369</v>
      </c>
      <c r="F595" t="s">
        <v>96</v>
      </c>
      <c r="G595" t="s">
        <v>56</v>
      </c>
      <c r="H595" s="73">
        <v>300000</v>
      </c>
      <c r="I595" s="75">
        <v>4251.97</v>
      </c>
      <c r="J595" s="75">
        <v>1</v>
      </c>
    </row>
    <row r="596" spans="5:10" x14ac:dyDescent="0.25">
      <c r="E596" t="s">
        <v>1370</v>
      </c>
      <c r="F596" t="s">
        <v>96</v>
      </c>
      <c r="G596" t="s">
        <v>56</v>
      </c>
      <c r="H596" s="73">
        <v>300000</v>
      </c>
      <c r="I596" s="75">
        <v>3283.23</v>
      </c>
      <c r="J596" s="75">
        <v>1</v>
      </c>
    </row>
    <row r="597" spans="5:10" x14ac:dyDescent="0.25">
      <c r="E597" t="s">
        <v>1371</v>
      </c>
      <c r="F597" t="s">
        <v>97</v>
      </c>
      <c r="G597" t="s">
        <v>115</v>
      </c>
      <c r="H597" s="73">
        <v>0</v>
      </c>
      <c r="I597" s="75">
        <v>3283.23</v>
      </c>
      <c r="J597" s="75">
        <v>1</v>
      </c>
    </row>
    <row r="598" spans="5:10" x14ac:dyDescent="0.25">
      <c r="E598" t="s">
        <v>1372</v>
      </c>
      <c r="F598" t="s">
        <v>96</v>
      </c>
      <c r="G598" t="s">
        <v>114</v>
      </c>
      <c r="H598" s="73">
        <v>0</v>
      </c>
      <c r="I598" s="75">
        <v>3283.23</v>
      </c>
      <c r="J598" s="75">
        <v>1</v>
      </c>
    </row>
    <row r="599" spans="5:10" x14ac:dyDescent="0.25">
      <c r="E599" t="s">
        <v>1373</v>
      </c>
      <c r="F599" t="s">
        <v>96</v>
      </c>
      <c r="G599" t="s">
        <v>56</v>
      </c>
      <c r="H599" s="73">
        <v>300000</v>
      </c>
      <c r="I599" s="75">
        <v>3283.23</v>
      </c>
      <c r="J599" s="75">
        <v>1</v>
      </c>
    </row>
    <row r="600" spans="5:10" x14ac:dyDescent="0.25">
      <c r="E600" t="s">
        <v>1374</v>
      </c>
      <c r="F600" t="s">
        <v>97</v>
      </c>
      <c r="G600" t="s">
        <v>115</v>
      </c>
      <c r="H600" s="73">
        <v>0</v>
      </c>
      <c r="I600" s="75">
        <v>3283.23</v>
      </c>
      <c r="J600" s="75">
        <v>1</v>
      </c>
    </row>
    <row r="601" spans="5:10" x14ac:dyDescent="0.25">
      <c r="E601" t="s">
        <v>1375</v>
      </c>
      <c r="F601" t="s">
        <v>96</v>
      </c>
      <c r="G601" t="s">
        <v>56</v>
      </c>
      <c r="H601" s="73">
        <v>300000</v>
      </c>
      <c r="I601" s="75">
        <v>3283.23</v>
      </c>
      <c r="J601" s="75">
        <v>1</v>
      </c>
    </row>
    <row r="602" spans="5:10" x14ac:dyDescent="0.25">
      <c r="E602" t="s">
        <v>1376</v>
      </c>
      <c r="F602" t="s">
        <v>97</v>
      </c>
      <c r="G602" t="s">
        <v>115</v>
      </c>
      <c r="H602" s="73">
        <v>0</v>
      </c>
      <c r="I602" s="75">
        <v>3283.23</v>
      </c>
      <c r="J602" s="75">
        <v>1</v>
      </c>
    </row>
    <row r="603" spans="5:10" x14ac:dyDescent="0.25">
      <c r="E603" t="s">
        <v>1377</v>
      </c>
      <c r="F603" t="s">
        <v>97</v>
      </c>
      <c r="G603" t="s">
        <v>113</v>
      </c>
      <c r="H603" s="73">
        <v>0</v>
      </c>
      <c r="I603" s="75">
        <v>3283.23</v>
      </c>
      <c r="J603" s="75">
        <v>1</v>
      </c>
    </row>
    <row r="604" spans="5:10" x14ac:dyDescent="0.25">
      <c r="E604" t="s">
        <v>1378</v>
      </c>
      <c r="F604" t="s">
        <v>96</v>
      </c>
      <c r="G604" t="s">
        <v>114</v>
      </c>
      <c r="H604" s="73">
        <v>0</v>
      </c>
      <c r="I604" s="75">
        <v>3283.23</v>
      </c>
      <c r="J604" s="75">
        <v>1</v>
      </c>
    </row>
    <row r="605" spans="5:10" x14ac:dyDescent="0.25">
      <c r="E605" t="s">
        <v>1379</v>
      </c>
      <c r="F605" t="s">
        <v>96</v>
      </c>
      <c r="G605" t="s">
        <v>56</v>
      </c>
      <c r="H605" s="73">
        <v>300000</v>
      </c>
      <c r="I605" s="75">
        <v>3283.23</v>
      </c>
      <c r="J605" s="75">
        <v>1</v>
      </c>
    </row>
    <row r="606" spans="5:10" x14ac:dyDescent="0.25">
      <c r="E606" t="s">
        <v>1380</v>
      </c>
      <c r="F606" t="s">
        <v>97</v>
      </c>
      <c r="G606" t="s">
        <v>115</v>
      </c>
      <c r="H606" s="73">
        <v>0</v>
      </c>
      <c r="I606" s="75">
        <v>3283.23</v>
      </c>
      <c r="J606" s="75">
        <v>1</v>
      </c>
    </row>
    <row r="607" spans="5:10" x14ac:dyDescent="0.25">
      <c r="E607" t="s">
        <v>1381</v>
      </c>
      <c r="F607" t="s">
        <v>97</v>
      </c>
      <c r="G607" t="s">
        <v>113</v>
      </c>
      <c r="H607" s="73">
        <v>0</v>
      </c>
      <c r="I607" s="75">
        <v>3283.23</v>
      </c>
      <c r="J607" s="75">
        <v>1</v>
      </c>
    </row>
    <row r="608" spans="5:10" x14ac:dyDescent="0.25">
      <c r="E608" t="s">
        <v>1382</v>
      </c>
      <c r="F608" t="s">
        <v>96</v>
      </c>
      <c r="G608" t="s">
        <v>56</v>
      </c>
      <c r="H608" s="73">
        <v>300000</v>
      </c>
      <c r="I608" s="75">
        <v>4251.97</v>
      </c>
      <c r="J608" s="75">
        <v>1</v>
      </c>
    </row>
    <row r="609" spans="5:10" x14ac:dyDescent="0.25">
      <c r="E609" t="s">
        <v>1383</v>
      </c>
      <c r="F609" t="s">
        <v>97</v>
      </c>
      <c r="G609" t="s">
        <v>115</v>
      </c>
      <c r="H609" s="73">
        <v>0</v>
      </c>
      <c r="I609" s="75">
        <v>3283.23</v>
      </c>
      <c r="J609" s="75">
        <v>1</v>
      </c>
    </row>
    <row r="610" spans="5:10" x14ac:dyDescent="0.25">
      <c r="E610" t="s">
        <v>1384</v>
      </c>
      <c r="F610" t="s">
        <v>96</v>
      </c>
      <c r="G610" t="s">
        <v>56</v>
      </c>
      <c r="H610" s="73">
        <v>300000</v>
      </c>
      <c r="I610" s="75">
        <v>4251.97</v>
      </c>
      <c r="J610" s="75">
        <v>1</v>
      </c>
    </row>
    <row r="611" spans="5:10" x14ac:dyDescent="0.25">
      <c r="E611" t="s">
        <v>1385</v>
      </c>
      <c r="F611" t="s">
        <v>97</v>
      </c>
      <c r="G611" t="s">
        <v>115</v>
      </c>
      <c r="H611" s="73">
        <v>0</v>
      </c>
      <c r="I611" s="75">
        <v>4251.97</v>
      </c>
      <c r="J611" s="75">
        <v>1</v>
      </c>
    </row>
    <row r="612" spans="5:10" x14ac:dyDescent="0.25">
      <c r="E612" t="s">
        <v>1386</v>
      </c>
      <c r="F612" t="s">
        <v>97</v>
      </c>
      <c r="G612" t="s">
        <v>113</v>
      </c>
      <c r="H612" s="73">
        <v>0</v>
      </c>
      <c r="I612" s="75">
        <v>3283.23</v>
      </c>
      <c r="J612" s="75">
        <v>1</v>
      </c>
    </row>
    <row r="613" spans="5:10" x14ac:dyDescent="0.25">
      <c r="E613" t="s">
        <v>1387</v>
      </c>
      <c r="F613" t="s">
        <v>96</v>
      </c>
      <c r="G613" t="s">
        <v>114</v>
      </c>
      <c r="H613" s="73">
        <v>0</v>
      </c>
      <c r="I613" s="75">
        <v>3283.23</v>
      </c>
      <c r="J613" s="75">
        <v>1</v>
      </c>
    </row>
    <row r="614" spans="5:10" x14ac:dyDescent="0.25">
      <c r="E614" t="s">
        <v>1388</v>
      </c>
      <c r="F614" t="s">
        <v>97</v>
      </c>
      <c r="G614" t="s">
        <v>56</v>
      </c>
      <c r="H614" s="73">
        <v>300000</v>
      </c>
      <c r="I614" s="75">
        <v>4251.97</v>
      </c>
      <c r="J614" s="75">
        <v>1</v>
      </c>
    </row>
    <row r="615" spans="5:10" x14ac:dyDescent="0.25">
      <c r="E615" t="s">
        <v>1389</v>
      </c>
      <c r="F615" t="s">
        <v>96</v>
      </c>
      <c r="G615" t="s">
        <v>115</v>
      </c>
      <c r="H615" s="73">
        <v>0</v>
      </c>
      <c r="I615" s="75">
        <v>4251.97</v>
      </c>
      <c r="J615" s="75">
        <v>1</v>
      </c>
    </row>
    <row r="616" spans="5:10" x14ac:dyDescent="0.25">
      <c r="E616" t="s">
        <v>1390</v>
      </c>
      <c r="F616" t="s">
        <v>96</v>
      </c>
      <c r="G616" t="s">
        <v>114</v>
      </c>
      <c r="H616" s="73">
        <v>0</v>
      </c>
      <c r="I616" s="75">
        <v>3283.23</v>
      </c>
      <c r="J616" s="75">
        <v>1</v>
      </c>
    </row>
    <row r="617" spans="5:10" x14ac:dyDescent="0.25">
      <c r="E617" t="s">
        <v>1391</v>
      </c>
      <c r="F617" t="s">
        <v>97</v>
      </c>
      <c r="G617" t="s">
        <v>113</v>
      </c>
      <c r="H617" s="73">
        <v>0</v>
      </c>
      <c r="I617" s="75">
        <v>3283.23</v>
      </c>
      <c r="J617" s="75">
        <v>1</v>
      </c>
    </row>
    <row r="618" spans="5:10" x14ac:dyDescent="0.25">
      <c r="E618" t="s">
        <v>1392</v>
      </c>
      <c r="F618" t="s">
        <v>97</v>
      </c>
      <c r="G618" t="s">
        <v>56</v>
      </c>
      <c r="H618" s="73">
        <v>0</v>
      </c>
      <c r="I618" s="75">
        <v>3283.23</v>
      </c>
      <c r="J618" s="75">
        <v>0</v>
      </c>
    </row>
    <row r="619" spans="5:10" x14ac:dyDescent="0.25">
      <c r="E619" t="s">
        <v>1393</v>
      </c>
      <c r="F619" t="s">
        <v>96</v>
      </c>
      <c r="G619" t="s">
        <v>56</v>
      </c>
      <c r="H619" s="73">
        <v>300000</v>
      </c>
      <c r="I619" s="75">
        <v>4251.97</v>
      </c>
      <c r="J619" s="75">
        <v>1</v>
      </c>
    </row>
    <row r="620" spans="5:10" x14ac:dyDescent="0.25">
      <c r="E620" t="s">
        <v>1394</v>
      </c>
      <c r="F620" t="s">
        <v>96</v>
      </c>
      <c r="G620" t="s">
        <v>56</v>
      </c>
      <c r="H620" s="73">
        <v>300000</v>
      </c>
      <c r="I620" s="75">
        <v>4251.97</v>
      </c>
      <c r="J620" s="75">
        <v>1</v>
      </c>
    </row>
    <row r="621" spans="5:10" x14ac:dyDescent="0.25">
      <c r="E621" t="s">
        <v>1395</v>
      </c>
      <c r="F621" t="s">
        <v>97</v>
      </c>
      <c r="G621" t="s">
        <v>115</v>
      </c>
      <c r="H621" s="73">
        <v>0</v>
      </c>
      <c r="I621" s="75">
        <v>4251.97</v>
      </c>
      <c r="J621" s="75">
        <v>1</v>
      </c>
    </row>
    <row r="622" spans="5:10" x14ac:dyDescent="0.25">
      <c r="E622" t="s">
        <v>1396</v>
      </c>
      <c r="F622" t="s">
        <v>97</v>
      </c>
      <c r="G622" t="s">
        <v>113</v>
      </c>
      <c r="H622" s="73">
        <v>0</v>
      </c>
      <c r="I622" s="75">
        <v>3283.23</v>
      </c>
      <c r="J622" s="75">
        <v>1</v>
      </c>
    </row>
    <row r="623" spans="5:10" x14ac:dyDescent="0.25">
      <c r="E623" t="s">
        <v>1397</v>
      </c>
      <c r="F623" t="s">
        <v>96</v>
      </c>
      <c r="G623" t="s">
        <v>114</v>
      </c>
      <c r="H623" s="73">
        <v>0</v>
      </c>
      <c r="I623" s="75">
        <v>3283.23</v>
      </c>
      <c r="J623" s="75">
        <v>1</v>
      </c>
    </row>
    <row r="624" spans="5:10" x14ac:dyDescent="0.25">
      <c r="E624" t="s">
        <v>1398</v>
      </c>
      <c r="F624" t="s">
        <v>97</v>
      </c>
      <c r="G624" t="s">
        <v>56</v>
      </c>
      <c r="H624" s="73">
        <v>0</v>
      </c>
      <c r="I624" s="75">
        <v>1313.2920000000001</v>
      </c>
      <c r="J624" s="75">
        <v>0</v>
      </c>
    </row>
    <row r="625" spans="5:10" x14ac:dyDescent="0.25">
      <c r="E625" t="s">
        <v>1399</v>
      </c>
      <c r="F625" t="s">
        <v>96</v>
      </c>
      <c r="G625" t="s">
        <v>56</v>
      </c>
      <c r="H625" s="73">
        <v>300000</v>
      </c>
      <c r="I625" s="75">
        <v>3283.23</v>
      </c>
      <c r="J625" s="75">
        <v>1</v>
      </c>
    </row>
    <row r="626" spans="5:10" x14ac:dyDescent="0.25">
      <c r="E626" t="s">
        <v>1400</v>
      </c>
      <c r="F626" t="s">
        <v>96</v>
      </c>
      <c r="G626" t="s">
        <v>56</v>
      </c>
      <c r="H626" s="73">
        <v>300000</v>
      </c>
      <c r="I626" s="75">
        <v>3283.23</v>
      </c>
      <c r="J626" s="75">
        <v>1</v>
      </c>
    </row>
    <row r="627" spans="5:10" x14ac:dyDescent="0.25">
      <c r="E627" t="s">
        <v>1401</v>
      </c>
      <c r="F627" t="s">
        <v>96</v>
      </c>
      <c r="G627" t="s">
        <v>56</v>
      </c>
      <c r="H627" s="73">
        <v>300000</v>
      </c>
      <c r="I627" s="75">
        <v>3283.23</v>
      </c>
      <c r="J627" s="75">
        <v>1</v>
      </c>
    </row>
    <row r="628" spans="5:10" x14ac:dyDescent="0.25">
      <c r="E628" t="s">
        <v>1402</v>
      </c>
      <c r="F628" t="s">
        <v>96</v>
      </c>
      <c r="G628" t="s">
        <v>56</v>
      </c>
      <c r="H628" s="73">
        <v>300000</v>
      </c>
      <c r="I628" s="75">
        <v>3283.23</v>
      </c>
      <c r="J628" s="75">
        <v>1</v>
      </c>
    </row>
    <row r="629" spans="5:10" x14ac:dyDescent="0.25">
      <c r="E629" t="s">
        <v>1403</v>
      </c>
      <c r="F629" t="s">
        <v>97</v>
      </c>
      <c r="G629" t="s">
        <v>115</v>
      </c>
      <c r="H629" s="73">
        <v>0</v>
      </c>
      <c r="I629" s="75">
        <v>3283.23</v>
      </c>
      <c r="J629" s="75">
        <v>1</v>
      </c>
    </row>
    <row r="630" spans="5:10" x14ac:dyDescent="0.25">
      <c r="E630" t="s">
        <v>1404</v>
      </c>
      <c r="F630" t="s">
        <v>96</v>
      </c>
      <c r="G630" t="s">
        <v>114</v>
      </c>
      <c r="H630" s="73">
        <v>0</v>
      </c>
      <c r="I630" s="75">
        <v>3283.23</v>
      </c>
      <c r="J630" s="75">
        <v>1</v>
      </c>
    </row>
    <row r="631" spans="5:10" x14ac:dyDescent="0.25">
      <c r="E631" t="s">
        <v>1405</v>
      </c>
      <c r="F631" t="s">
        <v>97</v>
      </c>
      <c r="G631" t="s">
        <v>56</v>
      </c>
      <c r="H631" s="73">
        <v>300000</v>
      </c>
      <c r="I631" s="75">
        <v>4251.97</v>
      </c>
      <c r="J631" s="75">
        <v>1</v>
      </c>
    </row>
    <row r="632" spans="5:10" x14ac:dyDescent="0.25">
      <c r="E632" t="s">
        <v>1406</v>
      </c>
      <c r="F632" t="s">
        <v>97</v>
      </c>
      <c r="G632" t="s">
        <v>113</v>
      </c>
      <c r="H632" s="73">
        <v>0</v>
      </c>
      <c r="I632" s="75">
        <v>3283.23</v>
      </c>
      <c r="J632" s="75">
        <v>1</v>
      </c>
    </row>
    <row r="633" spans="5:10" x14ac:dyDescent="0.25">
      <c r="E633" t="s">
        <v>1407</v>
      </c>
      <c r="F633" t="s">
        <v>96</v>
      </c>
      <c r="G633" t="s">
        <v>56</v>
      </c>
      <c r="H633" s="73">
        <v>300000</v>
      </c>
      <c r="I633" s="75">
        <v>3283.23</v>
      </c>
      <c r="J633" s="75">
        <v>1</v>
      </c>
    </row>
    <row r="634" spans="5:10" x14ac:dyDescent="0.25">
      <c r="E634" t="s">
        <v>1408</v>
      </c>
      <c r="F634" t="s">
        <v>97</v>
      </c>
      <c r="G634" t="s">
        <v>115</v>
      </c>
      <c r="H634" s="73">
        <v>0</v>
      </c>
      <c r="I634" s="75">
        <v>3283.23</v>
      </c>
      <c r="J634" s="75">
        <v>1</v>
      </c>
    </row>
    <row r="635" spans="5:10" x14ac:dyDescent="0.25">
      <c r="E635" t="s">
        <v>1409</v>
      </c>
      <c r="F635" t="s">
        <v>97</v>
      </c>
      <c r="G635" t="s">
        <v>113</v>
      </c>
      <c r="H635" s="73">
        <v>0</v>
      </c>
      <c r="I635" s="75">
        <v>3283.23</v>
      </c>
      <c r="J635" s="75">
        <v>1</v>
      </c>
    </row>
    <row r="636" spans="5:10" x14ac:dyDescent="0.25">
      <c r="E636" t="s">
        <v>1410</v>
      </c>
      <c r="F636" t="s">
        <v>96</v>
      </c>
      <c r="G636" t="s">
        <v>56</v>
      </c>
      <c r="H636" s="73">
        <v>300000</v>
      </c>
      <c r="I636" s="75">
        <v>3283.23</v>
      </c>
      <c r="J636" s="75">
        <v>1</v>
      </c>
    </row>
    <row r="637" spans="5:10" x14ac:dyDescent="0.25">
      <c r="E637" t="s">
        <v>1411</v>
      </c>
      <c r="F637" t="s">
        <v>96</v>
      </c>
      <c r="G637" t="s">
        <v>56</v>
      </c>
      <c r="H637" s="73">
        <v>300000</v>
      </c>
      <c r="I637" s="75">
        <v>3283.23</v>
      </c>
      <c r="J637" s="75">
        <v>1</v>
      </c>
    </row>
    <row r="638" spans="5:10" x14ac:dyDescent="0.25">
      <c r="E638" t="s">
        <v>1412</v>
      </c>
      <c r="F638" t="s">
        <v>97</v>
      </c>
      <c r="G638" t="s">
        <v>56</v>
      </c>
      <c r="H638" s="73">
        <v>0</v>
      </c>
      <c r="I638" s="75">
        <v>1484.1998630136986</v>
      </c>
      <c r="J638" s="75">
        <v>0</v>
      </c>
    </row>
    <row r="639" spans="5:10" x14ac:dyDescent="0.25">
      <c r="E639" t="s">
        <v>1413</v>
      </c>
      <c r="F639" t="s">
        <v>96</v>
      </c>
      <c r="G639" t="s">
        <v>56</v>
      </c>
      <c r="H639" s="73">
        <v>300000</v>
      </c>
      <c r="I639" s="75">
        <v>3283.23</v>
      </c>
      <c r="J639" s="75">
        <v>1</v>
      </c>
    </row>
    <row r="640" spans="5:10" x14ac:dyDescent="0.25">
      <c r="E640" t="s">
        <v>1414</v>
      </c>
      <c r="F640" t="s">
        <v>96</v>
      </c>
      <c r="G640" t="s">
        <v>56</v>
      </c>
      <c r="H640" s="73">
        <v>300000</v>
      </c>
      <c r="I640" s="75">
        <v>3283.23</v>
      </c>
      <c r="J640" s="75">
        <v>1</v>
      </c>
    </row>
    <row r="641" spans="5:10" x14ac:dyDescent="0.25">
      <c r="E641" t="s">
        <v>1415</v>
      </c>
      <c r="F641" t="s">
        <v>97</v>
      </c>
      <c r="G641" t="s">
        <v>115</v>
      </c>
      <c r="H641" s="73">
        <v>0</v>
      </c>
      <c r="I641" s="75">
        <v>3283.23</v>
      </c>
      <c r="J641" s="75">
        <v>1</v>
      </c>
    </row>
    <row r="642" spans="5:10" x14ac:dyDescent="0.25">
      <c r="E642" t="s">
        <v>1416</v>
      </c>
      <c r="F642" t="s">
        <v>97</v>
      </c>
      <c r="G642" t="s">
        <v>113</v>
      </c>
      <c r="H642" s="73">
        <v>0</v>
      </c>
      <c r="I642" s="75">
        <v>3283.23</v>
      </c>
      <c r="J642" s="75">
        <v>1</v>
      </c>
    </row>
    <row r="643" spans="5:10" x14ac:dyDescent="0.25">
      <c r="E643" t="s">
        <v>1417</v>
      </c>
      <c r="F643" t="s">
        <v>96</v>
      </c>
      <c r="G643" t="s">
        <v>56</v>
      </c>
      <c r="H643" s="73">
        <v>300000</v>
      </c>
      <c r="I643" s="75">
        <v>3283.23</v>
      </c>
      <c r="J643" s="75">
        <v>1</v>
      </c>
    </row>
    <row r="644" spans="5:10" x14ac:dyDescent="0.25">
      <c r="E644" t="s">
        <v>1418</v>
      </c>
      <c r="F644" t="s">
        <v>97</v>
      </c>
      <c r="G644" t="s">
        <v>56</v>
      </c>
      <c r="H644" s="73">
        <v>300000</v>
      </c>
      <c r="I644" s="75">
        <v>3283.23</v>
      </c>
      <c r="J644" s="75">
        <v>1</v>
      </c>
    </row>
    <row r="645" spans="5:10" x14ac:dyDescent="0.25">
      <c r="E645" t="s">
        <v>1419</v>
      </c>
      <c r="F645" t="s">
        <v>97</v>
      </c>
      <c r="G645" t="s">
        <v>56</v>
      </c>
      <c r="H645" s="73">
        <v>300000</v>
      </c>
      <c r="I645" s="75">
        <v>3283.23</v>
      </c>
      <c r="J645" s="75">
        <v>1</v>
      </c>
    </row>
    <row r="646" spans="5:10" x14ac:dyDescent="0.25">
      <c r="E646" t="s">
        <v>1420</v>
      </c>
      <c r="F646" t="s">
        <v>97</v>
      </c>
      <c r="G646" t="s">
        <v>56</v>
      </c>
      <c r="H646" s="73">
        <v>300000</v>
      </c>
      <c r="I646" s="75">
        <v>3283.23</v>
      </c>
      <c r="J646" s="75">
        <v>1</v>
      </c>
    </row>
    <row r="647" spans="5:10" x14ac:dyDescent="0.25">
      <c r="E647" t="s">
        <v>1421</v>
      </c>
      <c r="F647" t="s">
        <v>96</v>
      </c>
      <c r="G647" t="s">
        <v>56</v>
      </c>
      <c r="H647" s="73">
        <v>0</v>
      </c>
      <c r="I647" s="75">
        <v>1016.4520273972603</v>
      </c>
      <c r="J647" s="75">
        <v>0</v>
      </c>
    </row>
    <row r="648" spans="5:10" x14ac:dyDescent="0.25">
      <c r="E648" t="s">
        <v>1422</v>
      </c>
      <c r="F648" t="s">
        <v>96</v>
      </c>
      <c r="G648" t="s">
        <v>56</v>
      </c>
      <c r="H648" s="73">
        <v>300000</v>
      </c>
      <c r="I648" s="75">
        <v>3283.23</v>
      </c>
      <c r="J648" s="75">
        <v>1</v>
      </c>
    </row>
    <row r="649" spans="5:10" x14ac:dyDescent="0.25">
      <c r="E649" t="s">
        <v>1423</v>
      </c>
      <c r="F649" t="s">
        <v>97</v>
      </c>
      <c r="G649" t="s">
        <v>56</v>
      </c>
      <c r="H649" s="73">
        <v>0</v>
      </c>
      <c r="I649" s="75">
        <v>2023.908904109589</v>
      </c>
      <c r="J649" s="75">
        <v>0</v>
      </c>
    </row>
    <row r="650" spans="5:10" x14ac:dyDescent="0.25">
      <c r="E650" t="s">
        <v>1444</v>
      </c>
      <c r="F650" t="s">
        <v>96</v>
      </c>
      <c r="G650" t="s">
        <v>56</v>
      </c>
      <c r="H650" s="73">
        <v>300000</v>
      </c>
      <c r="I650" s="75">
        <v>7657.1289863013699</v>
      </c>
      <c r="J650" s="75">
        <v>1</v>
      </c>
    </row>
    <row r="651" spans="5:10" x14ac:dyDescent="0.25">
      <c r="E651" t="s">
        <v>1445</v>
      </c>
      <c r="F651" t="s">
        <v>97</v>
      </c>
      <c r="G651" t="s">
        <v>115</v>
      </c>
      <c r="H651" s="73">
        <v>0</v>
      </c>
      <c r="I651" s="75">
        <v>4007.3361095890414</v>
      </c>
      <c r="J651" s="75">
        <v>1</v>
      </c>
    </row>
    <row r="652" spans="5:10" x14ac:dyDescent="0.25">
      <c r="E652" t="s">
        <v>1446</v>
      </c>
      <c r="F652" t="s">
        <v>96</v>
      </c>
      <c r="G652" t="s">
        <v>114</v>
      </c>
      <c r="H652" s="73">
        <v>0</v>
      </c>
      <c r="I652" s="75">
        <v>3094.3318356164386</v>
      </c>
      <c r="J652" s="75">
        <v>1</v>
      </c>
    </row>
    <row r="653" spans="5:10" x14ac:dyDescent="0.25">
      <c r="E653" t="s">
        <v>1447</v>
      </c>
      <c r="F653" t="s">
        <v>97</v>
      </c>
      <c r="G653" t="s">
        <v>113</v>
      </c>
      <c r="H653" s="73">
        <v>0</v>
      </c>
      <c r="I653" s="75">
        <v>3094.3318356164386</v>
      </c>
      <c r="J653" s="75">
        <v>1</v>
      </c>
    </row>
    <row r="654" spans="5:10" x14ac:dyDescent="0.25">
      <c r="E654" t="s">
        <v>1448</v>
      </c>
      <c r="F654" t="s">
        <v>96</v>
      </c>
      <c r="G654" t="s">
        <v>56</v>
      </c>
      <c r="H654" s="73">
        <v>300000</v>
      </c>
      <c r="I654" s="75">
        <v>3094.3318356164386</v>
      </c>
      <c r="J654" s="75">
        <v>1</v>
      </c>
    </row>
    <row r="655" spans="5:10" x14ac:dyDescent="0.25">
      <c r="E655" t="s">
        <v>1449</v>
      </c>
      <c r="F655" t="s">
        <v>97</v>
      </c>
      <c r="G655" t="s">
        <v>115</v>
      </c>
      <c r="H655" s="73">
        <v>0</v>
      </c>
      <c r="I655" s="75">
        <v>3094.3318356164386</v>
      </c>
      <c r="J655" s="75">
        <v>1</v>
      </c>
    </row>
    <row r="656" spans="5:10" x14ac:dyDescent="0.25">
      <c r="E656" t="s">
        <v>1450</v>
      </c>
      <c r="F656" t="s">
        <v>96</v>
      </c>
      <c r="G656" t="s">
        <v>114</v>
      </c>
      <c r="H656" s="73">
        <v>0</v>
      </c>
      <c r="I656" s="75">
        <v>3094.3318356164386</v>
      </c>
      <c r="J656" s="75">
        <v>1</v>
      </c>
    </row>
    <row r="657" spans="5:10" x14ac:dyDescent="0.25">
      <c r="E657" t="s">
        <v>1451</v>
      </c>
      <c r="F657" t="s">
        <v>96</v>
      </c>
      <c r="G657" t="s">
        <v>56</v>
      </c>
      <c r="H657" s="73">
        <v>300000</v>
      </c>
      <c r="I657" s="75">
        <v>3094.3318356164386</v>
      </c>
      <c r="J657" s="75">
        <v>1</v>
      </c>
    </row>
    <row r="658" spans="5:10" x14ac:dyDescent="0.25">
      <c r="E658" t="s">
        <v>1452</v>
      </c>
      <c r="F658" t="s">
        <v>97</v>
      </c>
      <c r="G658" t="s">
        <v>115</v>
      </c>
      <c r="H658" s="73">
        <v>0</v>
      </c>
      <c r="I658" s="75">
        <v>3094.3318356164386</v>
      </c>
      <c r="J658" s="75">
        <v>1</v>
      </c>
    </row>
    <row r="659" spans="5:10" x14ac:dyDescent="0.25">
      <c r="E659" t="s">
        <v>1453</v>
      </c>
      <c r="F659" t="s">
        <v>96</v>
      </c>
      <c r="G659" t="s">
        <v>114</v>
      </c>
      <c r="H659" s="73">
        <v>0</v>
      </c>
      <c r="I659" s="75">
        <v>3094.3318356164386</v>
      </c>
      <c r="J659" s="75">
        <v>1</v>
      </c>
    </row>
    <row r="660" spans="5:10" x14ac:dyDescent="0.25">
      <c r="E660" t="s">
        <v>1454</v>
      </c>
      <c r="F660" t="s">
        <v>96</v>
      </c>
      <c r="G660" t="s">
        <v>56</v>
      </c>
      <c r="H660" s="73">
        <v>300000</v>
      </c>
      <c r="I660" s="75">
        <v>4007.3361095890414</v>
      </c>
      <c r="J660" s="75">
        <v>1</v>
      </c>
    </row>
    <row r="661" spans="5:10" x14ac:dyDescent="0.25">
      <c r="E661" t="s">
        <v>1455</v>
      </c>
      <c r="F661" t="s">
        <v>97</v>
      </c>
      <c r="G661" t="s">
        <v>115</v>
      </c>
      <c r="H661" s="73">
        <v>0</v>
      </c>
      <c r="I661" s="75">
        <v>4007.3361095890414</v>
      </c>
      <c r="J661" s="75">
        <v>1</v>
      </c>
    </row>
    <row r="662" spans="5:10" x14ac:dyDescent="0.25">
      <c r="E662" t="s">
        <v>1456</v>
      </c>
      <c r="F662" t="s">
        <v>96</v>
      </c>
      <c r="G662" t="s">
        <v>114</v>
      </c>
      <c r="H662" s="73">
        <v>0</v>
      </c>
      <c r="I662" s="75">
        <v>3094.3318356164386</v>
      </c>
      <c r="J662" s="75">
        <v>1</v>
      </c>
    </row>
    <row r="663" spans="5:10" x14ac:dyDescent="0.25">
      <c r="E663" t="s">
        <v>1457</v>
      </c>
      <c r="F663" t="s">
        <v>96</v>
      </c>
      <c r="G663" t="s">
        <v>56</v>
      </c>
      <c r="H663" s="73">
        <v>300000</v>
      </c>
      <c r="I663" s="75">
        <v>3094.3318356164386</v>
      </c>
      <c r="J663" s="75">
        <v>1</v>
      </c>
    </row>
    <row r="664" spans="5:10" x14ac:dyDescent="0.25">
      <c r="E664" t="s">
        <v>1459</v>
      </c>
      <c r="F664" t="s">
        <v>97</v>
      </c>
      <c r="G664" t="s">
        <v>115</v>
      </c>
      <c r="H664" s="73">
        <v>0</v>
      </c>
      <c r="I664" s="75">
        <v>3094.3318356164386</v>
      </c>
      <c r="J664" s="75">
        <v>1</v>
      </c>
    </row>
    <row r="665" spans="5:10" x14ac:dyDescent="0.25">
      <c r="E665" t="s">
        <v>1470</v>
      </c>
      <c r="F665" t="s">
        <v>96</v>
      </c>
      <c r="G665" t="s">
        <v>56</v>
      </c>
      <c r="H665" s="73">
        <v>300000</v>
      </c>
      <c r="I665" s="75">
        <v>3809.2991506849321</v>
      </c>
      <c r="J665" s="75">
        <v>1</v>
      </c>
    </row>
    <row r="666" spans="5:10" x14ac:dyDescent="0.25">
      <c r="E666" t="s">
        <v>1471</v>
      </c>
      <c r="F666" t="s">
        <v>97</v>
      </c>
      <c r="G666" t="s">
        <v>115</v>
      </c>
      <c r="H666" s="73">
        <v>0</v>
      </c>
      <c r="I666" s="75">
        <v>2941.4142739726026</v>
      </c>
      <c r="J666" s="75">
        <v>1</v>
      </c>
    </row>
    <row r="667" spans="5:10" x14ac:dyDescent="0.25">
      <c r="E667" t="s">
        <v>1472</v>
      </c>
      <c r="F667" t="s">
        <v>96</v>
      </c>
      <c r="G667" t="s">
        <v>114</v>
      </c>
      <c r="H667" s="73">
        <v>0</v>
      </c>
      <c r="I667" s="75">
        <v>2941.4142739726026</v>
      </c>
      <c r="J667" s="75">
        <v>1</v>
      </c>
    </row>
    <row r="668" spans="5:10" x14ac:dyDescent="0.25">
      <c r="E668" t="s">
        <v>1473</v>
      </c>
      <c r="F668" t="s">
        <v>97</v>
      </c>
      <c r="G668" t="s">
        <v>56</v>
      </c>
      <c r="H668" s="73">
        <v>300000</v>
      </c>
      <c r="I668" s="75">
        <v>3809.2991506849321</v>
      </c>
      <c r="J668" s="75">
        <v>1</v>
      </c>
    </row>
    <row r="669" spans="5:10" x14ac:dyDescent="0.25">
      <c r="E669" t="s">
        <v>1474</v>
      </c>
      <c r="F669" t="s">
        <v>96</v>
      </c>
      <c r="G669" t="s">
        <v>113</v>
      </c>
      <c r="H669" s="73">
        <v>0</v>
      </c>
      <c r="I669" s="75">
        <v>2941.4142739726026</v>
      </c>
      <c r="J669" s="75">
        <v>1</v>
      </c>
    </row>
    <row r="670" spans="5:10" x14ac:dyDescent="0.25">
      <c r="E670" t="s">
        <v>1475</v>
      </c>
      <c r="F670" t="s">
        <v>97</v>
      </c>
      <c r="G670" t="s">
        <v>114</v>
      </c>
      <c r="H670" s="73">
        <v>0</v>
      </c>
      <c r="I670" s="75">
        <v>2941.4142739726026</v>
      </c>
      <c r="J670" s="75">
        <v>1</v>
      </c>
    </row>
    <row r="671" spans="5:10" x14ac:dyDescent="0.25">
      <c r="E671" t="s">
        <v>1476</v>
      </c>
      <c r="F671" t="s">
        <v>96</v>
      </c>
      <c r="G671" t="s">
        <v>115</v>
      </c>
      <c r="H671" s="73">
        <v>0</v>
      </c>
      <c r="I671" s="75">
        <v>2941.4142739726026</v>
      </c>
      <c r="J671" s="75">
        <v>1</v>
      </c>
    </row>
    <row r="672" spans="5:10" x14ac:dyDescent="0.25">
      <c r="E672" t="s">
        <v>1477</v>
      </c>
      <c r="F672" t="s">
        <v>96</v>
      </c>
      <c r="G672" t="s">
        <v>56</v>
      </c>
      <c r="H672" s="73">
        <v>300000</v>
      </c>
      <c r="I672" s="75">
        <v>2941.4142739726026</v>
      </c>
      <c r="J672" s="75">
        <v>1</v>
      </c>
    </row>
    <row r="673" spans="5:10" x14ac:dyDescent="0.25">
      <c r="E673" t="s">
        <v>1491</v>
      </c>
      <c r="F673" t="s">
        <v>96</v>
      </c>
      <c r="G673" t="s">
        <v>56</v>
      </c>
      <c r="H673" s="73">
        <v>0</v>
      </c>
      <c r="I673" s="75">
        <v>0</v>
      </c>
      <c r="J673" s="75">
        <v>0</v>
      </c>
    </row>
    <row r="674" spans="5:10" x14ac:dyDescent="0.25">
      <c r="E674" t="s">
        <v>1492</v>
      </c>
      <c r="F674" t="s">
        <v>97</v>
      </c>
      <c r="G674" t="s">
        <v>115</v>
      </c>
      <c r="H674" s="73">
        <v>0</v>
      </c>
      <c r="I674" s="75">
        <v>0</v>
      </c>
      <c r="J674" s="75">
        <v>0</v>
      </c>
    </row>
    <row r="675" spans="5:10" x14ac:dyDescent="0.25">
      <c r="E675" t="s">
        <v>1493</v>
      </c>
      <c r="F675" t="s">
        <v>96</v>
      </c>
      <c r="G675" t="s">
        <v>114</v>
      </c>
      <c r="H675" s="73">
        <v>0</v>
      </c>
      <c r="I675" s="75">
        <v>0</v>
      </c>
      <c r="J675" s="75">
        <v>0</v>
      </c>
    </row>
    <row r="676" spans="5:10" x14ac:dyDescent="0.25">
      <c r="E676" t="s">
        <v>1494</v>
      </c>
      <c r="F676" t="s">
        <v>97</v>
      </c>
      <c r="G676" t="s">
        <v>113</v>
      </c>
      <c r="H676" s="73">
        <v>0</v>
      </c>
      <c r="I676" s="75">
        <v>0</v>
      </c>
      <c r="J676" s="75">
        <v>0</v>
      </c>
    </row>
    <row r="677" spans="5:10" x14ac:dyDescent="0.25">
      <c r="E677" t="s">
        <v>1509</v>
      </c>
      <c r="F677" t="s">
        <v>97</v>
      </c>
      <c r="G677" t="s">
        <v>56</v>
      </c>
      <c r="H677" s="73">
        <v>300000</v>
      </c>
      <c r="I677" s="75">
        <v>3285.0836712328769</v>
      </c>
      <c r="J677" s="75">
        <v>1</v>
      </c>
    </row>
    <row r="678" spans="5:10" x14ac:dyDescent="0.25">
      <c r="E678" t="s">
        <v>1510</v>
      </c>
      <c r="F678" t="s">
        <v>96</v>
      </c>
      <c r="G678" t="s">
        <v>115</v>
      </c>
      <c r="H678" s="73">
        <v>0</v>
      </c>
      <c r="I678" s="75">
        <v>2536.6324931506847</v>
      </c>
      <c r="J678" s="75">
        <v>1</v>
      </c>
    </row>
    <row r="679" spans="5:10" x14ac:dyDescent="0.25">
      <c r="E679" t="s">
        <v>1511</v>
      </c>
      <c r="F679" t="s">
        <v>97</v>
      </c>
      <c r="G679" t="s">
        <v>113</v>
      </c>
      <c r="H679" s="73">
        <v>0</v>
      </c>
      <c r="I679" s="75">
        <v>2536.6324931506847</v>
      </c>
      <c r="J679" s="75">
        <v>1</v>
      </c>
    </row>
    <row r="680" spans="5:10" x14ac:dyDescent="0.25">
      <c r="E680" t="s">
        <v>1512</v>
      </c>
      <c r="F680" t="s">
        <v>96</v>
      </c>
      <c r="G680" t="s">
        <v>114</v>
      </c>
      <c r="H680" s="73">
        <v>0</v>
      </c>
      <c r="I680" s="75">
        <v>2536.6324931506847</v>
      </c>
      <c r="J680" s="75">
        <v>1</v>
      </c>
    </row>
    <row r="681" spans="5:10" x14ac:dyDescent="0.25">
      <c r="E681" t="s">
        <v>1513</v>
      </c>
      <c r="F681" t="s">
        <v>96</v>
      </c>
      <c r="G681" t="s">
        <v>56</v>
      </c>
      <c r="H681" s="73">
        <v>300000</v>
      </c>
      <c r="I681" s="75">
        <v>2536.6324931506847</v>
      </c>
      <c r="J681" s="75">
        <v>1</v>
      </c>
    </row>
    <row r="682" spans="5:10" x14ac:dyDescent="0.25">
      <c r="E682" t="s">
        <v>1514</v>
      </c>
      <c r="F682" t="s">
        <v>96</v>
      </c>
      <c r="G682" t="s">
        <v>56</v>
      </c>
      <c r="H682" s="73">
        <v>300000</v>
      </c>
      <c r="I682" s="75">
        <v>2536.6324931506847</v>
      </c>
      <c r="J682" s="75">
        <v>1</v>
      </c>
    </row>
    <row r="683" spans="5:10" x14ac:dyDescent="0.25">
      <c r="E683" t="s">
        <v>1515</v>
      </c>
      <c r="F683" t="s">
        <v>96</v>
      </c>
      <c r="G683" t="s">
        <v>56</v>
      </c>
      <c r="H683" s="73">
        <v>300000</v>
      </c>
      <c r="I683" s="75">
        <v>2518.642191780822</v>
      </c>
      <c r="J683" s="75">
        <v>1</v>
      </c>
    </row>
    <row r="684" spans="5:10" x14ac:dyDescent="0.25">
      <c r="E684" t="s">
        <v>1516</v>
      </c>
      <c r="F684" t="s">
        <v>97</v>
      </c>
      <c r="G684" t="s">
        <v>115</v>
      </c>
      <c r="H684" s="73">
        <v>0</v>
      </c>
      <c r="I684" s="75">
        <v>2518.642191780822</v>
      </c>
      <c r="J684" s="75">
        <v>1</v>
      </c>
    </row>
    <row r="685" spans="5:10" x14ac:dyDescent="0.25">
      <c r="E685" t="s">
        <v>1517</v>
      </c>
      <c r="F685" t="s">
        <v>96</v>
      </c>
      <c r="G685" t="s">
        <v>56</v>
      </c>
      <c r="H685" s="73">
        <v>300000</v>
      </c>
      <c r="I685" s="75">
        <v>2536.6324931506847</v>
      </c>
      <c r="J685" s="75">
        <v>1</v>
      </c>
    </row>
    <row r="686" spans="5:10" x14ac:dyDescent="0.25">
      <c r="E686" t="s">
        <v>1518</v>
      </c>
      <c r="F686" t="s">
        <v>96</v>
      </c>
      <c r="G686" t="s">
        <v>56</v>
      </c>
      <c r="H686" s="73">
        <v>300000</v>
      </c>
      <c r="I686" s="75">
        <v>3436.5236986301375</v>
      </c>
      <c r="J686" s="75">
        <v>1</v>
      </c>
    </row>
    <row r="687" spans="5:10" x14ac:dyDescent="0.25">
      <c r="E687" t="s">
        <v>1519</v>
      </c>
      <c r="F687" t="s">
        <v>97</v>
      </c>
      <c r="G687" t="s">
        <v>115</v>
      </c>
      <c r="H687" s="73">
        <v>0</v>
      </c>
      <c r="I687" s="75">
        <v>2653.5694520547945</v>
      </c>
      <c r="J687" s="75">
        <v>1</v>
      </c>
    </row>
    <row r="688" spans="5:10" x14ac:dyDescent="0.25">
      <c r="E688" t="s">
        <v>1520</v>
      </c>
      <c r="F688" t="s">
        <v>96</v>
      </c>
      <c r="G688" t="s">
        <v>114</v>
      </c>
      <c r="H688" s="73">
        <v>0</v>
      </c>
      <c r="I688" s="75">
        <v>2653.5694520547945</v>
      </c>
      <c r="J688" s="75">
        <v>1</v>
      </c>
    </row>
    <row r="689" spans="5:10" x14ac:dyDescent="0.25">
      <c r="E689" t="s">
        <v>1521</v>
      </c>
      <c r="F689" t="s">
        <v>97</v>
      </c>
      <c r="G689" t="s">
        <v>113</v>
      </c>
      <c r="H689" s="73">
        <v>0</v>
      </c>
      <c r="I689" s="75">
        <v>2653.5694520547945</v>
      </c>
      <c r="J689" s="75">
        <v>1</v>
      </c>
    </row>
    <row r="690" spans="5:10" x14ac:dyDescent="0.25">
      <c r="E690" t="s">
        <v>1526</v>
      </c>
      <c r="F690" t="s">
        <v>97</v>
      </c>
      <c r="G690" t="s">
        <v>113</v>
      </c>
      <c r="H690" s="73">
        <v>0</v>
      </c>
      <c r="I690" s="75">
        <v>2482.6615890410958</v>
      </c>
      <c r="J690" s="75">
        <v>1</v>
      </c>
    </row>
    <row r="691" spans="5:10" x14ac:dyDescent="0.25">
      <c r="E691" t="s">
        <v>1529</v>
      </c>
      <c r="F691" t="s">
        <v>97</v>
      </c>
      <c r="G691" t="s">
        <v>56</v>
      </c>
      <c r="H691" s="73">
        <v>1000000</v>
      </c>
      <c r="I691" s="75">
        <v>5462.4225205479461</v>
      </c>
      <c r="J691" s="75">
        <v>1</v>
      </c>
    </row>
    <row r="692" spans="5:10" x14ac:dyDescent="0.25">
      <c r="E692" t="s">
        <v>1539</v>
      </c>
      <c r="F692" t="s">
        <v>97</v>
      </c>
      <c r="G692" t="s">
        <v>56</v>
      </c>
      <c r="H692" s="73">
        <v>1000000</v>
      </c>
      <c r="I692" s="75">
        <v>5901.9277808219185</v>
      </c>
      <c r="J692" s="75">
        <v>1</v>
      </c>
    </row>
    <row r="693" spans="5:10" x14ac:dyDescent="0.25">
      <c r="E693" t="s">
        <v>1540</v>
      </c>
      <c r="F693" t="s">
        <v>96</v>
      </c>
      <c r="G693" t="s">
        <v>56</v>
      </c>
      <c r="H693" s="73">
        <v>1000000</v>
      </c>
      <c r="I693" s="75">
        <v>20098.52630136986</v>
      </c>
      <c r="J693" s="75">
        <v>1</v>
      </c>
    </row>
    <row r="694" spans="5:10" x14ac:dyDescent="0.25">
      <c r="E694" t="s">
        <v>1541</v>
      </c>
      <c r="F694" t="s">
        <v>97</v>
      </c>
      <c r="G694" t="s">
        <v>115</v>
      </c>
      <c r="H694" s="73">
        <v>0</v>
      </c>
      <c r="I694" s="75">
        <v>20098.52630136986</v>
      </c>
      <c r="J694" s="75">
        <v>1</v>
      </c>
    </row>
    <row r="695" spans="5:10" x14ac:dyDescent="0.25">
      <c r="E695" t="s">
        <v>1542</v>
      </c>
      <c r="F695" t="s">
        <v>96</v>
      </c>
      <c r="G695" t="s">
        <v>56</v>
      </c>
      <c r="H695" s="73">
        <v>300000</v>
      </c>
      <c r="I695" s="75">
        <v>2266.7779726027397</v>
      </c>
      <c r="J695" s="75">
        <v>1</v>
      </c>
    </row>
    <row r="696" spans="5:10" x14ac:dyDescent="0.25">
      <c r="E696" t="s">
        <v>1543</v>
      </c>
      <c r="F696" t="s">
        <v>97</v>
      </c>
      <c r="G696" t="s">
        <v>115</v>
      </c>
      <c r="H696" s="73">
        <v>0</v>
      </c>
      <c r="I696" s="75">
        <v>2266.7779726027397</v>
      </c>
      <c r="J696" s="75">
        <v>1</v>
      </c>
    </row>
    <row r="697" spans="5:10" x14ac:dyDescent="0.25">
      <c r="E697" t="s">
        <v>1544</v>
      </c>
      <c r="F697" t="s">
        <v>96</v>
      </c>
      <c r="G697" t="s">
        <v>114</v>
      </c>
      <c r="H697" s="73">
        <v>0</v>
      </c>
      <c r="I697" s="75">
        <v>2266.7779726027397</v>
      </c>
      <c r="J697" s="75">
        <v>1</v>
      </c>
    </row>
    <row r="698" spans="5:10" x14ac:dyDescent="0.25">
      <c r="E698" t="s">
        <v>1545</v>
      </c>
      <c r="F698" t="s">
        <v>96</v>
      </c>
      <c r="G698" t="s">
        <v>114</v>
      </c>
      <c r="H698" s="73">
        <v>0</v>
      </c>
      <c r="I698" s="75">
        <v>2266.7779726027397</v>
      </c>
      <c r="J698" s="75">
        <v>1</v>
      </c>
    </row>
    <row r="699" spans="5:10" x14ac:dyDescent="0.25">
      <c r="E699" t="s">
        <v>1546</v>
      </c>
      <c r="F699" t="s">
        <v>96</v>
      </c>
      <c r="G699" t="s">
        <v>56</v>
      </c>
      <c r="H699" s="73">
        <v>300000</v>
      </c>
      <c r="I699" s="75">
        <v>2266.7779726027397</v>
      </c>
      <c r="J699" s="75">
        <v>1</v>
      </c>
    </row>
    <row r="700" spans="5:10" x14ac:dyDescent="0.25">
      <c r="E700" t="s">
        <v>1549</v>
      </c>
      <c r="F700" t="s">
        <v>96</v>
      </c>
      <c r="G700" t="s">
        <v>114</v>
      </c>
      <c r="H700" s="73">
        <v>0</v>
      </c>
      <c r="I700" s="75">
        <v>3191.5686575342465</v>
      </c>
      <c r="J700" s="75">
        <v>1</v>
      </c>
    </row>
    <row r="701" spans="5:10" x14ac:dyDescent="0.25">
      <c r="E701" t="s">
        <v>1560</v>
      </c>
      <c r="F701" t="s">
        <v>96</v>
      </c>
      <c r="G701" t="s">
        <v>56</v>
      </c>
      <c r="H701" s="73">
        <v>300000</v>
      </c>
      <c r="I701" s="75">
        <v>1718.073780821918</v>
      </c>
      <c r="J701" s="75">
        <v>1</v>
      </c>
    </row>
    <row r="702" spans="5:10" x14ac:dyDescent="0.25">
      <c r="E702" t="s">
        <v>1561</v>
      </c>
      <c r="F702" t="s">
        <v>97</v>
      </c>
      <c r="G702" t="s">
        <v>115</v>
      </c>
      <c r="H702" s="73">
        <v>0</v>
      </c>
      <c r="I702" s="75">
        <v>1718.073780821918</v>
      </c>
      <c r="J702" s="75">
        <v>1</v>
      </c>
    </row>
    <row r="703" spans="5:10" x14ac:dyDescent="0.25">
      <c r="E703" t="s">
        <v>1562</v>
      </c>
      <c r="F703" t="s">
        <v>96</v>
      </c>
      <c r="G703" t="s">
        <v>114</v>
      </c>
      <c r="H703" s="73">
        <v>0</v>
      </c>
      <c r="I703" s="75">
        <v>1718.073780821918</v>
      </c>
      <c r="J703" s="75">
        <v>1</v>
      </c>
    </row>
    <row r="704" spans="5:10" x14ac:dyDescent="0.25">
      <c r="E704" t="s">
        <v>1563</v>
      </c>
      <c r="F704" t="s">
        <v>97</v>
      </c>
      <c r="G704" t="s">
        <v>113</v>
      </c>
      <c r="H704" s="73">
        <v>0</v>
      </c>
      <c r="I704" s="75">
        <v>1718.073780821918</v>
      </c>
      <c r="J704" s="75">
        <v>1</v>
      </c>
    </row>
    <row r="705" spans="5:10" x14ac:dyDescent="0.25">
      <c r="E705" t="s">
        <v>1564</v>
      </c>
      <c r="F705" t="s">
        <v>96</v>
      </c>
      <c r="G705" t="s">
        <v>56</v>
      </c>
      <c r="H705" s="73">
        <v>300000</v>
      </c>
      <c r="I705" s="75">
        <v>2225.0034794520548</v>
      </c>
      <c r="J705" s="75">
        <v>1</v>
      </c>
    </row>
    <row r="706" spans="5:10" x14ac:dyDescent="0.25">
      <c r="E706" t="s">
        <v>1565</v>
      </c>
      <c r="F706" t="s">
        <v>97</v>
      </c>
      <c r="G706" t="s">
        <v>115</v>
      </c>
      <c r="H706" s="73">
        <v>0</v>
      </c>
      <c r="I706" s="75">
        <v>1718.073780821918</v>
      </c>
      <c r="J706" s="75">
        <v>1</v>
      </c>
    </row>
    <row r="707" spans="5:10" x14ac:dyDescent="0.25">
      <c r="E707" t="s">
        <v>1566</v>
      </c>
      <c r="F707" t="s">
        <v>96</v>
      </c>
      <c r="G707" t="s">
        <v>114</v>
      </c>
      <c r="H707" s="73">
        <v>0</v>
      </c>
      <c r="I707" s="75">
        <v>1718.073780821918</v>
      </c>
      <c r="J707" s="75">
        <v>1</v>
      </c>
    </row>
    <row r="708" spans="5:10" x14ac:dyDescent="0.25">
      <c r="E708" t="s">
        <v>1567</v>
      </c>
      <c r="F708" t="s">
        <v>97</v>
      </c>
      <c r="G708" t="s">
        <v>113</v>
      </c>
      <c r="H708" s="73">
        <v>0</v>
      </c>
      <c r="I708" s="75">
        <v>1718.073780821918</v>
      </c>
      <c r="J708" s="75">
        <v>1</v>
      </c>
    </row>
    <row r="709" spans="5:10" x14ac:dyDescent="0.25">
      <c r="E709" t="s">
        <v>1568</v>
      </c>
      <c r="F709" t="s">
        <v>96</v>
      </c>
      <c r="G709" t="s">
        <v>56</v>
      </c>
      <c r="H709" s="73">
        <v>300000</v>
      </c>
      <c r="I709" s="75">
        <v>1718.073780821918</v>
      </c>
      <c r="J709" s="75">
        <v>1</v>
      </c>
    </row>
    <row r="710" spans="5:10" x14ac:dyDescent="0.25">
      <c r="E710" t="s">
        <v>1612</v>
      </c>
      <c r="F710" t="s">
        <v>97</v>
      </c>
      <c r="G710" t="s">
        <v>56</v>
      </c>
      <c r="H710" s="73">
        <v>300000</v>
      </c>
      <c r="I710" s="75">
        <v>1313.2920000000001</v>
      </c>
      <c r="J710" s="75">
        <v>1</v>
      </c>
    </row>
    <row r="711" spans="5:10" x14ac:dyDescent="0.25">
      <c r="E711" t="s">
        <v>1613</v>
      </c>
      <c r="F711" t="s">
        <v>96</v>
      </c>
      <c r="G711" t="s">
        <v>56</v>
      </c>
      <c r="H711" s="73">
        <v>300000</v>
      </c>
      <c r="I711" s="75">
        <v>1439.2241095890413</v>
      </c>
      <c r="J711" s="75">
        <v>1</v>
      </c>
    </row>
    <row r="712" spans="5:10" x14ac:dyDescent="0.25">
      <c r="E712" t="s">
        <v>1614</v>
      </c>
      <c r="F712" t="s">
        <v>97</v>
      </c>
      <c r="G712" t="s">
        <v>115</v>
      </c>
      <c r="H712" s="73">
        <v>0</v>
      </c>
      <c r="I712" s="75">
        <v>1439.2241095890413</v>
      </c>
      <c r="J712" s="75">
        <v>1</v>
      </c>
    </row>
    <row r="713" spans="5:10" x14ac:dyDescent="0.25">
      <c r="E713" t="s">
        <v>1615</v>
      </c>
      <c r="F713" t="s">
        <v>96</v>
      </c>
      <c r="G713" t="s">
        <v>56</v>
      </c>
      <c r="H713" s="73">
        <v>300000</v>
      </c>
      <c r="I713" s="75">
        <v>1584.2956712328769</v>
      </c>
      <c r="J713" s="75">
        <v>1</v>
      </c>
    </row>
    <row r="714" spans="5:10" x14ac:dyDescent="0.25">
      <c r="E714" t="s">
        <v>1616</v>
      </c>
      <c r="F714" t="s">
        <v>97</v>
      </c>
      <c r="G714" t="s">
        <v>115</v>
      </c>
      <c r="H714" s="73">
        <v>0</v>
      </c>
      <c r="I714" s="75">
        <v>1584.2956712328769</v>
      </c>
      <c r="J714" s="75">
        <v>1</v>
      </c>
    </row>
    <row r="715" spans="5:10" x14ac:dyDescent="0.25">
      <c r="E715" t="s">
        <v>1617</v>
      </c>
      <c r="F715" t="s">
        <v>97</v>
      </c>
      <c r="G715" t="s">
        <v>113</v>
      </c>
      <c r="H715" s="73">
        <v>0</v>
      </c>
      <c r="I715" s="75">
        <v>1223.340493150685</v>
      </c>
      <c r="J715" s="75">
        <v>1</v>
      </c>
    </row>
    <row r="716" spans="5:10" x14ac:dyDescent="0.25">
      <c r="E716" t="s">
        <v>1618</v>
      </c>
      <c r="F716" t="s">
        <v>97</v>
      </c>
      <c r="G716" t="s">
        <v>113</v>
      </c>
      <c r="H716" s="73">
        <v>0</v>
      </c>
      <c r="I716" s="75">
        <v>1223.340493150685</v>
      </c>
      <c r="J716" s="75">
        <v>1</v>
      </c>
    </row>
    <row r="717" spans="5:10" x14ac:dyDescent="0.25">
      <c r="E717" t="s">
        <v>1619</v>
      </c>
      <c r="F717" t="s">
        <v>96</v>
      </c>
      <c r="G717" t="s">
        <v>114</v>
      </c>
      <c r="H717" s="73">
        <v>0</v>
      </c>
      <c r="I717" s="75">
        <v>1223.340493150685</v>
      </c>
      <c r="J717" s="75">
        <v>1</v>
      </c>
    </row>
    <row r="718" spans="5:10" x14ac:dyDescent="0.25">
      <c r="E718" t="s">
        <v>1620</v>
      </c>
      <c r="F718" t="s">
        <v>96</v>
      </c>
      <c r="G718" t="s">
        <v>56</v>
      </c>
      <c r="H718" s="73">
        <v>300000</v>
      </c>
      <c r="I718" s="75">
        <v>1430.2289589041095</v>
      </c>
      <c r="J718" s="75">
        <v>1</v>
      </c>
    </row>
    <row r="719" spans="5:10" x14ac:dyDescent="0.25">
      <c r="E719" t="s">
        <v>1621</v>
      </c>
      <c r="F719" t="s">
        <v>97</v>
      </c>
      <c r="G719" t="s">
        <v>115</v>
      </c>
      <c r="H719" s="73">
        <v>0</v>
      </c>
      <c r="I719" s="75">
        <v>1430.2289589041095</v>
      </c>
      <c r="J719" s="75">
        <v>1</v>
      </c>
    </row>
    <row r="720" spans="5:10" x14ac:dyDescent="0.25">
      <c r="E720" t="s">
        <v>1622</v>
      </c>
      <c r="F720" t="s">
        <v>96</v>
      </c>
      <c r="G720" t="s">
        <v>56</v>
      </c>
      <c r="H720" s="73">
        <v>300000</v>
      </c>
      <c r="I720" s="75">
        <v>1852.2280273972606</v>
      </c>
      <c r="J720" s="75">
        <v>1</v>
      </c>
    </row>
    <row r="721" spans="5:10" x14ac:dyDescent="0.25">
      <c r="E721" t="s">
        <v>1623</v>
      </c>
      <c r="F721" t="s">
        <v>97</v>
      </c>
      <c r="G721" t="s">
        <v>115</v>
      </c>
      <c r="H721" s="73">
        <v>0</v>
      </c>
      <c r="I721" s="75">
        <v>1430.2289589041095</v>
      </c>
      <c r="J721" s="75">
        <v>1</v>
      </c>
    </row>
    <row r="722" spans="5:10" x14ac:dyDescent="0.25">
      <c r="E722" t="s">
        <v>1624</v>
      </c>
      <c r="F722" t="s">
        <v>97</v>
      </c>
      <c r="G722" t="s">
        <v>113</v>
      </c>
      <c r="H722" s="73">
        <v>0</v>
      </c>
      <c r="I722" s="75">
        <v>1430.2289589041095</v>
      </c>
      <c r="J722" s="75">
        <v>1</v>
      </c>
    </row>
    <row r="723" spans="5:10" x14ac:dyDescent="0.25">
      <c r="E723" t="s">
        <v>1625</v>
      </c>
      <c r="F723" t="s">
        <v>96</v>
      </c>
      <c r="G723" t="s">
        <v>56</v>
      </c>
      <c r="H723" s="73">
        <v>300000</v>
      </c>
      <c r="I723" s="75">
        <v>1259.321095890411</v>
      </c>
      <c r="J723" s="75">
        <v>1</v>
      </c>
    </row>
    <row r="724" spans="5:10" x14ac:dyDescent="0.25">
      <c r="E724" t="s">
        <v>1626</v>
      </c>
      <c r="F724" t="s">
        <v>97</v>
      </c>
      <c r="G724" t="s">
        <v>115</v>
      </c>
      <c r="H724" s="73">
        <v>0</v>
      </c>
      <c r="I724" s="75">
        <v>1259.321095890411</v>
      </c>
      <c r="J724" s="75">
        <v>1</v>
      </c>
    </row>
    <row r="725" spans="5:10" x14ac:dyDescent="0.25">
      <c r="E725" t="s">
        <v>1627</v>
      </c>
      <c r="F725" t="s">
        <v>96</v>
      </c>
      <c r="G725" t="s">
        <v>114</v>
      </c>
      <c r="H725" s="73">
        <v>0</v>
      </c>
      <c r="I725" s="75">
        <v>1259.321095890411</v>
      </c>
      <c r="J725" s="75">
        <v>1</v>
      </c>
    </row>
    <row r="726" spans="5:10" x14ac:dyDescent="0.25">
      <c r="E726" t="s">
        <v>1628</v>
      </c>
      <c r="F726" t="s">
        <v>96</v>
      </c>
      <c r="G726" t="s">
        <v>114</v>
      </c>
      <c r="H726" s="73">
        <v>0</v>
      </c>
      <c r="I726" s="75">
        <v>1259.321095890411</v>
      </c>
      <c r="J726" s="75">
        <v>1</v>
      </c>
    </row>
    <row r="727" spans="5:10" x14ac:dyDescent="0.25">
      <c r="E727" t="s">
        <v>1629</v>
      </c>
      <c r="F727" t="s">
        <v>96</v>
      </c>
      <c r="G727" t="s">
        <v>56</v>
      </c>
      <c r="H727" s="73">
        <v>300000</v>
      </c>
      <c r="I727" s="75">
        <v>1439.2241095890413</v>
      </c>
      <c r="J727" s="75">
        <v>1</v>
      </c>
    </row>
    <row r="728" spans="5:10" x14ac:dyDescent="0.25">
      <c r="E728" t="s">
        <v>1630</v>
      </c>
      <c r="F728" t="s">
        <v>97</v>
      </c>
      <c r="G728" t="s">
        <v>115</v>
      </c>
      <c r="H728" s="73">
        <v>0</v>
      </c>
      <c r="I728" s="75">
        <v>1439.2241095890413</v>
      </c>
      <c r="J728" s="75">
        <v>1</v>
      </c>
    </row>
    <row r="729" spans="5:10" x14ac:dyDescent="0.25">
      <c r="E729" t="s">
        <v>58</v>
      </c>
      <c r="H729" s="73">
        <v>79100000</v>
      </c>
      <c r="I729" s="75">
        <v>3237827.3653972624</v>
      </c>
      <c r="J729" s="75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SuM</vt:lpstr>
      <vt:lpstr>Details</vt:lpstr>
      <vt:lpstr>CD Statement</vt:lpstr>
      <vt:lpstr>SA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Bukkacherla</dc:creator>
  <cp:lastModifiedBy>Mahantesh Gundalli</cp:lastModifiedBy>
  <cp:lastPrinted>2025-06-24T08:50:29Z</cp:lastPrinted>
  <dcterms:created xsi:type="dcterms:W3CDTF">2020-05-04T07:27:38Z</dcterms:created>
  <dcterms:modified xsi:type="dcterms:W3CDTF">2026-02-10T10:59:00Z</dcterms:modified>
</cp:coreProperties>
</file>